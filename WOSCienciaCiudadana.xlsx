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vedrecs" sheetId="1" r:id="rId4"/>
  </sheets>
  <definedNames/>
  <calcPr/>
  <extLst>
    <ext uri="GoogleSheetsCustomDataVersion2">
      <go:sheetsCustomData xmlns:go="http://customooxmlschemas.google.com/" r:id="rId5" roundtripDataChecksum="qSADnkh8iPHm1po/aPLvO+N91mxIGHUH0VeLphrsb1Y="/>
    </ext>
  </extLst>
</workbook>
</file>

<file path=xl/sharedStrings.xml><?xml version="1.0" encoding="utf-8"?>
<sst xmlns="http://schemas.openxmlformats.org/spreadsheetml/2006/main" count="27339" uniqueCount="10419">
  <si>
    <t>Publication Type</t>
  </si>
  <si>
    <t>Authors</t>
  </si>
  <si>
    <t>Author Full Names</t>
  </si>
  <si>
    <t>Group Authors</t>
  </si>
  <si>
    <t>Title</t>
  </si>
  <si>
    <t>Source Title</t>
  </si>
  <si>
    <t>Book Series Title</t>
  </si>
  <si>
    <t>Language</t>
  </si>
  <si>
    <t>Document Type</t>
  </si>
  <si>
    <t>Conference Title</t>
  </si>
  <si>
    <t>Conference Date</t>
  </si>
  <si>
    <t>Conference Location</t>
  </si>
  <si>
    <t>Conference Sponsor</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</si>
  <si>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</si>
  <si>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</si>
  <si>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</si>
  <si>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</si>
  <si>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</si>
  <si>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</si>
  <si>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</si>
  <si>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</si>
  <si>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</si>
  <si>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</si>
  <si>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</si>
  <si>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</si>
  <si>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</si>
  <si>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</si>
  <si>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</si>
  <si>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</si>
  <si>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</si>
  <si>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</si>
  <si>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</si>
  <si>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</si>
  <si>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</si>
  <si>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</si>
  <si>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</si>
  <si>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</si>
  <si>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</si>
  <si>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</si>
  <si>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</si>
  <si>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</si>
  <si>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</si>
  <si>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</si>
  <si>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</si>
  <si>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</si>
  <si>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</si>
  <si>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</si>
  <si>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</si>
  <si>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</si>
  <si>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</si>
  <si>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</si>
  <si>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</si>
  <si>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</si>
  <si>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</si>
  <si>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</si>
  <si>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</si>
  <si>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</si>
  <si>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</si>
  <si>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</si>
  <si>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</si>
  <si>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</si>
  <si>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</si>
  <si>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</si>
  <si>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</si>
  <si>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</si>
  <si>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</si>
  <si>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Martin, A; Goltz, N</t>
  </si>
  <si>
    <t>Martin, Amelia; Goltz, Nicholas</t>
  </si>
  <si>
    <t/>
  </si>
  <si>
    <t>Citizen science in plant disease surveillance</t>
  </si>
  <si>
    <t>FRONTIERS IN PLANT SCIENCE</t>
  </si>
  <si>
    <t>English</t>
  </si>
  <si>
    <t>Article</t>
  </si>
  <si>
    <t>community initiative; disease detection; disease monitoring; plant health; qualitative data</t>
  </si>
  <si>
    <t>LENGTH</t>
  </si>
  <si>
    <t>Plant diseases cause an estimated 30% annual crop yield loss worldwide, resulting in hundreds of billions of dollars in economic damage and increasingly threatening native and ornamental plants through global trade and environmental change. In the United States, the National Plant Diagnostic Network (NPDN) plays a critical role in safeguarding agricultural biosecurity; however, limited personnel and uneven diagnostic capacity highlight the need for new approaches to enhance disease surveillance. Citizen science, defined as public participation in scientific data collection, has proven effective in ecology and environmental monitoring but remains underutilized in plant pathology, prompting the need to assess its applicability in this field. This study represents the first national effort to evaluate citizen scientists' perspectives on participation in plant disease research. To address this objective, a nine-question online survey was distributed to approximately 500 individuals, including Master Gardeners, Extension professionals, and plant enthusiasts, yielding 233 completed responses. Results indicated strong interest in contributing to plant disease data collection, with participants emphasizing the importance of accessible education, diagnostic guidance, and user-friendly reporting platforms. Although challenges related to diagnostic accuracy and potential user bias persist, the findings suggest that structured training, educational support, and professional validation could enable citizen science to become a valuable tool for expanding plant disease surveillance. To the extent of our knowledge, this work provides the first evidence-based insight into citizen scientists' readiness to engage in plant disease monitoring and offers practical guidance for developing inclusive and effective plant health programs.</t>
  </si>
  <si>
    <t>[Martin, Amelia; Goltz, Nicholas] Univ Connecticut, UConn Plant Diagnost Lab, Dept Plant Sci &amp; Landscape Architecture, Storrs, CT 06269 USA</t>
  </si>
  <si>
    <t>University of Connecticut</t>
  </si>
  <si>
    <t>Goltz, N (corresponding author), Univ Connecticut, UConn Plant Diagnost Lab, Dept Plant Sci &amp; Landscape Architecture, Storrs, CT 06269 USA.</t>
  </si>
  <si>
    <t>nick.goltz@uconn.edu</t>
  </si>
  <si>
    <t>USDA- National Institute of Food and Agriculture (USDA NIFA) [2022-37621-38276]</t>
  </si>
  <si>
    <t>USDA- National Institute of Food and Agriculture (USDA NIFA)</t>
  </si>
  <si>
    <t>The author(s) declared that financial support was received for this work and/or its publication. USDA- National Institute of Food and Agriculture (USDA NIFA Grant No. 2022-37621-38276).</t>
  </si>
  <si>
    <t>FRONTIERS MEDIA SA</t>
  </si>
  <si>
    <t>LAUSANNE</t>
  </si>
  <si>
    <t>AVENUE DU TRIBUNAL FEDERAL 34, LAUSANNE, CH-1015, SWITZERLAND</t>
  </si>
  <si>
    <t>1664-462X</t>
  </si>
  <si>
    <t>FRONT PLANT SCI</t>
  </si>
  <si>
    <t>Front. Plant Sci.</t>
  </si>
  <si>
    <t>FEB 5</t>
  </si>
  <si>
    <t>10.3389/fpls.2026.1775094</t>
  </si>
  <si>
    <t>Plant Sciences</t>
  </si>
  <si>
    <t>Science Citation Index Expanded (SCI-EXPANDED)</t>
  </si>
  <si>
    <t>DX5IR</t>
  </si>
  <si>
    <t>Green Submitted, gold</t>
  </si>
  <si>
    <t>2026-03-14</t>
  </si>
  <si>
    <t>WOS:001694431300001</t>
  </si>
  <si>
    <t>Lawson, B; Petrovan, SO; Cunningham, AA</t>
  </si>
  <si>
    <t>Lawson, Becki; Petrovan, Silviu O.; Cunningham, Andrew A.</t>
  </si>
  <si>
    <t>Citizen Science and Wildlife Disease Surveillance</t>
  </si>
  <si>
    <t>ECOHEALTH</t>
  </si>
  <si>
    <t>Review</t>
  </si>
  <si>
    <t>Scanning; Targeted; Opportunistic; Systematic; Syndromic surveillance</t>
  </si>
  <si>
    <t>WEST-NILE-VIRUS; EMERGING TECHNOLOGIES; ECOLOGICAL RESEARCH; SONGBIRD CARCASSES; BIRD MORTALITY; GARDEN BIRDS; USUTU VIRUS; TOOL; PARTICIPATION; DISAPPEARANCE</t>
  </si>
  <si>
    <t>Achieving effective wildlife disease surveillance is challenging. The incorporation of citizen science (CS) in wildlife health surveillance can be beneficial, particularly where resources are limited and cost-effectiveness is paramount. Reports of wildlife morbidity and mortality from the public facilitate large-scale surveillance, both in time and space, which would otherwise be financially infeasible, and raise awareness of incidents occurring on privately owned land. CS wildlife disease surveillance schemes benefit scientists, the participating public and wildlife alike. CS has been employed for targeted, scanning and syndromic surveillance of wildlife disease. Whilst opportunistic surveillance is most common, systematic observations enable the standardisation of observer effort and, combined with wildlife population monitoring schemes, can allow evaluation of disease impacts at the population level. Near-universal access to digital media has revolutionised reporting modalities and facilitated rapid and economical means of sharing feedback with participants. Here we review CS schemes for wildlife disease surveillance and highlight their scope, benefits, logistical considerations, financial implications and potential limitations. The need to adopt a collaborative and multidisciplinary approach to wildlife health surveillance is increasingly recognised and the general public can make a significant contribution through CS.</t>
  </si>
  <si>
    <t>[Lawson, Becki; Cunningham, Andrew A.] Zool Soc London, Inst Zool, London NW1 4RY, England; [Petrovan, Silviu O.] Froglife, Peterborough PE4 5BW, Cambs, England</t>
  </si>
  <si>
    <t>Zoological Society of London</t>
  </si>
  <si>
    <t>Lawson, B (corresponding author), Zool Soc London, Inst Zool, Regents Pk, London NW1 4RY, England.</t>
  </si>
  <si>
    <t>becki.lawson@ioz.ac.uk</t>
  </si>
  <si>
    <t>; Cunningham, Andrew/E-7536-2010; Petrovan, Silviu/ADM-9976-2022</t>
  </si>
  <si>
    <t>lawson, becki/0000-0003-1706-7140; Petrovan, Silviu/0000-0002-3984-2403</t>
  </si>
  <si>
    <t>Royal Society Wolfson Research Merit award; Department for the Environment, Food and Rural Affairs Strategic Evidence Fund [WC 1027, WC 1099]; Esmee Fairbairn Foundation; Winston Churchill Memorial Trust Travel Fellowship</t>
  </si>
  <si>
    <t>Royal Society Wolfson Research Merit award(Royal Society UK); Department for the Environment, Food and Rural Affairs Strategic Evidence Fund; Esmee Fairbairn Foundation; Winston Churchill Memorial Trust Travel Fellowship</t>
  </si>
  <si>
    <t>We thank Tim Hopkins (Institute of Zoology), Kirsi Peck (Royal Society for the Protection of Birds), Kate Risely (British Trust for Ornithology) and Freya Smith (Animal Plant &amp; Health Agency) for their constructive feedback on this manuscript. BL was awarded a Winston Churchill Memorial Trust Travel Fellowship to study citizen science approaches to national wildlife health surveillance. AAC is part-funded by a Royal Society Wolfson Research Merit award. AAC and BL are recipients of funding from the Department for the Environment, Food and Rural Affairs Strategic Evidence Fund (Contract WC 1027 &amp; WC 1099). SOP is supported by a grant from the Esmee Fairbairn Foundation.</t>
  </si>
  <si>
    <t>SPRINGER</t>
  </si>
  <si>
    <t>NEW YORK</t>
  </si>
  <si>
    <t>233 SPRING ST, NEW YORK, NY 10013 USA</t>
  </si>
  <si>
    <t>1612-9202</t>
  </si>
  <si>
    <t>1612-9210</t>
  </si>
  <si>
    <t>EcoHealth</t>
  </si>
  <si>
    <t>DEC</t>
  </si>
  <si>
    <t>10.1007/s10393-015-1054-z</t>
  </si>
  <si>
    <t>Biodiversity Conservation; Ecology; Environmental Sciences</t>
  </si>
  <si>
    <t>Biodiversity &amp; Conservation; Environmental Sciences &amp; Ecology</t>
  </si>
  <si>
    <t>DA2LW</t>
  </si>
  <si>
    <t>WOS:000367627300018</t>
  </si>
  <si>
    <t>Holub, M; Agena, E</t>
  </si>
  <si>
    <t>Holub, Martin; Agena, Ethan</t>
  </si>
  <si>
    <t>Biofoundries and citizen science can accelerate disease surveillance and environmental monitoring</t>
  </si>
  <si>
    <t>FRONTIERS IN BIOENGINEERING AND BIOTECHNOLOGY</t>
  </si>
  <si>
    <t>biofoundry; biosecurity; biosurveillance; citizen science; policy</t>
  </si>
  <si>
    <t>A biofoundry is a highly automated facility for processing of biological samples. In that capacity it has a major role in accelerating innovation and product development in engineering biology by implementing design, build, test and learn (DBTL) cycles. Biofoundries bring public and private stakeholders together to share resources, develop standards and forge collaborations on national and international levels. In this paper we argue for expanding the scope of applications for biofoundries towards roles in biosurveillance and biosecurity. Reviewing literature on these topics, we conclude that this could be achieved in multiple ways including developing measurement standards and protocols, engaging citizens in data collection, closer collaborations with biorefineries, and processing of samples. Here we provide an overview of these roles that despite their potential utility have not yet been commonly considered by policymakers and funding agencies and identify roadblocks to their realization. This document should prove useful to policymakers and other stakeholders who wish to strengthen biosecurity programs in ways that synergize with bioeconomy.</t>
  </si>
  <si>
    <t>[Holub, Martin] Delft Univ Technol, Dept Bionanosci, Delft, Netherlands; [Agena, Ethan] Univ Toronto, Dept Chem Engn &amp; Appl Chem, Toronto, ON, Canada</t>
  </si>
  <si>
    <t>Delft University of Technology; University of Toronto</t>
  </si>
  <si>
    <t>Holub, M (corresponding author), Delft Univ Technol, Dept Bionanosci, Delft, Netherlands.</t>
  </si>
  <si>
    <t>scimartinh@gmail.com</t>
  </si>
  <si>
    <t>; Holub, Martin/GOE-4632-2022</t>
  </si>
  <si>
    <t>Agena, Ethan Matthew Brillante/0009-0009-5107-1101; Holub, Martin/0000-0002-8365-0927</t>
  </si>
  <si>
    <t>2296-4185</t>
  </si>
  <si>
    <t>FRONT BIOENG BIOTECH</t>
  </si>
  <si>
    <t>Front. Bioeng. Biotechnol.</t>
  </si>
  <si>
    <t>JAN 12</t>
  </si>
  <si>
    <t>10.3389/fbioe.2022.1110376</t>
  </si>
  <si>
    <t>Biotechnology &amp; Applied Microbiology; Engineering, Biomedical</t>
  </si>
  <si>
    <t>Biotechnology &amp; Applied Microbiology; Engineering</t>
  </si>
  <si>
    <t>8J9VL</t>
  </si>
  <si>
    <t>WOS:000922759800001</t>
  </si>
  <si>
    <t>Purkart, A; Depa, L; Holecová, M; Kollár, J; Slivák, M; Országhova, Z; Goffová, K</t>
  </si>
  <si>
    <t>Purkart, Adrian; Depa, Lukasz; Holecova, Milada; Kollar, Jozef; Slivak, Martin; Orszaghova, Zlatica; Goffova, Katarina</t>
  </si>
  <si>
    <t>Citizen science reveals the current distribution of the new plant pest Aphis nerii in Slovakia</t>
  </si>
  <si>
    <t>PLANT PROTECTION SCIENCE</t>
  </si>
  <si>
    <t>oleander aphid; common milkweed; social crowdsourcing</t>
  </si>
  <si>
    <t>MOSAIC-VIRUS; INSECT</t>
  </si>
  <si>
    <t>This paper presents the first record of the oleander aphid (Aphis nerii Boyer de Fonscolombe, 1841; Hemiptera: Aphididae) in Slovakia, and also one of the most northern record of this natural pest on the invasive common milkweed (Asclepias syriaca Linnaeus.; Apocynaceae) in Central Europe. Modern social media crowdsourcing has achieved comprehensive distribution data in the horticultural community, and a total of 35 new distribution sites were discovered in 28 Slovak settlements, one new site in Austria, and one in the Czech Republic. It was further established that the oleander aphid could survive in anthropogenic refuges during the winter months.</t>
  </si>
  <si>
    <t>[Purkart, Adrian; Holecova, Milada; Orszaghova, Zlatica; Goffova, Katarina] Comenius Univ, Fac Nat Sci, Dept Zool, Bratislava, Slovakia; [Depa, Lukasz] Univ Silesia, Fac Biol &amp; Environm Protect, Dept Zool, Katowice, Poland; [Kollar, Jozef] Slovak Acad Sci, Inst Landscape Ecol, Bratislava, Slovakia; [Slivak, Martin] Pavol Jozef Safarik Univ, Bot Garden, Kosice, Slovakia</t>
  </si>
  <si>
    <t>Comenius University Bratislava; University of Silesia in Katowice; Slovak Academy of Sciences; University of Pavol Jozef Safarik Kosice</t>
  </si>
  <si>
    <t>Goffová, K (corresponding author), Comenius Univ, Fac Nat Sci, Dept Zool, Bratislava, Slovakia.</t>
  </si>
  <si>
    <t>katarina.goffova@uniba.sk</t>
  </si>
  <si>
    <t>; Depa, Łukasz/T-9905-2018</t>
  </si>
  <si>
    <t>Suvák, Martin/0000-0001-5326-6417; Holecová, Milada/0000-0001-5174-0509; Depa, Łukasz/0000-0003-4204-5568</t>
  </si>
  <si>
    <t>European Commission [LIFE12 NAT/SK/001137]; Slovak Academy of Sciences [VEGA 2/0012/17, VEGA 2/0118/18, VEGA 2/0032/19]; Scientific Grant Agency of Ministry of Education and Sports</t>
  </si>
  <si>
    <t>European Commission(European Union (EU)European Commission Joint Research Centre); Slovak Academy of Sciences(Slovak Academy of Sciences); Scientific Grant Agency of Ministry of Education and Sports</t>
  </si>
  <si>
    <t>Supported by the European Commission, Project No. LIFE12 NAT/SK/001137: BeeSandFish: Restoration of nesting and feeding habitats of Sand Martin, Kingfisher and European Bee-eater in Danube-Morava region, and by the Scientific Grant Agency of Ministry of Education and Sports and Slovak Academy of Sciences, Project Nos VEGA 2/0012/17, VEGA 2/0118/18 and VEGA 2/0032/19.</t>
  </si>
  <si>
    <t>CZECH ACADEMY AGRICULTURAL SCIENCES</t>
  </si>
  <si>
    <t>PRAGUE</t>
  </si>
  <si>
    <t>TESNOV 17, PRAGUE, 117 05, CZECH REPUBLIC</t>
  </si>
  <si>
    <t>1212-2580</t>
  </si>
  <si>
    <t>1805-9341</t>
  </si>
  <si>
    <t>PLANT PROTECT SCI</t>
  </si>
  <si>
    <t>Plant Prot. Sci.</t>
  </si>
  <si>
    <t>10.17221/46/2019-PPS</t>
  </si>
  <si>
    <t>Agronomy; Plant Sciences</t>
  </si>
  <si>
    <t>Agriculture; Plant Sciences</t>
  </si>
  <si>
    <t>KU3RT</t>
  </si>
  <si>
    <t>WOS:000519629600005</t>
  </si>
  <si>
    <t>Taylor, P; Reeder, R</t>
  </si>
  <si>
    <t>Taylor, Philip; Reeder, Robert</t>
  </si>
  <si>
    <t>The role of passive surveillance and citizen science in plant health</t>
  </si>
  <si>
    <t>CABI AGRICULTURE AND BIOSCIENCE</t>
  </si>
  <si>
    <t>Surveillance; Citizen science; Unstructured data; Early warning; Tree health</t>
  </si>
  <si>
    <t>POINT PROCESS MODELS; EMERALD ASH BORER; TREE PESTS; BIAS; RISK; UK; INFORMATION; BIOSECURITY; PATHOGENS; AWARENESS</t>
  </si>
  <si>
    <t>The early detection of plant pests and diseases is vital to the success of any eradication or control programme, but the resources for surveillance are often limited. Plant health authorities can however make use of observations from individuals and stakeholder groups who are monitoring for signs of ill health. Volunteered data is most often discussed in relation to citizen science groups, however these groups are only part of a wider network of professional agents, land-users and owners who can all contribute to significantly increase surveillance efforts through passive surveillance. These ad-hoc reports represent chance observations by individuals who may not necessarily be looking for signs of pests and diseases when they are discovered. Passive surveillance contributes vital observations in support of national and international surveillance programs, detecting potentially unknown issues in the wider landscape, beyond points of entry and the plant trade. This review sets out to describe various forms of passive surveillance, identify analytical methods that can be applied to these messy unstructured data, and indicate how new programs can be established and maintained. Case studies discuss two tree health projects from Great Britain (TreeAlert and Observatree) to illustrate the challenges and successes of existing passive surveillance programmes. When analysing passive surveillance reports it is important to understand the observers' probability to detect and report each plant health issue, which will vary depending on how distinctive the symptoms are and the experience of the observer. It is also vital to assess how representative the reports are and whether they occur more frequently in certain locations. Methods are increasingly available to predict species distributions from large datasets, but more work is needed to understand how these apply to rare events such as new introductions. One solution for general surveillance is to develop and maintain a network of tree health volunteers, but this requires a large investment in training, feedback and engagement to maintain motivation. There are already many working examples of passive surveillance programmes and the suite of options to interpret the resulting datasets is growing rapidly.</t>
  </si>
  <si>
    <t>[Taylor, Philip; Reeder, Robert] CABI EUK, Bakeham Lane, Egham TW209TY, England</t>
  </si>
  <si>
    <t>Taylor, P (corresponding author), CABI EUK, Bakeham Lane, Egham TW209TY, England.</t>
  </si>
  <si>
    <t>p.taylor@cabi.org</t>
  </si>
  <si>
    <t>Department for International Development, UK; Swiss Agency for Development and Cooperation; Directorate General for International Cooperation, Netherlands; European Commission; Ministry of Agriculture of the People's Republic of China; Irish Aid; International Fund for Agricultural Development; Australian Centre for International Agricultural Research; CABI; NERC [NE/T007729/1] Funding Source: UKRI; UKRI [BB/T010886/1] Funding Source: UKRI</t>
  </si>
  <si>
    <t>Department for International Development, UK; Swiss Agency for Development and Cooperation(Norwegian Agency for Development Cooperation - NORAD); Directorate General for International Cooperation, Netherlands(Netherlands Government); European Commission(European Union (EU)European Commission Joint Research Centre); Ministry of Agriculture of the People's Republic of China; Irish Aid(CGIAR); International Fund for Agricultural Development; Australian Centre for International Agricultural Research(Australian Centre for International Agricultural Research); CABI; NERC(UK Research &amp; Innovation (UKRI)Natural Environment Research Council (NERC)); UKRI(UK Research &amp; Innovation (UKRI))</t>
  </si>
  <si>
    <t>We gratefully acknowledge the funding provided for this research, through the Plantwise programme, by the following agencies: Department for International Development, UK; Swiss Agency for Development and Cooperation; Directorate General for International Cooperation, Netherlands; European Commission; Ministry of Agriculture of the People's Republic of China; Irish Aid; International Fund for Agricultural Development; and Australian Centre for International Agricultural Research. CABI also acknowledges its core financial support from its member countries and lead agencies (see http://www.cabi. org/about-cabi/who-we-work-with/key-donors/).</t>
  </si>
  <si>
    <t>CABI PUBLISHING</t>
  </si>
  <si>
    <t>WALLINGFORD</t>
  </si>
  <si>
    <t>C/O PUBLISHING DIVISION, NOSWORTHY WAY, WALLINGFORD OX10 8DE, OXON, ENGLAND</t>
  </si>
  <si>
    <t>2662-4044</t>
  </si>
  <si>
    <t>CABI AGR BIOSCI</t>
  </si>
  <si>
    <t>CABI Agriculture Biosci.</t>
  </si>
  <si>
    <t>OCT 30</t>
  </si>
  <si>
    <t>10.1186/s43170-020-00016-5</t>
  </si>
  <si>
    <t>Agriculture, Multidisciplinary</t>
  </si>
  <si>
    <t>Emerging Sources Citation Index (ESCI)</t>
  </si>
  <si>
    <t>Agriculture</t>
  </si>
  <si>
    <t>8H7EY</t>
  </si>
  <si>
    <t>Green Accepted, Green Submitted, gold</t>
  </si>
  <si>
    <t>WOS:000921194400001</t>
  </si>
  <si>
    <t>de Groot, M; Pocock, MJO; Bonte, J; Fernandez-Conradi, P; Valdés-Correcher, E</t>
  </si>
  <si>
    <t>de Groot, Maarten; Pocock, Michael J. O.; Bonte, Jochem; Fernandez-Conradi, Pilar; Valdes-Correcher, Elena</t>
  </si>
  <si>
    <t>Citizen Science and Monitoring Forest Pests: a Beneficial Alliance?</t>
  </si>
  <si>
    <t>CURRENT FORESTRY REPORTS</t>
  </si>
  <si>
    <t>Forest health; Community science; Forest management; Awareness raising; Forest protection</t>
  </si>
  <si>
    <t>EMERALD ASH BORER; TREE PESTS; HEALTH; MANAGEMENT; IMPACTS; OPPORTUNITIES; SURVEILLANCE; PREFERENCES; SCIENTISTS; INDICATORS</t>
  </si>
  <si>
    <t>Purpose of the Review One of the major threats to tree health, and hence the resilience of forests and their provision of ecosystem services, is new and emerging pests. Therefore, forest health monitoring is of major importance to detect invasive, emerging and native pest outbreaks. This is usually done by foresters and forest health experts, but can also be complemented by citizen scientists. Here, we review the use of citizen science for detection and monitoring, as well as for hypothesis-driven research and evaluation of control measures as part of forest pest surveillance and research. We then examine its limitations and opportunities and make recommendations on the use of citizen science for forest pest monitoring. Recent Findings The main opportunities of citizen scientists for forest health are early warning, early detection of new pests, monitoring of impact of outbreaks and scientific research. Each domain has its own limitations, opportunities and recommendations to follow, as well as their own public engagement strategies. The development of new technologies provides many opportunities to involve citizen scientists in forest pest monitoring. To enhance the benefits of citizen scientists' inclusion in monitoring, it is important that they are involved in the cocreation of activities. Future monitoring and research may benefit from tailor-made citizen science projects to facilitate successful monitoring by citizen scientists and expand their practice to countries where the forest health sector is less developed. In this sense, citizen scientists can help understand and detect outbreaks of new pests and avoid problems in the future.</t>
  </si>
  <si>
    <t>[de Groot, Maarten] Slovenian Forestry Inst, Vecna Pot 2, Ljubljana 1000, Slovenia; [Pocock, Michael J. O.] UK Ctr Ecol &amp; Hydrol, Wallingford OX10 8BB, Oxon, England; [Bonte, Jochem] Flanders Res Inst Agr Fisheries &amp; Food ILVO, Burg Van Gansberghelaan 96, B-9820 Merelbeke, Belgium; [Fernandez-Conradi, Pilar] INRAE, UR629 Rech Forestieres Mediterraneennes URFM, F-84914 Avignon, France; [Valdes-Correcher, Elena] Univ Bordeaux, BIOGECO, INRAE, Cestas, Bordeaux, France</t>
  </si>
  <si>
    <t>Slovenian Forestry Institute; UK Centre for Ecology &amp; Hydrology (UKCEH); Institute For Agricultural &amp; Fisheries Research; INRAE; Universite de Bordeaux; INRAE</t>
  </si>
  <si>
    <t>de Groot, M (corresponding author), Slovenian Forestry Inst, Vecna Pot 2, Ljubljana 1000, Slovenia.</t>
  </si>
  <si>
    <t>maarten.degroot@gozdis.si</t>
  </si>
  <si>
    <t>Pocock, Michael/A-5632-2012; de Groot, Maarten/AER-0020-2022; Valdes Correcher, Elena/AFU-6558-2022</t>
  </si>
  <si>
    <t>Pocock, Michael/0000-0003-4375-0445; de Groot, Maarten/0000-0002-5721-6676; Bonte, Jochem/0000-0001-6191-0604; Valdes Correcher, Elena/0000-0001-6842-1280; Fernandez-Conradi, Pilar/0000-0001-7025-2623</t>
  </si>
  <si>
    <t>BNP Paribas Foundation through its Climate and Biodiversity Initiative for the Tree bodyguards citizen science project; core research group Forest biology, ecology and technology of the Slovenian Research Agency [P4-0107]; Administration for Food Safety, Veterinary Sector and Plant Protection at the Ministry of Agriculture, Forestry and Food of the republic of Slovenia; Natural Environment Research Council [NE/R016429/1]; Own Capital of ILVO; FPS Public Health Belgium; COST action Alien CSI 'Increasing understanding of alien species through citizen science' (COST Action) [CA17122]; Natural Environment Research Council [NE/R016429/1] Funding Source: researchfish; NERC [NE/R016429/1] Funding Source: UKRI</t>
  </si>
  <si>
    <t>BNP Paribas Foundation through its Climate and Biodiversity Initiative for the Tree bodyguards citizen science project; core research group Forest biology, ecology and technology of the Slovenian Research Agency; Administration for Food Safety, Veterinary Sector and Plant Protection at the Ministry of Agriculture, Forestry and Food of the republic of Slovenia; Natural Environment Research Council(UK Research &amp; Innovation (UKRI)Natural Environment Research Council (NERC)); Own Capital of ILVO; FPS Public Health Belgium; COST action Alien CSI 'Increasing understanding of alien species through citizen science' (COST Action); Natural Environment Research Council(UK Research &amp; Innovation (UKRI)Natural Environment Research Council (NERC)); NERC(UK Research &amp; Innovation (UKRI)Natural Environment Research Council (NERC))</t>
  </si>
  <si>
    <t>EVC was supported by the BNP Paribas Foundation through its Climate and Biodiversity Initiative for the Tree bodyguards citizen science project. MdG was supported by the core research group Forest biology, ecology and technology (P4-0107) of the Slovenian Research Agency and the Administration for Food Safety, Veterinary Sector and Plant Protection at the Ministry of Agriculture, Forestry and Food of the republic of Slovenia. MJOP was supported by the Natural Environment Research Council Award No. NE/R016429/1 as part of the UK-SCAPE programme delivering National Capability. JB was supported by the Own Capital of ILVO and several projects funded by FPS Public Health Belgium. We acknowledge support from the COST action Alien CSI 'Increasing understanding of alien species through citizen science' (COST Action CA17122).</t>
  </si>
  <si>
    <t>SPRINGER INT PUBL AG</t>
  </si>
  <si>
    <t>CHAM</t>
  </si>
  <si>
    <t>GEWERBESTRASSE 11, CHAM, CH-6330, SWITZERLAND</t>
  </si>
  <si>
    <t>2198-6436</t>
  </si>
  <si>
    <t>CURR FOR REP</t>
  </si>
  <si>
    <t>Curr. For. Rep.</t>
  </si>
  <si>
    <t>FEB</t>
  </si>
  <si>
    <t>10.1007/s40725-022-00176-9</t>
  </si>
  <si>
    <t>NOV 2022</t>
  </si>
  <si>
    <t>Forestry</t>
  </si>
  <si>
    <t>7W6NF</t>
  </si>
  <si>
    <t>Green Submitted, Green Published, hybrid</t>
  </si>
  <si>
    <t>WOS:000888716300002</t>
  </si>
  <si>
    <t>Christakakis, P; Papadopoulou, G; Mikos, G; Kalogiannidis, N; Ioannidis, D; Tzovaras, D; Pechlivani, EM</t>
  </si>
  <si>
    <t>Christakakis, Panagiotis; Papadopoulou, Garyfallia; Mikos, Georgios; Kalogiannidis, Nikolaos; Ioannidis, Dimosthenis; Tzovaras, Dimitrios; Pechlivani, Eleftheria Maria</t>
  </si>
  <si>
    <t>Smartphone-Based Citizen Science Tool for Plant Disease and Insect Pest Detection Using Artificial Intelligence</t>
  </si>
  <si>
    <t>TECHNOLOGIES</t>
  </si>
  <si>
    <t>citizen science; mobile applications; deep learning; decision support system; pests; Tuta absoluta</t>
  </si>
  <si>
    <t>DEEP; FRUIT</t>
  </si>
  <si>
    <t>In recent years, the integration of smartphone technology with novel sensing technologies, Artificial Intelligence (AI), and Deep Learning (DL) algorithms has revolutionized crop pest and disease surveillance. Efficient and accurate diagnosis is crucial to mitigate substantial economic losses in agriculture caused by diseases and pests. An innovative Apple (R) and Android (TM) mobile application for citizen science has been developed, to enable real-time detection and identification of plant leaf diseases and pests, minimizing their impact on horticulture, viticulture, and olive cultivation. Leveraging DL algorithms, this application facilitates efficient data collection on crop pests and diseases, supporting crop yield protection and cost reduction in alignment with the Green Deal goal for 2030 by reducing pesticide use. The proposed citizen science tool involves all Farm to Fork stakeholders and farm citizens in minimizing damage to plant health by insect and fungal diseases. It utilizes comprehensive datasets, including images of various diseases and insects, within a robust Decision Support System (DSS) where DL models operate. The DSS connects directly with users, allowing them to upload crop pest data via the mobile application, providing data-driven support and information. The application stands out for its scalability and interoperability, enabling the continuous integration of new data to enhance its capabilities. It supports AI-based imaging analysis of quarantine pests, invasive alien species, and emerging and native pests, thereby aiding post-border surveillance programs. The mobile application, developed using a Python-based REST API, PostgreSQL, and Keycloak, has been field-tested, demonstrating its effectiveness in real-world agriculture scenarios, such as detecting Tuta absoluta (Meyrick) infestation in tomato cultivations. The outcomes of this study in T. absoluta detection serve as a showcase scenario for the proposed citizen science tool's applicability and usability, demonstrating a 70.2% accuracy (mAP(50)) utilizing advanced DL models. Notably, during field testing, the model achieved detection confidence levels of up to 87%, enhancing pest management practices.</t>
  </si>
  <si>
    <t>[Christakakis, Panagiotis; Papadopoulou, Garyfallia; Mikos, Georgios; Kalogiannidis, Nikolaos; Ioannidis, Dimosthenis; Tzovaras, Dimitrios; Pechlivani, Eleftheria Maria] Informat Technol Inst, Ctr Res &amp; Technol Hellas, Thessaloniki 57001, Greece</t>
  </si>
  <si>
    <t>Centre for Research &amp; Technology Hellas</t>
  </si>
  <si>
    <t>Pechlivani, EM (corresponding author), Informat Technol Inst, Ctr Res &amp; Technol Hellas, Thessaloniki 57001, Greece.</t>
  </si>
  <si>
    <t>christakakis@iti.gr; papadgaryf@iti.gr; gmikos@iti.gr; nkalogia@iti.gr; djoannid@iti.gr; dimitrios.tzovaras@iti.gr; riapechl@iti.gr</t>
  </si>
  <si>
    <t>Tzovaras, Dimitrios/ABB-9576-2021; Ioannidis, Dimosthenis/J-2333-2019</t>
  </si>
  <si>
    <t>Christakakis, Panagiotis/0009-0008-3766-6320; Ioannidis, Dimosthenis/0000-0002-5747-2186</t>
  </si>
  <si>
    <t>European Union [101037128]</t>
  </si>
  <si>
    <t>European Union(European Union (EU))</t>
  </si>
  <si>
    <t>The Green Deal PestNu project, funded by the European Union's Horizon 2020 research and innovation program under grant agreement No. 101037128.</t>
  </si>
  <si>
    <t>MDPI</t>
  </si>
  <si>
    <t>BASEL</t>
  </si>
  <si>
    <t>MDPI AG, Grosspeteranlage 5, CH-4052 BASEL, SWITZERLAND</t>
  </si>
  <si>
    <t>2227-7080</t>
  </si>
  <si>
    <t>Technologies</t>
  </si>
  <si>
    <t>JUL</t>
  </si>
  <si>
    <t>10.3390/technologies12070101</t>
  </si>
  <si>
    <t>Engineering, Multidisciplinary</t>
  </si>
  <si>
    <t>Engineering</t>
  </si>
  <si>
    <t>ZY4K2</t>
  </si>
  <si>
    <t>WOS:001278830200001</t>
  </si>
  <si>
    <t>Abourashed, A; Doornekamp, L; Escartin, S; Koenraadt, CJM; Schrama, M; Wagener, M; Bartumeus, F; van Gorp, ECM</t>
  </si>
  <si>
    <t>Abourashed, Ayat; Doornekamp, Laura; Escartin, Santi; Koenraadt, Constantianus J. M.; Schrama, Maarten; Wagener, Marlies; Bartumeus, Frederic; van Gorp, Eric C. M.</t>
  </si>
  <si>
    <t>The Potential Role of School Citizen Science Programs in Infectious Disease Surveillance: A Critical Review</t>
  </si>
  <si>
    <t>INTERNATIONAL JOURNAL OF ENVIRONMENTAL RESEARCH AND PUBLIC HEALTH</t>
  </si>
  <si>
    <t>citizen science; education; infectious diseases; life sciences; public health; schools; surveillance</t>
  </si>
  <si>
    <t>PARTICIPATORY ACTION RESEARCH; PANDEMIC INFLUENZA; MOTIVATIONS; DEBRIS; TRENDS</t>
  </si>
  <si>
    <t>Public involvement in science has allowed researchers to collect large-scale and real-time data and also engage citizens, so researchers are adopting citizen science (CS) in many areas. One promising appeal is student participation in CS school programs. In this literature review, we aimed to investigate which school CS programs exist in the areas of (applied) life sciences and if any projects target infectious disease surveillance. This review's objectives are to determine success factors in terms of data quality and student engagement. After a comprehensive search in biomedical and social databases, we found 23 projects. None of the projects found focused on infectious disease surveillance, and the majority centered around species biodiversity. While a few projects had issues with data quality, simplifying the protocol or allowing students to resubmit data made the data collected more usable. Overall, students at different educational levels and disciplines were able to collect usable data that was comparable to expert data and had positive learning experiences. In this review, we have identified limitations and gaps in reported CS school projects and provided recommendations for establishing future programs. This review shows the value of using CS in collaboration with traditional research techniques to advance future science and increasingly engage communities.</t>
  </si>
  <si>
    <t>[Abourashed, Ayat; Doornekamp, Laura; van Gorp, Eric C. M.] Erasmus MC, Dept Virosci, NL-3015 GD Rotterdam, Netherlands; [Abourashed, Ayat; Wagener, Marlies] Rotterdam Univ Appl Sci, Ctr Expertise Innovat Care, NL-3015 EK Rotterdam, Netherlands; [Escartin, Santi; Bartumeus, Frederic] Ctr Estudis Avancats Blanes CEAB CSIC, Blanes 17300, Spain; [Koenraadt, Constantianus J. M.] Wageningen Univ &amp; Res, Lab Entomol, NL-6708 PB Wageningen, Netherlands; [Schrama, Maarten] Leiden Univ, Inst Environm Sci, NL-2300 RA Leiden, Netherlands; [Bartumeus, Frederic] Ctr Recerca Ecol &amp; Aplicac Forestals CREAF, Cerdanyola Del Valles 08193, Spain; [Bartumeus, Frederic] Inst Catalana Recerca &amp; Estudis Avancats ICREA, Barcelona 08010, Spain</t>
  </si>
  <si>
    <t>Erasmus University Rotterdam; Erasmus MC; Consejo Superior de Investigaciones Cientificas (CSIC); CSIC - Centre d'Estudis Avancats de Blanes (CEAB); Wageningen University &amp; Research; Leiden University - Excl LUMC; Leiden University; Centro de Investigacion Ecologica y Aplicaciones Forestales (CREAF-CERCA); ICREA</t>
  </si>
  <si>
    <t>Abourashed, A (corresponding author), Erasmus MC, Dept Virosci, NL-3015 GD Rotterdam, Netherlands.;Abourashed, A (corresponding author), Rotterdam Univ Appl Sci, Ctr Expertise Innovat Care, NL-3015 EK Rotterdam, Netherlands.</t>
  </si>
  <si>
    <t>a.abourashed@erasmusmc.nl; l.doornekamp@erasmusmc.nl; santi.escartin@ceab.csic.es; sander.koenraadt@wur.nl; m.j.j.schrama@cml.leidenuniv.nl; m.n.wagener@hr.nl; fbartu@ceab.csic.es; e.vangorp@erasmusmc.nl</t>
  </si>
  <si>
    <t>Bartumeus, Frederic/D-1911-2010</t>
  </si>
  <si>
    <t>Doornekamp, Laura/0000-0002-6525-6002; Abourashed, Ayat/0000-0002-0438-1600; Escartin Peña, Santi/0000-0003-1521-2500</t>
  </si>
  <si>
    <t>Dutch Research Council (NWO) [109986]</t>
  </si>
  <si>
    <t>Dutch Research Council (NWO)(Netherlands Organization for Scientific Research (NWO))</t>
  </si>
  <si>
    <t>This work is part of the research programme One Health PACT with project number 109986, which is (partly) financed by the Dutch Research Council (NWO).</t>
  </si>
  <si>
    <t>1660-4601</t>
  </si>
  <si>
    <t>INT J ENV RES PUB HE</t>
  </si>
  <si>
    <t>Int. J. Environ. Res. Public Health</t>
  </si>
  <si>
    <t>10.3390/ijerph18137019</t>
  </si>
  <si>
    <t>Environmental Sciences; Public, Environmental &amp; Occupational Health</t>
  </si>
  <si>
    <t>Science Citation Index Expanded (SCI-EXPANDED); Social Science Citation Index (SSCI)</t>
  </si>
  <si>
    <t>Environmental Sciences &amp; Ecology; Public, Environmental &amp; Occupational Health</t>
  </si>
  <si>
    <t>TG2AW</t>
  </si>
  <si>
    <t>Green Submitted, Green Published, Green Accepted, gold</t>
  </si>
  <si>
    <t>WOS:000671212800001</t>
  </si>
  <si>
    <t>Grez, AA; Zaviezo, T; Orellana, I; Pino, L; Roy, HE; Torres, F; Rebolledo, C</t>
  </si>
  <si>
    <t>Grez, Audrey A.; Zaviezo, Tania; Orellana, Ignacio; Pino, Luna; Roy, Helen E.; Torres, Fernando; Rebolledo, Claudia</t>
  </si>
  <si>
    <t>Citizen Science and Phytosanitary Surveillance Systems Are Complementary Tools to Follow the Invasion of Harmonia axyridis</t>
  </si>
  <si>
    <t>NEOTROPICAL ENTOMOLOGY</t>
  </si>
  <si>
    <t>Biological invasions; Coccinellids; Data bias; Distribution; Structured monitoring</t>
  </si>
  <si>
    <t>LADY BEETLES; CHILE; BIODIVERSITY; SPREAD</t>
  </si>
  <si>
    <t>Citizen science is a valuable tool for early detection, distribution, and spread of invasive alien species (IAS). Nevertheless, citizen science initiatives have several potential biases and may be complemented with long-term structured monitoring schemes. We analyzed the spatial-temporal dynamics of the invasion of Harmonia axyridis (Pallas) (Coleoptera: Coccinellidae) in Chile, based upon two citizen sciences databases (WEB and INAT) and one structured monitoring (SAG). We collected 8638 H. axyridis occurrences between 2009 and 2020. WEB had a higher number of records than SAG and INAT, and in all databases, the number of records has increased over time. The three databases showed that the invasion started in central Chile and then spread toward the north and south. The WEB and SAG recorded occurrences in the extreme north and south, whereas INAT concentrated all the occurrences in a more limited area, included in WEB and SAG. Both citizen science initiatives concentrated their records in areas of high human populations whereas SAG records had a more even distribution across regions. At 2020, WEB accounted for 55%, SAG 54%, and INAT 8% of the total area accumulated with H. axyridis, with only 16% of area shared among databases. WEB and INAT obtained most of their records in urban and industrial land cover types, while SAG records were more evenly represented in different land cover types. Our results confirm that combined methods, including citizen science initiatives, national surveillance system, and localized samplings, complement each other in providing knowledge to understand the patterns, processes, and consequences of this invasion.</t>
  </si>
  <si>
    <t>[Grez, Audrey A.; Orellana, Ignacio; Pino, Luna] Univ Chile, Fac Ciencias Vet &amp; Pecuarias, Santiago, Chile; [Zaviezo, Tania] Pontificia Univ Catolica Chile, Fac Agron Ingn Forestal, Santiago, Chile; [Roy, Helen E.] UK Ctr Ecol &amp; Hydrol, Wallingford, Oxon, England; [Torres, Fernando; Rebolledo, Claudia] Serv Agr &amp; Ganadero, Gobierno Chile, Santiago, Chile</t>
  </si>
  <si>
    <t>Universidad de Chile; Pontificia Universidad Catolica de Chile; UK Centre for Ecology &amp; Hydrology (UKCEH)</t>
  </si>
  <si>
    <t>Grez, AA (corresponding author), Univ Chile, Fac Ciencias Vet &amp; Pecuarias, Santiago, Chile.</t>
  </si>
  <si>
    <t>agrez@uchile.cl</t>
  </si>
  <si>
    <t>; Grez, Auey/G-8677-2013; Zaviezo, Tania/F-3099-2014</t>
  </si>
  <si>
    <t>Roy, Helen Elizabeth/0000-0001-6050-679X; Grez, Auey/0000-0002-6907-1283; Zaviezo, Tania/0000-0002-4993-0386</t>
  </si>
  <si>
    <t>National Fund for Scientific and Technological Development (FONDECYT, Chile); Natural Environment Research Council [1140662, 1180533]; [NE/R016429/1]; Natural Environment Research Council [NE/R016429/1] Funding Source: researchfish; NERC [NE/R016429/1] Funding Source: UKRI</t>
  </si>
  <si>
    <t>National Fund for Scientific and Technological Development (FONDECYT, Chile)(Comision Nacional de Investigacion Cientifica y Tecnologica (CONICYT)CONICYT FONDECYT); Natural Environment Research Council(UK Research &amp; Innovation (UKRI)Natural Environment Research Council (NERC)); ; Natural Environment Research Council(UK Research &amp; Innovation (UKRI)Natural Environment Research Council (NERC)); NERC(UK Research &amp; Innovation (UKRI)Natural Environment Research Council (NERC))</t>
  </si>
  <si>
    <t>This work was funded by the National Fund for Scientific and Technological Development (FONDECYT, Chile) through the grants N degrees 1140662 and 1180533 to AAG and TZ. HER is supported by the Natural Environment Research Council award number NE/R016429/1 as part of the UK-SCAPE programme delivering National Capability. The COST Action network Alien CSI (CA17122) has been influential in enabling collaborations among citizen science practitioners within the field of invasion science and beyond.</t>
  </si>
  <si>
    <t>ENTOMOLOGICAL SOC BRASIL</t>
  </si>
  <si>
    <t>LONDRINA,</t>
  </si>
  <si>
    <t>CAIXA POSTAL 481, 86001-970 LONDRINA,, PR, BRAZIL</t>
  </si>
  <si>
    <t>1519-566X</t>
  </si>
  <si>
    <t>1678-8052</t>
  </si>
  <si>
    <t>NEOTROP ENTOMOL</t>
  </si>
  <si>
    <t>Neotrop. Entomol.</t>
  </si>
  <si>
    <t>10.1007/s13744-022-01014-0</t>
  </si>
  <si>
    <t>DEC 2022</t>
  </si>
  <si>
    <t>Entomology</t>
  </si>
  <si>
    <t>8L6JQ</t>
  </si>
  <si>
    <t>WOS:000898289200002</t>
  </si>
  <si>
    <t>Hulbert, JM; Hallett, RA; Roy, HE; Cleary, M</t>
  </si>
  <si>
    <t>Hulbert, Joseph M. M.; Hallett, Richard A. A.; Roy, Helen E. E.; Cleary, Michelle</t>
  </si>
  <si>
    <t>Citizen science can enhance strategies to detect and manage invasive forest pests and pathogens</t>
  </si>
  <si>
    <t>FRONTIERS IN ECOLOGY AND EVOLUTION</t>
  </si>
  <si>
    <t>citizen science; invasive species; forest health; biosecurity; public engagement</t>
  </si>
  <si>
    <t>DATA QUALITY; TREE PESTS; PLANT-PATHOGENS; TRADE; IMPACTS; INSECT; TOOL; UK; OPPORTUNITIES; BIOSECURITY</t>
  </si>
  <si>
    <t>Incorporating a citizen science approach into biological invasion management strategies can enhance biosecurity. Many citizen science projects exist to strengthen the management of forest pest and pathogen invasions within both pre- and post-border scenarios. Besides the value of citizen science initiatives for early detection and monitoring, they also contribute widely to raising awareness, informing decisions about eradication and containment efforts to minimize pest and pathogen spread, and even finding resistant plant material for restoration of landscapes degraded by disease. Overall, many projects actively engage citizens in the different stages of forest pest and pathogen invasions, but it is unclear how they work together across all stages of the entire biological invasion process to enhance biosecurity. Here we provide examples of citizen science projects for each stage of the biological invasion process, discuss options for developing a citizen science program to enhance biosecurity, and suggest approaches for integrating citizen science into biosecurity measures to help safeguard forest resources in the future.</t>
  </si>
  <si>
    <t>[Hulbert, Joseph M. M.] Washington State Univ, Puyallup Res &amp; Extens Ctr, Dept Plant Pathol, Puyallup, WA 98371 USA; [Hallett, Richard A. A.] USDA Forest Serv, Northern Res Stn, Durham, NH USA; [Roy, Helen E. E.] UK Ctr Ecol &amp; Hydrol, Wallingford, England; [Cleary, Michelle] Swedish Univ Agr Sci, Southern Swedish Forest Res Ctr, Alnarp, Sweden</t>
  </si>
  <si>
    <t>Washington State University; United States Department of Agriculture (USDA); United States Forest Service; UK Centre for Ecology &amp; Hydrology (UKCEH); Swedish University of Agricultural Sciences</t>
  </si>
  <si>
    <t>Hulbert, JM (corresponding author), Washington State Univ, Puyallup Res &amp; Extens Ctr, Dept Plant Pathol, Puyallup, WA 98371 USA.</t>
  </si>
  <si>
    <t>hulbe@wsu.edu</t>
  </si>
  <si>
    <t>Cleary, Michelle/E-9742-2013</t>
  </si>
  <si>
    <t>Hulbert, Joseph/0000-0002-7921-3572</t>
  </si>
  <si>
    <t>Natural Environment Research Council [NE/R016429/1] Funding Source: researchfish</t>
  </si>
  <si>
    <t>Natural Environment Research Council(UK Research &amp; Innovation (UKRI)Natural Environment Research Council (NERC))</t>
  </si>
  <si>
    <t>2296-701X</t>
  </si>
  <si>
    <t>FRONT ECOL EVOL</t>
  </si>
  <si>
    <t>Front. Ecol. Evol.</t>
  </si>
  <si>
    <t>FEB 16</t>
  </si>
  <si>
    <t>10.3389/fevo.2023.1113978</t>
  </si>
  <si>
    <t>Ecology</t>
  </si>
  <si>
    <t>Environmental Sciences &amp; Ecology</t>
  </si>
  <si>
    <t>9L6IA</t>
  </si>
  <si>
    <t>WOS:000941650700001</t>
  </si>
  <si>
    <t>Peng, NYG; Hall, RN; Huang, NN; West, P; Cox, TE; Mahar, JE; Mason, H; Campbell, S; O'Connor, T; Read, AJ; Patel, KK; Taggart, PL; Smith, IL; Strive, T; Jenckel, M</t>
  </si>
  <si>
    <t>Peng, Nias Y. G.; Hall, Robyn N.; Huang, Nina; West, Peter; Cox, Tarnya E.; Mahar, Jackie E.; Mason, Hugh; Campbell, Susan; O'Connor, Tiffany; Read, Andrew J.; Patel, Kandarp K.; Taggart, Patrick L.; Smith, Ina L.; Strive, Tanja; Jenckel, Maria</t>
  </si>
  <si>
    <t>Utilizing Molecular Epidemiology and Citizen Science for the Surveillance of Lagoviruses in Australia</t>
  </si>
  <si>
    <t>VIRUSES-BASEL</t>
  </si>
  <si>
    <t>RHDV; molecular epidemiology; calicivirus; citizen science</t>
  </si>
  <si>
    <t>RABBIT HEMORRHAGIC-DISEASE; ORYCTOLAGUS-CUNICULUS; BIOLOGICAL-CONTROL; EUROPEAN RABBITS; VIRUS RHDV; SEQUENCE; POPULATIONS; VARIANT; IMPACT</t>
  </si>
  <si>
    <t>Australia has multiple lagoviruses with differing pathogenicity. The circulation of these viruses was traditionally determined through opportunistic sampling events. In the lead up to the nationwide release of RHDVa-K5 (GI.1aP-GI.1a) in 2017, an existing citizen science program, RabbitScan, was augmented to allow members of the public to submit samples collected from dead leporids for lagovirus testing. This study describes the information obtained from the increased number of leporid samples received between 2015 and 2022 and focuses on the recent epidemiological interactions and evolutionary trajectory of circulating lagoviruses in Australia between October 2020 and December 2022. A total of 2771 samples were tested from January 2015 to December 2022, of which 1643 were lagovirus-positive. Notable changes in the distribution of lagovirus variants were observed, predominantly in Western Australia, where RHDV2-4c (GI.4cP-GI.2) was detected again in 2021 after initially being reported to be present in 2018. Interestingly, we found evidence that the deliberately released RHDVa-K5 was able to establish and circulate in wild rabbit populations in WA. Overall, the incorporation of citizen science approaches proved to be a cost-efficient method to increase the sampling area and enable an in-depth analysis of lagovirus distribution, genetic diversity, and interactions. The maintenance of such programs is essential to enable continued investigations of the critical parameters affecting the biocontrol of feral rabbit populations in Australia, as well as to enable the detection of any potential future incursions.</t>
  </si>
  <si>
    <t>[Peng, Nias Y. G.; Hall, Robyn N.; Huang, Nina; Mason, Hugh; Smith, Ina L.; Strive, Tanja; Jenckel, Maria] CSIRO, Hlth &amp; Biosecur, Canberra, ACT 2601, Australia; [Hall, Robyn N.; West, Peter; O'Connor, Tiffany; Read, Andrew J.; Patel, Kandarp K.; Taggart, Patrick L.; Strive, Tanja] Ctr Invas Species Solut, Bruce, ACT 2617, Australia; [Hall, Robyn N.] Ausvet Pty Ltd, Canberra, ACT 2617, Australia; [West, Peter; Cox, Tarnya E.] NSW Dept Primary Ind, Vertebrate Pest Res Unit, Orange, NSW 2880, Australia; [Mahar, Jackie E.] Univ Sydney, Sch Med Sci, Sydney, NSW 2050, Australia; [Mahar, Jackie E.] CSIRO, Australian Anim Hlth Lab &amp; Hlth &amp; Biosecur, Geelong, Vic 3220, Australia; [Campbell, Susan] Dept Primary Ind &amp; Reg Dev WA, Albany, WA 6630, Australia; [O'Connor, Tiffany; Read, Andrew J.] NSW Dept Primary Ind, Elizabeth Macarthur Agr Inst, Menangle, NSW 2568, Australia; [Patel, Kandarp K.] Dept Primary Ind &amp; Reg SA, Invas Species Unit, Urrbrae, SA 5064, Australia; [Patel, Kandarp K.] Univ Adelaide, Sch Anim &amp; Vet Sci, Roseworthy, SA 5371, Australia; [Taggart, Patrick L.] NSW Dept Primary Ind, Vertebrate Pest Res Unit, Queanbeyan, NSW 2620, Australia</t>
  </si>
  <si>
    <t>Commonwealth Scientific &amp; Industrial Research Organisation (CSIRO); CSIRO Health &amp; Biosecurity; Centre for Invasive Species Solution; Ausvet; Department of Primary Industries &amp; Regional Development NSW; University of Sydney; Commonwealth Scientific &amp; Industrial Research Organisation (CSIRO); Department of Primary Industries &amp; Regional Development NSW; Adelaide University; University of Adelaide; Department of Primary Industries &amp; Regional Development NSW</t>
  </si>
  <si>
    <t>Jenckel, M (corresponding author), CSIRO, Hlth &amp; Biosecur, Canberra, ACT 2601, Australia.</t>
  </si>
  <si>
    <t>nias.peng@csiro.au; robyn.hall@csiro.au; nina.huang@csiro.au; peter.west@dpi.nsw.gov.au; tarnya.cox@dpi.nsw.gov.au; jackie.mahar@csiro.au; hugh.mason@csiro.au; susan.campbell@dpird.wa.gov.au; tiffany.o'connor@dpi.nsw.gov.au; andrew.j.read@dpi.nsw.gov.au; kandarp.patel@adelaide.edu.au; patrick.taggart@bushheritage.org.au; ina.smith@csiro.au; tanja.strive@csiro.au; maria.jenckel@csiro.au</t>
  </si>
  <si>
    <t>Cox, Tarnya/L-8213-2019; O'Connor, Tiffany/ACF-8908-2022; Peng, Yong Gao/J-9329-2017; Jenckel, Maria/GOJ-7985-2022; Strive, Tanja/C-1486-2008; Hall, Robyn/AFN-8815-2022; Read, Anew/I-6999-2012; Taggart, Patrick/AAE-2648-2020; Mahar, Jackie/AAV-2888-2021</t>
  </si>
  <si>
    <t>Cox, Tarnya/0000-0001-9581-9227; O'Connor, Tiffany/0000-0003-1252-0591; Peng, Yong Gao/0000-0002-7488-5441; Jenckel, Maria/0000-0001-9104-2369; Huang, Nina/0000-0003-4202-2825; Strive, Tanja/0000-0003-2971-8406; Hall, Robyn/0000-0002-5836-2990; Read, Anew/0000-0002-2421-4287; Taggart, Patrick/0000-0001-9523-0463; Mahar, Jackie/0000-0003-2687-9810</t>
  </si>
  <si>
    <t>Centre for Invasive Species Solutions</t>
  </si>
  <si>
    <t>We want to thank all sample submitters for their contributions to this study. We thank Emma Sawyer and everyone involved in the project for their help, support, and advice. Elena Smertina for proofreading the manuscript.</t>
  </si>
  <si>
    <t>ST ALBAN-ANLAGE 66, CH-4052 BASEL, SWITZERLAND</t>
  </si>
  <si>
    <t>1999-4915</t>
  </si>
  <si>
    <t>Viruses-Basel</t>
  </si>
  <si>
    <t>10.3390/v15122348</t>
  </si>
  <si>
    <t>Virology</t>
  </si>
  <si>
    <t>DG7H7</t>
  </si>
  <si>
    <t>WOS:001130935700001</t>
  </si>
  <si>
    <t>Skarzauskiene, A; Angelidou, M; Politis, C; Roma-Athanasiadou, E; Maciuliene, M</t>
  </si>
  <si>
    <t>Skarzauskiene, Aelita; Angelidou, Margarita; Politis, Christos; Roma-Athanasiadou, Elli; Maciuliene, Monika</t>
  </si>
  <si>
    <t>Monitoring Citizen Science Performance: Methodological Guidelines</t>
  </si>
  <si>
    <t>CONTEMPORARY ECONOMICS</t>
  </si>
  <si>
    <t>Citizen Science; Quadruple Helix stakeholders; public engagement; co -creation.</t>
  </si>
  <si>
    <t>RESPONSIBLE RESEARCH; INNOVATION</t>
  </si>
  <si>
    <t>This research paper aims to co-design a theoretical framework and methodological guidelines to monitor the performance, outcomes, and impact of Citizen Science projects. Hence, the proposed methodology combines the previous research efforts on the engagement of external stakeholders into a composite monitoring tool, which allows measuring and comparing CS project progress towards defined objectives. The development of methodology adopted a pragmatic mixed-method research design. Firstly, analysis of the theoretical sources and available monitoring tools provided the basis for a conceptual framework and identification of measurement indicators. The rationale of the conceptual framework was based on the co-creation workshop and stakeholders` interviews. In addition, the aggregation of indicators during the expert Focus group research resulted in a meaningful design of the composite CS Performance Index. The designed methodology is a part of the three-year Horizon 2020 Science with and for Society project INCENTIVE (Grant Agreement No. 101005330) that brings on board four Research Performing and Funding Organizations: the University of Twente, the Autonomous University of Barcelona, the Aristotle University of Thessaloniki and the Vilnius Gediminas Technical University. Methodological guidelines set the structure for applying the monitoring in four national CS Hubs and support their coordination. In particular, the values of the indicators could be compared with the targets set, with the respective values of other Citizen Science Hubs, or to worldwide trends.</t>
  </si>
  <si>
    <t>[Skarzauskiene, Aelita; Maciuliene, Monika] Vilniaus Gedimino Technikos Univ, Fac Creat Ind, Vilnius, Lithuania; [Angelidou, Margarita; Politis, Christos; Roma-Athanasiadou, Elli] Aristotle Univ Thessaloniki, Thessalonike, Kentrike Makedo, Greece</t>
  </si>
  <si>
    <t>Vilnius Gediminas Technical University; Aristotle University of Thessaloniki</t>
  </si>
  <si>
    <t>Skarzauskiene, A (corresponding author), Vilniaus Gedimino Technikos Univ, Fac Creat Ind, Vilnius, Lithuania.</t>
  </si>
  <si>
    <t>aelita@mruni.eu</t>
  </si>
  <si>
    <t>; Skarzauskiene, Aelita/L-7900-2016; Maciuliene, Monika/LVS-4641-2024</t>
  </si>
  <si>
    <t>Roma-Athanasiadou, Elli/0000-0003-0235-3996; Politis, Christos/0000-0002-0480-2903; Skarzauskiene, Aelita/0000-0003-1606-0676; Angelidou, Margarita/0000-0001-6623-9741</t>
  </si>
  <si>
    <t>European Union's Horizon 2020 research and innovation program [101005330]</t>
  </si>
  <si>
    <t>European Union's Horizon 2020 research and innovation program(Horizon 2020)</t>
  </si>
  <si>
    <t>The European Union's Horizon 2020 research and innovation program funded this research and innovation under Grant Agreement No. 101005330 (INCENTIVE) .</t>
  </si>
  <si>
    <t>UNIV ECONOMICS &amp; HUMAN SCIENCES WARSAW</t>
  </si>
  <si>
    <t>WARSAW</t>
  </si>
  <si>
    <t>OKOPOWA 59, WARSAW, 01-043, POLAND</t>
  </si>
  <si>
    <t>2084-0845</t>
  </si>
  <si>
    <t>2300-8814</t>
  </si>
  <si>
    <t>CONTEMP ECON</t>
  </si>
  <si>
    <t>Contemp. Econ.</t>
  </si>
  <si>
    <t>MAR 31</t>
  </si>
  <si>
    <t>10.5709/ce.1897-9254.526</t>
  </si>
  <si>
    <t>Economics</t>
  </si>
  <si>
    <t>Business &amp; Economics</t>
  </si>
  <si>
    <t>KS2R6</t>
  </si>
  <si>
    <t>WOS:001181894900002</t>
  </si>
  <si>
    <t>Saavedra, I; Rabadán-González , J; Aragones, D; Figuerola, J</t>
  </si>
  <si>
    <t>Saavedra, Irene; Rabadan-Gonzalez, Julio; Aragones, David; Figuerola, Jordi</t>
  </si>
  <si>
    <t>Can Citizen Science Contribute to Avian Influenza Surveillance?</t>
  </si>
  <si>
    <t>PATHOGENS</t>
  </si>
  <si>
    <t>avian influenza virus; citizen science platforms; outbreak surveillance; early warning system</t>
  </si>
  <si>
    <t>VIRUSES; SURVIVAL; EVENTS; HEALTH</t>
  </si>
  <si>
    <t>Global change is an important driver of the increase in emerging infectious diseases in recent decades. In parallel, interest in nature has increased, and different citizen science platforms have been developed to record wildlife observations from the general public. Some of these platforms also allow registering the observations of dead or sick birds. Here, we test the utility of live, sick and dead observations of birds recorded on the platform Observation.org for the early detection of highly pathogenic avian influenza virus (HPAIV) outbreaks in the wild in Belgium and The Netherlands. There were no significant differences in the morbidity/mortality rate through Observation.org one to four weeks in advance. However, the results show that the HPAIV outbreaks officially reported by the World Organisation for Animal Health (WOAH) overlapped in time with sudden increases in the records of sick and dead birds in the wild. In addition, in two of the five main HPAIV outbreaks recorded between 2016 and 2021, wild Anseriformes mortality increased one to two months before outbreak declaration. Although we cannot exclude that this increase was related to other causes such as other infectious diseases, we propose that Observation.org is a useful nature platform to complement animal health surveillance in wild birds. We propose possible approaches to improve the utility of the platform for pathogen surveillance in wildlife and discuss the potential for HPAIV outbreak detection systems based on citizen science to complement current surveillance programs of health authorities.</t>
  </si>
  <si>
    <t>[Saavedra, Irene; Figuerola, Jordi] Univ Seville, Ctr Invest Cient Isl Cartuja, Consejo Super Invest Cient, Inst Bioquim Vegetal &amp; Fotosintesis, E-41092 Seville, Spain; [Rabadan-Gonzalez, Julio] Observat org, C Fresno 9, E-41111 Seville, Spain; [Aragones, David] CSIC, Remote Sensing &amp; GIS Lab LAST EBD, Estn Biol Donana, C Americo Vespucio 26, E-41092 Seville, Spain; [Figuerola, Jordi] CIBER Epidemiol &amp; Publ Hlth CIBERESP, E-28028 Madrid, Spain</t>
  </si>
  <si>
    <t>Consejo Superior de Investigaciones Cientificas (CSIC); University of Sevilla; CSIC - Instituto de Bioquimica Vegetal y Fotosintesis (IBVF); Consejo Superior de Investigaciones Cientificas (CSIC); CSIC - Estacion Biologica de Donana (EBD); CIBER - Centro de Investigacion Biomedica en Red; CIBERESP</t>
  </si>
  <si>
    <t>Saavedra, I (corresponding author), Univ Seville, Ctr Invest Cient Isl Cartuja, Consejo Super Invest Cient, Inst Bioquim Vegetal &amp; Fotosintesis, E-41092 Seville, Spain.</t>
  </si>
  <si>
    <t>irene.saavedra@ebd.csic.es; julio@observation.org; daragones@ebd.csic.es; jordi@ebd.csic.es</t>
  </si>
  <si>
    <t>Saavedra, Irene/AAA-4640-2021; Aragonés, David/R-6887-2018; Figuerola, Jordi/B-7917-2008</t>
  </si>
  <si>
    <t>Aragonés, David/0000-0003-4989-9005; Rabadán-González, Julio/0000-0002-5047-5923; Figuerola, Jordi/0000-0002-4664-9011</t>
  </si>
  <si>
    <t>This study has been possible thanks to the thousands of professional and amateur ornithologists that have contributed their observations to Observatio.org. We are indebted to Observation.org for maintaining and allowing access to the millions of bird recor</t>
  </si>
  <si>
    <t>This study has been possible thanks to the thousands of professional and amateur ornithologists that have contributed their observations to Observatio.org. We are indebted to Observation.org for maintaining and allowing access to the millions of bird records in their files.</t>
  </si>
  <si>
    <t>2076-0817</t>
  </si>
  <si>
    <t>Pathogens</t>
  </si>
  <si>
    <t>SEP</t>
  </si>
  <si>
    <t>10.3390/pathogens12091183</t>
  </si>
  <si>
    <t>Microbiology</t>
  </si>
  <si>
    <t>S6VE2</t>
  </si>
  <si>
    <t>WOS:001072516600001</t>
  </si>
  <si>
    <t>Bried, J; Ries, L; Smith, B; Patten, M; Abbott, J; Ball-Damerow, J; Cannings, R; Cordero-Rivera, A; Cordoba-Aguilar, A; De Marco, P ; Dijkstra, KD; Dolny, A; Van Grunsven, R; Halstead, D; Harabis, F; Hassall, C; Jeanmougin, M; Jones, C; Juen, L; Kalkman, V; Kietzka, G; Mazzacano, CS; Orr, A; Perron, MA; Rocha-Ortega, M; Sahlén, G; Samways, M; Siepielski, A; Simaika, J; Suhling, F; Underhill, L; White, E</t>
  </si>
  <si>
    <t>Bried, Jason; Ries, Leslie; Smith, Brenda; Patten, Michael; Abbott, John; Ball-Damerow, Joan; Cannings, Robert; Cordero-Rivera, Adolfo; Cordoba-Aguilar, Alex; De Marco, Paulo, Jr.; Dijkstra, Klaas-Douwe; Dolny, Ales; Van Grunsven, Roy; Halstead, David; Harabis, Filip; Hassall, Christopher; Jeanmougin, Martin; Jones, Colin; Juen, Leandro; Kalkman, Vincent; Kietzka, Gabriella; Mazzacano, Celeste Searles; Orr, Albert; Perron, Mary Ann; Rocha-Ortega, Maya; Sahlen, Goran; Samways, Michael; Siepielski, Adam; Simaika, John; Suhling, Frank; Underhill, Les; White, Erin</t>
  </si>
  <si>
    <t>Towards Global Volunteer Monitoring of Odonate Abundance</t>
  </si>
  <si>
    <t>BIOSCIENCE</t>
  </si>
  <si>
    <t>citizen science; community science; Odonata; insect declines; Prestonian shortfall</t>
  </si>
  <si>
    <t>CITIZEN SCIENCE; SPECIES RESIDENCY; CONSERVATION; DECLINES; ECOLOGY; ADULT; CHALLENGES; TRENDS</t>
  </si>
  <si>
    <t>Insects are reportedly experiencing widespread declines, but we generally have sparse data on their abundance. Correcting this shortfall will take more effort than professional entomologists alone can manage. Volunteer nature enthusiasts can greatly help to monitor the abundance of dragonflies and damselflies (Odonata), iconic freshwater sentinels and one of the few nonpollinator insect groups appreciated by the public and amenable to citizen science. Although counting individual odonates is common in some locations, current data will not enable a global perspective on Odonate abundance patterns and trends. Borrowing insight from butterfly monitoring efforts, we outline basic plans for a global volunteer network to count odonates, including organizational structure, advertising and recruiting and data collection, submission, and synthesis. We hope our proposal serves as a catalyst for richer coordinated efforts to understand population trends of odonates and other insects in the Anthropocene.</t>
  </si>
  <si>
    <t>[Bried, Jason] Univ Illinois, Illinois Nat Hist Survey, Urbana, IL 61801 USA; [Ries, Leslie] Georgetown Univ, Dept Biol, Washington, DC 20057 USA; [Smith, Brenda; Patten, Michael] Univ Oklahoma, Oklahoma Biol Survey, Norman, OK 73019 USA; [Abbott, John] Univ Alabama, Alabama Museum Nat Hist, Tuscaloosa, AL USA; [Ball-Damerow, Joan] Lawrence Berkeley Natl Lab, Berkeley, CA USA; [Cannings, Robert] Royal British Columbia Museum, Victoria, BC, Canada; [Cordero-Rivera, Adolfo] Univ Vigo, ECOEVO Lab, Pontevedra, Spain; [Cordoba-Aguilar, Alex; Rocha-Ortega, Maya] Univ Nacl Autonoma Mexico, Dept Ecol Evolut, Coyoacan, Mexico; [De Marco, Paulo, Jr.] Univ Fed Goias, Dept Ecol, Goiania, Go, Brazil; [Dijkstra, Klaas-Douwe; Kalkman, Vincent] Naturalis Biodivers Ctr, Leiden, Netherlands; [Dolny, Ales] Univ Ostrava, Dept Biol &amp; Ecol, Ostrava, Czech Republic; [Van Grunsven, Roy] De Vlinderstichting, Dutch Butterfly Conservat, Wageningen, Netherlands; [Halstead, David] Saskatchewan Polytech, Sch Nat Resources &amp; Built Environm, Prince Albert, SK, Canada; [Harabis, Filip] Czech Univ Life Sci, Dept Ecol, Prague, Czech Republic; [Hassall, Christopher] Univ Leeds, Inst Integrat &amp; Comparat Biol, Leeds, W Yorkshire, England; [Jeanmougin, Martin] Univ Grenoble Alpes, CNRS, Lab Ecol Alpine, Grenoble, France; [Jones, Colin] Ontario Minist Nat Resources &amp; Forestry, Peterborough, ON, Canada; [Juen, Leandro] Univ Fed Para, Inst Ciencias Biol, Belem, Para, Brazil; [Kietzka, Gabriella; Samways, Michael] Stellenbosch Univ, Dept Conservat Ecol &amp; Entomol, Stellenbosch, South Africa; [Mazzacano, Celeste Searles] CASM Environm LLC, Portland, OR USA; [Orr, Albert] Griffith Univ, Environm Futures Res Inst, Brisbane, Qld, Australia; [Perron, Mary Ann] Univ Ottawa, Dept Biol, Ottawa, ON, Canada; [Sahlen, Goran] Ilalmstad Univ, RLAS, Ecol &amp; Environm Sci, Halmstad, Sweden; [Siepielski, Adam] Univ Arkansas, Dept Biol Sci, Fayetteville, AR USA; [Simaika, John] IHE Delft Inst Water Educ, Dept Water Sci &amp; Engn, Delft, Netherlands; [Suhling, Frank] Tech Univ Carolo Wilhelmina Braunschweig, Inst Geoecol, Braunschweig, Germany; [Underhill, Les] Univ Cape Town, Dept Biol Sci, Rondebosch, South Africa; [White, Erin] New York Nat Heritage Program, Albany, NY USA</t>
  </si>
  <si>
    <t>Illinois Natural History Survey; University of Illinois System; University of Illinois Urbana-Champaign; Georgetown University; University of Oklahoma System; University of Oklahoma - Norman; University of Alabama System; University of Alabama Tuscaloosa; United States Department of Energy (DOE); Lawrence Berkeley National Laboratory; Universidade de Vigo; Universidad Nacional Autonoma de Mexico; Universidade Federal de Goias; Naturalis Biodiversity Center; University of Ostrava; Czech University of Life Sciences Prague; University of Leeds; Communaute Universite Grenoble Alpes; Universite Grenoble Alpes (UGA); Centre National de la Recherche Scientifique (CNRS); Universite Savoie Mont Blanc; Ministry of Natural Resources &amp; Forestry; Universidade Federal do Para; Stellenbosch University; Griffith University; University of Ottawa; University of Arkansas System; University of Arkansas Fayetteville; IHE Delft Institute for Water Education; Braunschweig University of Technology; University of Cape Town</t>
  </si>
  <si>
    <t>Bried, J (corresponding author), Univ Illinois, Illinois Nat Hist Survey, Urbana, IL 61801 USA.</t>
  </si>
  <si>
    <t>bried@okstate.edu</t>
  </si>
  <si>
    <t>; Suhling, Frank/AAB-8460-2019; Rocha-Ortega, Maya/K-7185-2014; Harabiš, Filip/AAD-1887-2019; Abbott, John/KLD-8780-2024; De Marco, Paulo/B-2209-2009; Bried, Jason/GXZ-4934-2022; Juen, Leano/R-4014-2019; van Grunsven, Roy/G-7029-2011; Damerow, Joan/X-7925-2018; Kalkman, Vincent/D-5275-2013; Hassall, Christopher/H-2469-2013; Dolný, Aleš/ABA-5480-2020; Perron, MaryAnn/KZU-1646-2024; Siepielski, Adam/AAE-4806-2021; Cordero-Rivera, Adolfo/K-4182-2014</t>
  </si>
  <si>
    <t>Halstead, David A/0000-0001-9053-7853; Suhling, Frank/0000-0003-2922-0261; Underhill, Les/0000-0002-8758-1527; Córdoba-Aguilar, Alex/0000-0002-5978-1660; Searles Mazzacano, Celeste/0000-0001-8769-2481; Rocha-Ortega, Maya/0000-0003-0417-9792; Harabiš, Filip/0000-0002-2936-8218; Simaika, John/0000-0002-8073-2804; Abbott, John/0000-0002-6773-3976; De Marco, Paulo/0000-0002-3628-6405; Bried, Jason/0000-0002-8659-9848; Juen, Leano/0000-0002-6188-4386; Damerow, Joan/0000-0003-2601-5043; Kalkman, Vincent/0000-0002-1484-7865; Ries, Leslie/0000-0002-5953-9284; Kietzka, Gabriella/0000-0002-1351-0259; Dolný, Aleš/0000-0002-6245-8442;</t>
  </si>
  <si>
    <t>OXFORD UNIV PRESS</t>
  </si>
  <si>
    <t>OXFORD</t>
  </si>
  <si>
    <t>GREAT CLARENDON ST, OXFORD OX2 6DP, ENGLAND</t>
  </si>
  <si>
    <t>0006-3568</t>
  </si>
  <si>
    <t>1525-3244</t>
  </si>
  <si>
    <t>Bioscience</t>
  </si>
  <si>
    <t>OCT</t>
  </si>
  <si>
    <t>10.1093/biosci/biaa092</t>
  </si>
  <si>
    <t>Biology</t>
  </si>
  <si>
    <t>Life Sciences &amp; Biomedicine - Other Topics</t>
  </si>
  <si>
    <t>OW6GP</t>
  </si>
  <si>
    <t>WOS:000592982800008</t>
  </si>
  <si>
    <t>Ballman, ES; Leahy, JE; Sponarski, CC; Galli, MG; Gardner, AM</t>
  </si>
  <si>
    <t>Ballman, Elissa S.; Leahy, Jessica E.; Sponarski, Carly C.; Galli, Michael G.; Gardner, Allison M.</t>
  </si>
  <si>
    <t>A citizen science approach to investigate the distribution, abundance, and pathogen infection of vector ticks through active surveillance</t>
  </si>
  <si>
    <t>TICKS AND TICK-BORNE DISEASES</t>
  </si>
  <si>
    <t>Public health; Ixodes scapularis; Citizen science; Forest management; Stakeholders</t>
  </si>
  <si>
    <t>IXODES-SCAPULARIS ACARI; UNITED-STATES; HARD TICKS; IXODIDAE</t>
  </si>
  <si>
    <t>Tick-borne disease poses a growing public health burden in the United States and understanding the patterns of presence and density of infected vector ticks is key to developing and implementing effective public health management strategies. Citizen science has emerged as a highly effective means to generate data sets on the geographical distribution of tick species. But to date, nearly all citizen science studies of ticks are 'passive sur-veillance' programs in which researchers accept reports of ticks, together with either physical specimens or digital images, found opportunistically on people, pets, and livestock from community members for species identification and in some cases also tick-borne pathogen detection. These studies are limited because data are not collected systematically, making comparisons among locations and over time challenging, and introducing considerable reporting bias. In this study, we engaged citizen scientists in 'active surveillance' of host-seeking ticks, training volunteers to actively collect ticks on their woodland properties in an emergent region of tick -borne disease in the state of Maine, USA. We developed volunteer recruitment strategies, materials to train volunteers in data collection methods, field data collection protocols based on techniques used by professional scientists, and a variety of incentives to promote volunteer retention and satisfaction with their experiences, and we communicated research findings to participants. A total of 125 volunteers in 2020 and 181 volunteers in 2021 collected 7,246 ticks in southern and coastal Maine, including the American dog tick (Dermacentor variabilis, 4,023 specimens), the blacklegged tick (Ixodes scapularis, 3,092 specimens), and the rabbit tick (Haemaphysalis leporispalustris, 102 specimens). We demonstrated the feasibility of citizen scientists collecting ticks using active surveillance methods and found that volunteers were motivated to participate largely by their interest in the scientific problem and a desire to learn about ticks on their properties.</t>
  </si>
  <si>
    <t>[Ballman, Elissa S.; Galli, Michael G.; Gardner, Allison M.] Univ Maine, Sch Biol &amp; Ecol, 5722 Deering Hall, Orono, ME 04469 USA; [Leahy, Jessica E.] Univ Maine, Sch Forest Resources, 5755 Nutting Hall, Orono, ME 04469 USA; [Sponarski, Carly C.] Northern Forestry Ctr, Canadian Forest Serv, Edmonton, AB T6H 3S5, Canada</t>
  </si>
  <si>
    <t>University of Maine System; University of Maine Orono; University of Maine System; University of Maine Orono; Natural Resources Canada; Canadian Forest Service</t>
  </si>
  <si>
    <t>Gardner, AM (corresponding author), Univ Maine, Sch Biol &amp; Ecol, 5722 Deering Hall, Orono, ME 04469 USA.</t>
  </si>
  <si>
    <t>allison.gardner@maine.edu</t>
  </si>
  <si>
    <t>Sponarski, Carly/N-9325-2019</t>
  </si>
  <si>
    <t>Sponarski, Carly/0000-0001-6274-4433; Leahy, Jessica/0000-0003-1581-9361</t>
  </si>
  <si>
    <t>U.S. Department of Agriculture National Institute of Food and Agriculture grant [ME012450318]; Hatch funds through the Maine Agricultural and Forest Experiment Station [ME032025, ME021905]</t>
  </si>
  <si>
    <t>U.S. Department of Agriculture National Institute of Food and Agriculture grant; Hatch funds through the Maine Agricultural and Forest Experiment Station</t>
  </si>
  <si>
    <t>We thank Molly Bennett for assistance with tick identification, Tom Rounsville, Ann Bryant, Alyssa Marini, and Griffin Dill for conducting tick-borne pathogen detection assays, and members of the Gardner and Leahy Labs at the University of Maine and three anonymous reviewers for their helpful feedback. We thank the University of Maine?s Marketing and Communication Division, Maine Bumble Bee Atlas, Kittery Land Trust, Maine Entomological Society, Maine Woodland Owners, Maine Land Trust Network, Midcoast Lyme Disease Support and Education, The Nature Conservancy, and local media outlets for their assistance with advertising the study. Finally, we thank the volunteers who participated in the Maine Forest Tick Survey for collecting data and sharing feedback throughout the study. This work was supported by a U.S. Department of Agriculture National Institute of Food and Agriculture grant (project number ME012450318) to AMG, JEL, and CSS and Hatch funds through the Maine Agricultural and Forest Experiment Station (project numbers ME032025 and ME021905) to AMG.</t>
  </si>
  <si>
    <t>ELSEVIER GMBH</t>
  </si>
  <si>
    <t>MUNICH</t>
  </si>
  <si>
    <t>HACKERBRUCKE 6, 80335 MUNICH, GERMANY</t>
  </si>
  <si>
    <t>1877-959X</t>
  </si>
  <si>
    <t>1877-9603</t>
  </si>
  <si>
    <t>TICKS TICK-BORNE DIS</t>
  </si>
  <si>
    <t>Ticks Tick-Borne Dis.</t>
  </si>
  <si>
    <t>MAY</t>
  </si>
  <si>
    <t>10.1016/j.ttbdis.2023.102144</t>
  </si>
  <si>
    <t>MAR 2023</t>
  </si>
  <si>
    <t>Infectious Diseases; Microbiology; Parasitology</t>
  </si>
  <si>
    <t>C5UT2</t>
  </si>
  <si>
    <t>gold</t>
  </si>
  <si>
    <t>WOS:000962570300001</t>
  </si>
  <si>
    <t>Kocman, D; Righi, V; Errandonea, L; Maccani, G; Creus, J; Froeling, F; Hoek, G; Andrusaityte, S; Grazuleviciene, R; Ficorilli, A; De Marchi, B; Biggeri, A; Fticar, J; Gignac, F; Toran, R; Basagaña, X</t>
  </si>
  <si>
    <t>Kocman, David; Righi, Valeria; Errandonea, Lucia; Maccani, Giovanni; Creus, Javier; Froeling, Frederique; Hoek, Gerard; Andrusaityte, Sandra; Grazuleviciene, Regina; Ficorilli, Antonella; De Marchi, Bruna; Biggeri, Annibale; Fticar, Jure; Gignac, Florence; Toran, Raul; Basagana, Xavier</t>
  </si>
  <si>
    <t>Toolkit for conducting citizen science activities in environmental epidemiology</t>
  </si>
  <si>
    <t>FRONTIERS IN ENVIRONMENTAL SCIENCE</t>
  </si>
  <si>
    <t>citizen science; toolkit; epidemiology; co-creation; urban pollution</t>
  </si>
  <si>
    <t>Scientists and practitioners implementing citizen science projects, in which the involvement of citizens is key, often need ideas and tools that help in reaching citizens, engaging them in the project and maximizing their contributions. In this paper, we describe the creation of an open toolkit, a web-based portal citizensciencetoolkit.eu (1) designed in the framework of the CitieS-Health project for the development and promotion of citizen science (CS) projects. The main focus is on projects linking urban environmental exposures and health, but it has applicability to other settings. The toolkit comprises the steps and phases during the implementation of CS activities in environmental epidemiology. A total of 28 tools are currently included, of which most were co-designed and tested within CitiesS-Health, as well as some resulting from external projects. For each tool, in addition to the details of its purpose and the specific challenges it poses, downloadable support content is available. To help facilitate inspiration and the adoption of tools provided, an illustrative step-by-step demonstration and description of its use in a CS project in a real-life setting is included, focusing on recommendations derived from the user experience. The portal is designed as a live inventory of tools, enabling interested CS practitioners not only to replicate, but also to continuously update and enrich it is content. To this end, the long-term objective of the portal is to act as a hub of resources that would enable the active inclusion of citizens in all the phases of the participatory research projects.</t>
  </si>
  <si>
    <t>[Kocman, David; Fticar, Jure] Jozef Stefan Inst, Dept Environm Sci, Ljubljana, Slovenia; [Righi, Valeria; Errandonea, Lucia; Maccani, Giovanni; Creus, Javier] Ideas Change, Barcelona, Spain; [Froeling, Frederique; Hoek, Gerard] Univ Utrecht UU, Inst Risk Assessment Sci, Utrecht, Netherlands; [Andrusaityte, Sandra; Grazuleviciene, Regina] Vytautas Magnus Univ, Dept Environm Sci, Kaunas, Lithuania; [Ficorilli, Antonella; De Marchi, Bruna; Biggeri, Annibale] Epidemiol &amp; Prevenz Giulio A Maccacaro Social Ente, Milan, Italy; [De Marchi, Bruna] Univ Bergen, Ctr Study Sci &amp; Humanities SVT, Bergen, Norway; [Biggeri, Annibale] Applicat G Parenti Univ Florence, Dept Stat Comp Sci, Florence, Italy; [Gignac, Florence; Toran, Raul; Basagana, Xavier] Barcelona Inst Global Hlth ISGlobal, Barcelona, Spain; [Gignac, Florence; Basagana, Xavier] Univ Pompeu Fabra UPF, Barcelona, Spain; [Gignac, Florence; Basagana, Xavier] CIBER Epidemiol &amp; Salud Publ CIBERESP, Madrid, Spain</t>
  </si>
  <si>
    <t>Slovenian Academy of Sciences &amp; Arts (SASA); Jozef Stefan Institute; Utrecht University; Vytautas Magnus University; University of Bergen; ISGlobal; Pompeu Fabra University; CIBER - Centro de Investigacion Biomedica en Red; CIBERESP</t>
  </si>
  <si>
    <t>Kocman, D (corresponding author), Jozef Stefan Inst, Dept Environm Sci, Ljubljana, Slovenia.</t>
  </si>
  <si>
    <t>david.kocman@ijs.si</t>
  </si>
  <si>
    <t>Righi, Valeria/LRS-7205-2024; Grazuleviciene, Regina/AAR-4539-2021; Basagaña, Xavier/C-3901-2017; Andrusaityte, Sandra/JWQ-0036-2024</t>
  </si>
  <si>
    <t>BIGGERI, ANNIBALE/0000-0003-2343-3346;</t>
  </si>
  <si>
    <t>European Union [824484]; P1-0143 program - Slovenian Research Agency</t>
  </si>
  <si>
    <t>European Union(European Union (EU)); P1-0143 program - Slovenian Research Agency</t>
  </si>
  <si>
    <t>This project has received funding from the European Union's Horizon 2020 research and innovation programme under grant agreement No. 824484, and the P1-0143 program Cycling of substances in the environment, mass balances, modelling of environmental processes and risk assessment, funded by the Slovenian Research Agency. This publication reflects only the authors' view, and the European Commission is not responsible for any use that may be made of the information it contains.</t>
  </si>
  <si>
    <t>2296-665X</t>
  </si>
  <si>
    <t>FRONT ENV SCI-SWITZ</t>
  </si>
  <si>
    <t>Front. Environ. Sci.</t>
  </si>
  <si>
    <t>MAY 9</t>
  </si>
  <si>
    <t>10.3389/fenvs.2023.1177413</t>
  </si>
  <si>
    <t>Environmental Sciences</t>
  </si>
  <si>
    <t>I1KQ8</t>
  </si>
  <si>
    <t>WOS:001000441700001</t>
  </si>
  <si>
    <t>Birkin, L; Goulson, D</t>
  </si>
  <si>
    <t>Birkin, Linda; Goulson, Dave</t>
  </si>
  <si>
    <t>Using citizen science to monitor pollination services</t>
  </si>
  <si>
    <t>ECOLOGICAL ENTOMOLOGY</t>
  </si>
  <si>
    <t>Bees; bumblebees; crop yield; ecosystem services; pollinator; urban; Vicia faba</t>
  </si>
  <si>
    <t>ECOSYSTEM SERVICES; LAND-USE; BUMBLEBEE; CONSERVATION; DIVERSITY; GARDENS; BOMBUS; BEANS; BEES</t>
  </si>
  <si>
    <t>1. Pollination by insects is a vital ecosystem service and the need for its assessment is increasing in recognition and political pressure, but there are currently no large-scale systematic monitoring schemes in place to measure the direct provision of this service. 2. This study tested a protocol for using a citizen science approach to quantify pollination service provision in gardens and allotments, requiring participants to grow Vica faba L. plants and carry out some simple manipulations of the pollination environment (flowers with bees excluded, flowers hand-pollinated, or flowers left for local pollinators to visit). Volunteers assessed yield in the three treatments. 3. Eighty participants from across the U.K. successfully completed all parts of the protocol; a further 93 participants were unsuccessful but actively engaged with the project. 4. Overall, the present results suggest that pollination services for V. faba are currently not limiting in gardens or allotments in the U.K. It is possible and cost-effective to recruit volunteers to collect data on pollination deficits using this protocol. 5. The approach used in this paper, which could readily be extended to incorporate other plant species reliant on different guilds of pollinators, is feasible for adoption as a national monitoring scheme for pollination services.</t>
  </si>
  <si>
    <t>[Birkin, Linda; Goulson, Dave] Univ Sussex, Sch Life Sci, Brighton BN1 9QG, E Sussex, England</t>
  </si>
  <si>
    <t>University of Sussex</t>
  </si>
  <si>
    <t>Birkin, L (corresponding author), Univ Sussex, Sch Life Sci, John Maynard Smith Bldg JMS,Falmer Campus, Brighton BN1 9QG, E Sussex, England.</t>
  </si>
  <si>
    <t>L.Birkin@sussex.ac.uk</t>
  </si>
  <si>
    <t>Goulson, Dave/A-2462-2010</t>
  </si>
  <si>
    <t>Goulson, Dave/0000-0003-4421-2876</t>
  </si>
  <si>
    <t>BBSRC</t>
  </si>
  <si>
    <t>BBSRC(UK Research &amp; Innovation (UKRI)Biotechnology and Biological Sciences Research Council (BBSRC))</t>
  </si>
  <si>
    <t>We thank Leila Simpson for help with volunteer management, and assistance with plant growth and hand-pollination. Rob Fowler provided advice on statistical analysis. This work was supported by a 'Sparking Impact' award from BBSRC. Project design, data collection, analysis, and paper writing by L.J.B., with advice on all sections, editing and supervision by D.G.</t>
  </si>
  <si>
    <t>WILEY</t>
  </si>
  <si>
    <t>HOBOKEN</t>
  </si>
  <si>
    <t>111 RIVER ST, HOBOKEN 07030-5774, NJ USA</t>
  </si>
  <si>
    <t>0307-6946</t>
  </si>
  <si>
    <t>1365-2311</t>
  </si>
  <si>
    <t>ECOL ENTOMOL</t>
  </si>
  <si>
    <t>Ecol. Entomol.</t>
  </si>
  <si>
    <t>10.1111/een.12227</t>
  </si>
  <si>
    <t>CP9NH</t>
  </si>
  <si>
    <t>Bronze</t>
  </si>
  <si>
    <t>WOS:000360220600002</t>
  </si>
  <si>
    <t>Sousa, LB; Fricker, S; Webb, C; Baldock, KL; Williams, CR</t>
  </si>
  <si>
    <t>Sousa, Larissa Braz; Fricker, Stephen; Webb, Cameron; Baldock, Katherine L.; Williams, Craig R.</t>
  </si>
  <si>
    <t>Learning outcomes for participants in citizen science mosquito surveillance</t>
  </si>
  <si>
    <t>JOURNAL OF MEDICAL ENTOMOLOGY</t>
  </si>
  <si>
    <t>citizen science; mosquitoes; public health; community based; education</t>
  </si>
  <si>
    <t>JAPANESE ENCEPHALITIS; CLIMATE-CHANGE; FUTURE; CULICIDAE; EDUCATION; ADELAIDE; DIPTERA</t>
  </si>
  <si>
    <t>Although citizen science initiatives have been increasing globally, there is still a gap in understanding how they can result in sustainable benefits for citizen scientists. This article addresses dual goals of (i) collecting relevant data on potential vector mosquitoes and (ii) delivering learning outcomes among participants in a citizen science mosquito surveillance program. Mozzie Monitors uses an e-entomology approach to collect and identify mosquitoes of medical importance. This study used quantitative, qualitative, and mixed method approaches, comprised of before and after longitudinal surveys, in-depth interviews and descriptive assessment of mosquito attributes to assess participants' educational gains and data collection scalability. Results showed that mosquito abundance and diversity differed in each study location, with Aedes notoscriptus (Skuse) being the most common mosquito reported in all areas. Citizen scientists were predominantly women over 50 and highly educated. The before-and-after analysis showed that participants learned how to identify the most common mosquito species after participating in the program. They also improved their technical skills in mosquito photography, increasing the rates of identifiable photos. Finally, participating in this citizen science program resulted in behavior changes, with participants starting to look for mosquito eggs and larvae in their backyards to manage mosquito populations. The mixed methods used in this research showed increased participants' confidence, self-efficacy, and engagement throughout the trial. Overall, this study demonstrated the potential of Mozzie Monitors to contribute to the dual goals of mosquito data contribution and citizen scientists' educational outcomes for improved public health.</t>
  </si>
  <si>
    <t>[Sousa, Larissa Braz] Univ South Australia, UniSA Clin &amp; Hlth Sci, Adelaide, SA, Australia; [Fricker, Stephen; Williams, Craig R.] Univ South Australia, UniSA STEM, Adelaide, SA, Australia; [Webb, Cameron] NSW Hlth Pathol, Med Entomol, Westmead, NSW, Australia; [Webb, Cameron] Univ Sydney, Dept Med Entomol, Westmead, NSW, Australia; [Webb, Cameron] Marie Bashir Inst, Westmead, NSW, Australia; [Baldock, Katherine L.] Univ South Australia, UniSA Allied Hlth &amp; Human Performance, Adelaide, SA, Australia</t>
  </si>
  <si>
    <t>Adelaide University; University of South Australia; Adelaide University; University of South Australia; University of Sydney; Adelaide University; University of South Australia</t>
  </si>
  <si>
    <t>Williams, CR (corresponding author), Univ South Australia, UniSA STEM, Adelaide, SA, Australia.</t>
  </si>
  <si>
    <t>craig.williams@unisa.edu.au</t>
  </si>
  <si>
    <t>Willia, Craig/AAI-6228-2021; Baldock, Katherine L/S-8151-2019; Braz Sousa, Larissa/GLT-8810-2022; Fricker, Stephen/J-5157-2017</t>
  </si>
  <si>
    <t>Willia, Craig/0000-0002-4758-1506; Baldock, Katherine L/0000-0003-3527-1057; Braz Sousa, Larissa/0000-0003-4330-4277; Fricker, Stephen/0000-0001-9803-269X</t>
  </si>
  <si>
    <t>ATN-LATAM scholarship</t>
  </si>
  <si>
    <t>We acknowledge all the 61 citizen scientists who participated in this trial. We also acknowledge Grace Maglio and the Roebuck Bay Working Group Inc. for their assistance during recruitment in WA. L.B.S. received an ATN-LATAM scholarship during her PhD research.</t>
  </si>
  <si>
    <t>OXFORD UNIV PRESS INC</t>
  </si>
  <si>
    <t>CARY</t>
  </si>
  <si>
    <t>JOURNALS DEPT, 2001 EVANS RD, CARY, NC 27513 USA</t>
  </si>
  <si>
    <t>0022-2585</t>
  </si>
  <si>
    <t>1938-2928</t>
  </si>
  <si>
    <t>J MED ENTOMOL</t>
  </si>
  <si>
    <t>J. Med. Entomol.</t>
  </si>
  <si>
    <t>SEP 13</t>
  </si>
  <si>
    <t>10.1093/jme/tjae117</t>
  </si>
  <si>
    <t>SEP 2024</t>
  </si>
  <si>
    <t>Entomology; Veterinary Sciences</t>
  </si>
  <si>
    <t>M2N7V</t>
  </si>
  <si>
    <t>WOS:001311900300001</t>
  </si>
  <si>
    <t>Huang, SY; Chiu, C; Tsai, YY; Li, WJ; Wu, CC; Li, HF</t>
  </si>
  <si>
    <t>Huang, Shih-Ying; Chiu, Chun-, I; Tsai, Yi-Ying; Li, Wei-Jie; Wu, Chia-Chien; Li, Hou-Feng</t>
  </si>
  <si>
    <t>Nationwide Termite Pest Survey Conducted in Taiwan as a Citizen Science Project</t>
  </si>
  <si>
    <t>JOURNAL OF ECONOMIC ENTOMOLOGY</t>
  </si>
  <si>
    <t>urban pest composition; dispersal flight season; invasive pest monitoring; Coptotermes; subterranean termite</t>
  </si>
  <si>
    <t>SUBTERRANEAN TERMITE; COPTOTERMES-GESTROI; ISOPTERA RHINOTERMITIDAE; FLIGHT PHENOLOGY; FORMOSANUS; IDENTIFICATION; POPULATIONS; TAXONOMY; SPP.</t>
  </si>
  <si>
    <t>Information regarding the species composition and dispersal flight season of termites is crucial for termite management. The major obstacles to collecting such information are a lack of access to private buildings and shortage of workers to monitor and report on termite swarming. To overcome these difficulties, we launched a citizen science project in which members of the public and pest management professionals were invited to collect termite samples. We created the website, Taiwan Termite Identification Service, on which populace could log the collection information, and ship termite samples to our laboratory for identification. We also established a Facebook group, called the Termite Forum, to publicize this project. A total of 3024 samples were collected from 2015 to 2020, and we identified the species of &gt;93% of the samples. Based on 1499 samples collected from buildings, five structural termite pests were identified, and species composition in each county of Taiwan is available. According to 844 dispersal flight events, termite dispersal flight timing peak and degree of centralization were estimated using a Gaussian model. The collected data demonstrated that the invasive termite species, Coptotermes gestroi (Wasmann) (Blattodea: Rhinotermitidae), continued northward expansion. The first intercepted alate of Schedorhinotermes sp. (Blattodea: Rhinotermitidae) indicated that it may be a new invasive pest from Southeast Asia. This study reports on a successful case of a citizen science project where urban pest data were collected on a national scale.</t>
  </si>
  <si>
    <t>[Huang, Shih-Ying; Chiu, Chun-, I; Tsai, Yi-Ying; Li, Wei-Jie; Wu, Chia-Chien; Li, Hou-Feng] Natl Chung Hsing Univ, Dept Entomol, 145 Xingda Rd, Taichung 402202, Taiwan; [Chiu, Chun-, I] Chiang Mai Univ, Fac Agr, Dept Entomol &amp; Plant Pathol, 239 Huay Kaew Rd, Chiang Mai 50200, Thailand</t>
  </si>
  <si>
    <t>National Chung Hsing University; Chiang Mai University</t>
  </si>
  <si>
    <t>Li, HF (corresponding author), Natl Chung Hsing Univ, Dept Entomol, 145 Xingda Rd, Taichung 402202, Taiwan.</t>
  </si>
  <si>
    <t>houfeng@nchu.edu.tw</t>
  </si>
  <si>
    <t>Li, Hou-Feng/AFQ-2864-2022; Chiu, Chun-I/GRO-5977-2022; Li, Weijie/AAL-2126-2020</t>
  </si>
  <si>
    <t>Li, Hou-Feng/0000-0002-9444-8716; Chiu, Chun-I/0000-0002-1603-0736; Wu, Chia-Chien/0009-0007-5448-3748;</t>
  </si>
  <si>
    <t>Taiwan's Ministry of Science and Technology [MOST 105-2628-B-005-003-MY3]</t>
  </si>
  <si>
    <t>Taiwan's Ministry of Science and Technology</t>
  </si>
  <si>
    <t>This study was supported by Taiwan's Ministry of Science and Technology (MOST 105-2628-B-005-003-MY3). We sincerely thank all those who participated in the citizen science project and provided high-quality specimens and collection information.</t>
  </si>
  <si>
    <t>0022-0493</t>
  </si>
  <si>
    <t>1938-291X</t>
  </si>
  <si>
    <t>J ECON ENTOMOL</t>
  </si>
  <si>
    <t>J. Econ. Entomol.</t>
  </si>
  <si>
    <t>OCT 12</t>
  </si>
  <si>
    <t>SI</t>
  </si>
  <si>
    <t>10.1093/jee/toac122</t>
  </si>
  <si>
    <t>AUG 2022</t>
  </si>
  <si>
    <t>5F2TW</t>
  </si>
  <si>
    <t>WOS:000842191500001</t>
  </si>
  <si>
    <t>Ingwell, LL; Preisser, EL</t>
  </si>
  <si>
    <t>Ingwell, Laura L.; Preisser, Evan L.</t>
  </si>
  <si>
    <t>Using Citizen Science Programs to Identify Host Resistance in Pest-Invaded Forests</t>
  </si>
  <si>
    <t>CONSERVATION BIOLOGY</t>
  </si>
  <si>
    <t>citizen science; forest management; hemlock woolly adelgid; invasive species; plant breeding; policy; resistance; tolerance</t>
  </si>
  <si>
    <t>AMERICAN CHESTNUT TREES; DUTCH ELM DISEASE; TSUGA-CANADENSIS; EASTERN HEMLOCK; ADELGES-TSUGAE; NORTH-AMERICA; NEW-ENGLAND; CONSERVATION; ECOLOGY; POPULATION</t>
  </si>
  <si>
    <t>Threats to native forests from non-native insects and pathogens (pests) are generally addressed with methods such as quarantine, eradication, biological control, and development of resistant stock through hybridization and breeding. In conjunction with such efforts, it may be useful to have citizen scientists locate rare surviving trees that may be naturally pest resistant or tolerant. The degree of resistance of individual trees identified in this way can be tested under controlled conditions, and the most resistant individuals can be integrated into plant breeding programs aimed at developing pest-resistant native stock. Involving citizen scientists in programs aimed at identifying rare trees that survive colonization by pests provides a low-cost means of maximizing search efforts across wide geographic regions and may provide an effective supplement to existing management approaches.</t>
  </si>
  <si>
    <t>[Ingwell, Laura L.] Univ Idaho, Dept Entomol, Moscow, ID 83844 USA; [Ingwell, Laura L.; Preisser, Evan L.] Univ Rhode Isl, Dept Biol Sci, Kingston, RI 02881 USA</t>
  </si>
  <si>
    <t>University of Idaho; University of Rhode Island</t>
  </si>
  <si>
    <t>Ingwell, LL (corresponding author), Univ Idaho, Dept Entomol, POB 442339, Moscow, ID 83844 USA.</t>
  </si>
  <si>
    <t>ingwell@gmail.com</t>
  </si>
  <si>
    <t>Preisser, Evan/C-3469-2013</t>
  </si>
  <si>
    <t>Agricultural Experiment Station; National Science Foundation [0715504]; Division Of Environmental Biology; Direct For Biological Sciences [0715504] Funding Source: National Science Foundation</t>
  </si>
  <si>
    <t>Agricultural Experiment Station; National Science Foundation(National Science Foundation (NSF)); Division Of Environmental Biology; Direct For Biological Sciences(National Science Foundation (NSF)NSF - Directorate for Biological Sciences (BIO))</t>
  </si>
  <si>
    <t>This paper benefitted greatly from comments by N. Bosque-Perez, R. Casagrande, D. Couvet, E. Fleishman, E. Main, M. Miller-Pierce, N. Rohr, W. Snyder, C. Thornber, and two anonymous reviewers. Funding for this work was provided by an Agricultural Experiment Station Hatch grant to E.P. and a National Science Foundation grant (DEB#0715504) to E.P.</t>
  </si>
  <si>
    <t>WILEY-BLACKWELL</t>
  </si>
  <si>
    <t>MALDEN</t>
  </si>
  <si>
    <t>COMMERCE PLACE, 350 MAIN ST, MALDEN 02148, MA USA</t>
  </si>
  <si>
    <t>0888-8892</t>
  </si>
  <si>
    <t>CONSERV BIOL</t>
  </si>
  <si>
    <t>Conserv. Biol.</t>
  </si>
  <si>
    <t>10.1111/j.1523-1739.2010.01567.x</t>
  </si>
  <si>
    <t>708QX</t>
  </si>
  <si>
    <t>Green Submitted</t>
  </si>
  <si>
    <t>WOS:000286380500021</t>
  </si>
  <si>
    <t>Soares, FM; Pires, LF; Garcia, MC; Bouzembrak, Y; Coradin, L; Ghilardi-Lopes, NP; Silva, RR; de Carvalho, AM; Maculan, BCMD; Koffler, S; Montedo, UB; Drucker, DP; Santiago, R; Gavai, A; de Carvalho, MCP; Lima, ACD; Gabriel, HDE; de França, SGM; de Almeida, KR; dos Santos, BJ; Saraiva, AM</t>
  </si>
  <si>
    <t>Soares, Filipi Miranda; Pires, Luis Ferreira; Garcia, Maria Carolina; Bouzembrak, Yamine; Coradin, Lidio; Ghilardi-Lopes, Natalia Pirani; Silva, Rubens Rangel; de Carvalho, Aline Martins; Maculan, Benildes Coura Moreira dos Santos; Koffler, Sheina; Montedo, Uiara Bandineli; Drucker, Debora Pignatari; Santiago, Raquel; Gavai, Anand; de Carvalho, Maria Clara Peres; Lima, Ana Carolina da Silva; Gabriel, Hillary Dandara Elias; de Franca, Stephanie Gabriele Mendonca; de Almeida, Karoline Reis; dos Santos, Barbara Junqueira; Saraiva, Antonio Mauro</t>
  </si>
  <si>
    <t>Leveraging citizen science for monitoring urban forageable plants</t>
  </si>
  <si>
    <t>GIGASCIENCE</t>
  </si>
  <si>
    <t>Editorial Material</t>
  </si>
  <si>
    <t>fruit-bearing plants; urban foraging; wild food; urban food trees; food forest; fruit tree</t>
  </si>
  <si>
    <t>Urbanization brings forth social challenges in emerging countries such as Brazil, encompassing food scarcity, health deterioration, air pollution, and biodiversity loss. Despite this, urban areas like the city of S &amp; atilde;o Paulo still boast ample green spaces, offering opportunities for nature appreciation and conservation, enhancing city resilience and livability. Citizen science is a collaborative endeavor between professional scientists and nonprofessional scientists in scientific research that may help to understand the dynamics of urban ecosystems. We believe citizen science has the potential to promote human and nature connection in urban areas and provide useful data on urban biodiversity.</t>
  </si>
  <si>
    <t>[Soares, Filipi Miranda; de Franca, Stephanie Gabriele Mendonca; de Almeida, Karoline Reis; Saraiva, Antonio Mauro] Univ Sao Paulo, Escola Politecn, BR-05508010 Sao Paulo, SP, Brazil; [Soares, Filipi Miranda; Pires, Luis Ferreira] Univ Twente, Fac Elect Engn Math &amp; Comp Sci, NL-7522 NB Enschede, Netherlands; [Garcia, Maria Carolina] Ctr Univ Belas Artes Sao Paulo, Programa Posgrad Arquitetura Urbanismo &amp; Design, BR-04018010 Sao Paulo, SP, Brazil; [Bouzembrak, Yamine] Wageningen Univ &amp; Res, Informat Technol Grp, NL-6706 KN Wageningen, Netherlands; [Coradin, Lidio] Plants Future Project, BR-70772090 Brasilia, DF, Brazil; [Ghilardi-Lopes, Natalia Pirani] Univ Fed ABC, Ctr Ciencias Nat &amp; Humanas, BR-09606045 Sao Bernardo Do Campo, SP, Brazil; [Silva, Rubens Rangel] Ctr Univ Una, BR-30160011 Belo Horizonte, MG, Brazil; [de Carvalho, Aline Martins] Univ Sao Paulo, Fac Saude Publ, Dept Nutricao, BR-01246904 Sao Paulo, SP, Brazil; [Maculan, Benildes Coura Moreira dos Santos] Univ Fed Minas Gerais, Programa Posgrad Gestao &amp; Org Conhecimento, BR-31270901 Belo Horizonte, MG, Brazil; [Koffler, Sheina; Saraiva, Antonio Mauro] Univ Sao Paulo, Inst Estudos Avancados, BR-05508060 Sao Paulo, SP, Brazil; [Drucker, Debora Pignatari] Embrapa Agr Digital, BR-13083886 Campinas, SP, Brazil; [Santiago, Raquel] Univ Fed Goias, Fac Nutr, BR-74605080 Goiania, GO, Brazil; [Gavai, Anand] Fac Behav Management &amp; Social Sci BMS, Ind Engn &amp; Business Informat Syst IEBIS, NL-7522 NB Enschede, Netherlands; [de Carvalho, Maria Clara Peres] Univ Sao Paulo, Escola Artes Ciencias &amp; Human, BR-03828000 Sao Paulo, SP, Brazil; [Lima, Ana Carolina da Silva] Univ Fed Minas Gerais, Escola Ciencias Informacao, BR-31270901 Belo Horizonte, MG, Brazil; [dos Santos, Barbara Junqueira] Univ Sao Paulo, Inst Pesquisas Energet &amp; Nucl, BR-05508000 Sao Paulo, SP, Brazil</t>
  </si>
  <si>
    <t>Universidade de Sao Paulo; University of Twente; Wageningen University &amp; Research; Universidade Federal do ABC (UFABC); Centro Universitario UNA; Universidade de Sao Paulo; Universidade Federal de Minas Gerais; Universidade de Sao Paulo; Institute Estudos Avancados University Sao Paulo; Universidade Federal de Goias; Universidade de Sao Paulo; Universidade Federal de Minas Gerais; Comissao Nacional de Energia Nuclear (CNEN); Instituto de Pesquisas Energeticas e Nucleares (IPEN); Universidade de Sao Paulo</t>
  </si>
  <si>
    <t>Soares, FM (corresponding author), Univ Sao Paulo, Polytech Sch, Comp Engn &amp; Digital Syst PCS, BR-05508010 Sao Paulo, Brazil.;Soares, FM (corresponding author), Univ Twente, Univ Twente, Fac Elect Engn Math &amp; Comp Sci EEMCS, Semant Cybersecur &amp; Serv SCS, NL-7522 NB Enschede, Netherlands.;Saraiva, AM (corresponding author), Escola Politecn USP, Lab Automacao Agr, Av Prof Luciano,Gualberto,travessa 3,158,sala C2-5, BR-05508900 Sao Paulo, SP, Brazil.</t>
  </si>
  <si>
    <t>filipisoares@usp.br; saraiva@usp.br</t>
  </si>
  <si>
    <t>Soares, Filipi/AAE-6490-2020; Lima, Ana Carolina/AAY-3813-2021; Ghilardi-Lopes, Natalia/F-2710-2012; Santiago, Raquel/AAI-3524-2020; Maculan, Benildes/E-2647-2013; Montedo, Uiara/E-4066-2013; Gavai, Anand/GOP-0313-2022; Garcia, Maria Carolina/H-1998-2017; Koffler, Sheina/AAF-3614-2020; Saraiva, António/B-6350-2011; Drucker, Debora/I-6692-2013; Martins de Carvalho, Aline/AAO-9144-2020</t>
  </si>
  <si>
    <t>Coradin, Lidio/0000-0003-1504-3516; Ghilardi-Lopes, Natalia/0000-0001-6213-8871; Maculan, Benildes/0000-0003-4303-9071; Gavai, Anand/0000-0002-4738-190X; Bouzembrak, Yamine/0000-0001-8028-0847; Garcia, Maria Carolina/0000-0002-0393-0612; Rangel Silva, Rubens/0000-0003-1166-3646; Ferreira Pires, Luís/0000-0001-7432-7653; Martins de Carvalho, Aline/0000-0002-4900-5609</t>
  </si>
  <si>
    <t>Fundacao de Amparo a Pesquisa do Estado de Sao Paulo (FAPESP) [21/15125-0, 22/08385-8]; Conselho Nacional de Desenvolvimento Cientifico e Tecnologico (CNPq) [303650/2019-2]; FAPESP [2018/14994-1, 2019/26760-8]</t>
  </si>
  <si>
    <t>Fundacao de Amparo a Pesquisa do Estado de Sao Paulo (FAPESP)(Fundacao de Amparo a Pesquisa do Estado de Sao Paulo (FAPESP)); Conselho Nacional de Desenvolvimento Cientifico e Tecnologico (CNPq)(Conselho Nacional de Desenvolvimento Cientifico e Tecnologico (CNPQ)); FAPESP(Fundacao de Amparo a Pesquisa do Estado de Sao Paulo (FAPESP))</t>
  </si>
  <si>
    <t>This work received financial support from various funding bodies: F.M.S. acknowledges support from the Fundacao de Amparo a Pesquisa do Estado de Sao Paulo (FAPESP) under grant numbers 21/15125-0 and 22/08385-8. B.C.M.S.M. was supported by the Conselho Nacional de Desenvolvimento Cientifico e Tecnologico (CNPq) under grant number 303650/2019-2. A.M.S., N.P.G.-L., S.K., and F.M.S. received funding from FAPESP under grant number 2018/14994-1, while S.K. additionally received support from FAPESP under grant number 2019/26760-8.</t>
  </si>
  <si>
    <t>2047-217X</t>
  </si>
  <si>
    <t>GigaScience</t>
  </si>
  <si>
    <t>MAR 5</t>
  </si>
  <si>
    <t>giae007</t>
  </si>
  <si>
    <t>10.1093/gigascience/giae007</t>
  </si>
  <si>
    <t>MAR 2024</t>
  </si>
  <si>
    <t>Biology; Multidisciplinary Sciences</t>
  </si>
  <si>
    <t>Life Sciences &amp; Biomedicine - Other Topics; Science &amp; Technology - Other Topics</t>
  </si>
  <si>
    <t>A4Q6H</t>
  </si>
  <si>
    <t>Green Submitted, Green Published, gold</t>
  </si>
  <si>
    <t>WOS:001282398500002</t>
  </si>
  <si>
    <t>Della Rocca, F; Musiani, M; Galaverni, M; Milanesi, P</t>
  </si>
  <si>
    <t>Della Rocca, Francesca; Musiani, Marco; Galaverni, Marco; Milanesi, Pietro</t>
  </si>
  <si>
    <t>Improving Online Citizen Science Platforms for Biodiversity Monitoring</t>
  </si>
  <si>
    <t>JOURNAL OF BIOGEOGRAPHY</t>
  </si>
  <si>
    <t>absence data; eBird; GBIF; iNaturalist; Observation.org; observers' expertise; sampling bias; sampling effort</t>
  </si>
  <si>
    <t>SAMPLING BIAS; DATA QUALITY; BIRD ATLAS; CONSERVATION; PRIORITIES; PROJECTS; COUNT</t>
  </si>
  <si>
    <t>BackgroundMonitoring biodiversity is crucial in biogeography. Citizen science and biodiversity platforms have revolutionized data access across taxa, but they struggle to provide robust raw data essential for conservation decisions. AimsThis study addresses data gaps for under-represented species and locations, observer expertise variability, and the lack of absence data and sampling effort information to improve data representation and suitability for statistical analyses. Materials &amp; MethodsWe collected, compared to IUCN-recognized taxonomic groups, all worldwide living being (animal, plant and fungi) observations held by four major biodiversity platforms: eBird, GBIF, iNaturalist, and . We also organized such observations by country of origin and based on their Human Development Index (HDI). ResultsWe found that, while GBIF, iNaturalist, and cover all life forms, birds are the most observed (eBird is a bird-specific platform), whereas fish, other marine organisms, arthropods, and invertebrates are dramatically underrepresented. Moreover, none of the above-mentioned biodiversity platforms considered or directly analysed expertise variability among observers and, apart from eBird, the other three biodiversity platforms do not accommodate data on species absence and sampling effort. Discussion and ConclusionFinally, we found that species observations on biodiversity platforms considered in this study are skewed towards high HDI countries, primarily North America and Europe. By enhancing the effectiveness of biodiversity platforms, this study has the potential to significantly advance the field of biogeography, paving the way for more informed and effective conservation strategies. Overall, our findings underscore the untapped potential of these platforms in contributing to our understanding of the spatial and temporal patterns of biodiversity.</t>
  </si>
  <si>
    <t>[Della Rocca, Francesca] Univ Pavia, Dept Biol &amp; Biotechnol L Spallanzani Via Adolfo Fe, Pavia, Italy; [Musiani, Marco; Milanesi, Pietro] Univ Bologna, Dept Biol Geol &amp; Environm Sci, Bologna, Italy; [Galaverni, Marco] WWF Italia, Oases Educ &amp; Activat Unit, Rome, Italy</t>
  </si>
  <si>
    <t>University of Pavia; University of Bologna</t>
  </si>
  <si>
    <t>Musiani, M; Milanesi, P (corresponding author), Univ Bologna, Dept Biol Geol &amp; Environm Sci, Bologna, Italy.</t>
  </si>
  <si>
    <t>marco.musiani@unibo.it; pietro.milanesi@unibo.it</t>
  </si>
  <si>
    <t>, Marco/ABB-9387-2021; Musiani, Marco/ABB-9387-2021; Della Rocca, Francesca/AAW-4343-2021</t>
  </si>
  <si>
    <t>, Marco/0000-0002-6097-5841; Milanesi, Pietro/0000-0002-1878-9762; Galaverni, Marco/0000-0002-2648-1506;</t>
  </si>
  <si>
    <t>European Union [CN_00000033]</t>
  </si>
  <si>
    <t>This work was supported by Project funded by the European Union - NextGenerationEU, under the National Recovery and Resilience Plan (NRRP), Project title National Biodiversity Future Center -NBFC (project code CN_00000033).</t>
  </si>
  <si>
    <t>0305-0270</t>
  </si>
  <si>
    <t>1365-2699</t>
  </si>
  <si>
    <t>J BIOGEOGR</t>
  </si>
  <si>
    <t>J. Biogeogr.</t>
  </si>
  <si>
    <t>10.1111/jbi.15000</t>
  </si>
  <si>
    <t>AUG 2024</t>
  </si>
  <si>
    <t>Ecology; Geography, Physical</t>
  </si>
  <si>
    <t>Environmental Sciences &amp; Ecology; Physical Geography</t>
  </si>
  <si>
    <t>M7E9Q</t>
  </si>
  <si>
    <t>Green Submitted, hybrid</t>
  </si>
  <si>
    <t>WOS:001303969600001</t>
  </si>
  <si>
    <t>Murindahabi, MM; Takken, W; Misago, X; Niyituma, E; Umupfasoni, J; Hakizimana, E; van Vliet, AJH; Poortvliet, PM; Mutesa, L; Murindahabi, NK; Koenraadt, CJM</t>
  </si>
  <si>
    <t>Murindahabi, Marilyn Milumbu; Takken, Willem; Misago, Xavier; Niyituma, Elias; Umupfasoni, Jackie; Hakizimana, Emmanuel; van Vliet, Arnold J. H.; Poortvliet, P. Marijn; Mutesa, Leon; Murindahabi, Nathalie Kayiramirwa; Koenraadt, Constantianus J. M.</t>
  </si>
  <si>
    <t>Monitoring mosquito nuisance for the development of a citizen science approach for malaria vector surveillance in Rwanda</t>
  </si>
  <si>
    <t>MALARIA JOURNAL</t>
  </si>
  <si>
    <t>Malaria; Perceived mosquito nuisance; House features; Livestock; Surveillance; Culicidae; Anopheles</t>
  </si>
  <si>
    <t>ANOPHELES-GAMBIAE; HOUSE ENTRY; TRANSMISSION; DIPTERA</t>
  </si>
  <si>
    <t>Background: Many countries, including Rwanda, have mosquito monitoring programmes in place to support decision making in the fight against malaria. However, these programmes can be costly, and require technical (entomological) expertise. Involving citizens in data collection can greatly support such activities, but this has not yet been thoroughly investigated in a rural African context. Methods: Prior to the implementation of such a citizen-science approach, a household entomological survey was conducted in October-November 2017 and repeated one year later in Busoro and Ruhuha sectors, in southern and eastern province of Rwanda, respectively. The goal was to evaluate the perception of mosquito nuisance reported by citizens as a potential indicator for malaria vector hotspots. Firstly, mosquito abundance and species composition were determined using Centers for Disease Control and Prevention (CDC) light traps inside the houses. Secondly, household members were interviewed about malaria risk factors and their perceived level of mosquito nuisance. Results: Tiled roofs, walls made of mud and wood, as well as the number of occupants in the house were predictors for the number of mosquitoes (Culicidae) in the houses, while the presence of eaves plus walls made of mud and wood were predictors for malaria vector abundance. Perception of mosquito nuisance reported indoors tended to be significantly correlated with the number of Anopheles gambiae sensu lato (s.l.) and Culicidae collected indoors, but this varied across years and sectors. At the village level, nuisance also significantly correlated with An. gambiae s.l. and total mosquito density, but only in 2018 while not in 2017. Conclusions: Perception of mosquito nuisance denoted in a questionnaire survey could be used as a global indicator of malaria vector hotspots. Hence, involving citizens in such activities can complement malaria vector surveillance and control.</t>
  </si>
  <si>
    <t>[Murindahabi, Marilyn Milumbu; Takken, Willem; Koenraadt, Constantianus J. M.] Wageningen Univ &amp; Res, Lab Entomol, Wageningen, Netherlands; [Murindahabi, Marilyn Milumbu] Univ Rwanda, Coll Sci &amp; Technol, Kigali, Rwanda; [Misago, Xavier; Niyituma, Elias; Umupfasoni, Jackie; Hakizimana, Emmanuel] Rwanda Biomed Ctr, Malaria &amp; Other Parasit Dis Div, Kigali, Rwanda; [van Vliet, Arnold J. H.] Wageningen Univ &amp; Res, Environm Syst Anal Grp, Wageningen, Netherlands; [Poortvliet, P. Marijn] Wageningen Univ &amp; Res, Strateg Commun Grp, Wageningen, Netherlands; [Mutesa, Leon; Murindahabi, Nathalie Kayiramirwa] Univ Rwanda, Coll Med &amp; Hlth Sci, Kigali, Rwanda</t>
  </si>
  <si>
    <t>Wageningen University &amp; Research; University of Rwanda; Rwanda Biomedical Center; Wageningen University &amp; Research; Wageningen University &amp; Research; University of Rwanda</t>
  </si>
  <si>
    <t>Koenraadt, CJM (corresponding author), Wageningen Univ &amp; Res, Lab Entomol, Wageningen, Netherlands.</t>
  </si>
  <si>
    <t>sander.koenraadt@wur.nl</t>
  </si>
  <si>
    <t>; Murindahabi, Marilyn/HRB-6979-2023</t>
  </si>
  <si>
    <t>van Vliet, Arnold/0000-0001-9426-3511;</t>
  </si>
  <si>
    <t>Wageningen University, The Netherlands through its Interdisciplinary Research and Education Fund (INREF) [2100710609]</t>
  </si>
  <si>
    <t>Wageningen University, The Netherlands through its Interdisciplinary Research and Education Fund (INREF)</t>
  </si>
  <si>
    <t>This publication is part of the project Environmental Virtual Observatories for Connective Action (EVOCA), project duration 2016-2020, which is funded by Wageningen University, The Netherlands through its Interdisciplinary Research and Education Fund (INREF) (2100710609).</t>
  </si>
  <si>
    <t>BMC</t>
  </si>
  <si>
    <t>LONDON</t>
  </si>
  <si>
    <t>CAMPUS, 4 CRINAN ST, LONDON N1 9XW, ENGLAND</t>
  </si>
  <si>
    <t>1475-2875</t>
  </si>
  <si>
    <t>MALARIA J</t>
  </si>
  <si>
    <t>Malar. J.</t>
  </si>
  <si>
    <t>JAN 10</t>
  </si>
  <si>
    <t>10.1186/s12936-020-03579-w</t>
  </si>
  <si>
    <t>Infectious Diseases; Parasitology; Tropical Medicine</t>
  </si>
  <si>
    <t>PQ7TO</t>
  </si>
  <si>
    <t>Green Submitted, Green Accepted, gold</t>
  </si>
  <si>
    <t>WOS:000606746800001</t>
  </si>
  <si>
    <t>Grudens-Schuck, N; Sirajuddin, Z</t>
  </si>
  <si>
    <t>Grudens-Schuck, Nancy; Sirajuddin, Zulham</t>
  </si>
  <si>
    <t>Social impacts of citizen science water monitoring programs</t>
  </si>
  <si>
    <t>JOURNAL OF SOIL AND WATER CONSERVATION</t>
  </si>
  <si>
    <t>VOLUNTEERS</t>
  </si>
  <si>
    <t>[Grudens-Schuck, Nancy] Iowa State Univ, Dept Agr Educ &amp; Studies, Ames, IA 50011 USA; [Sirajuddin, Zulham] Iowa State Univ, Agr Educ, Ames, IA USA; [Sirajuddin, Zulham] Univ Ichsan Gorontalo, Gorontalo, Indonesia</t>
  </si>
  <si>
    <t>Iowa State University; Iowa State University</t>
  </si>
  <si>
    <t>Grudens-Schuck, N (corresponding author), Iowa State Univ, Dept Agr Educ &amp; Studies, Ames, IA 50011 USA.</t>
  </si>
  <si>
    <t>Sirajuddin, Zulham/AAH-1968-2020; Grudens-Schuck, Nancy/JEP-6011-2023</t>
  </si>
  <si>
    <t>Sirajuddin, Zulham/0000-0002-7763-2220;</t>
  </si>
  <si>
    <t>Federal Hatch Act [IOW05511]; State of Iowa [IOW05511]</t>
  </si>
  <si>
    <t>Federal Hatch Act; State of Iowa</t>
  </si>
  <si>
    <t>Mary Skopec, former director of the Iowater Volunteer Water Quality Program and Beach Monitoring, Iowa Department of Natural Resources (IDNR), was generous with her time and provided access to Iowater program materials. Steven Konrady, IDNR, assisted with usage of the evaluation findings. Janice Larson and Zhulin He, Survey Research Services Unit, Iowa State University Statistical Laboratory, provided guidance on survey questions and statistical analysis. An earlier version of the paper was presented at the 2017 Iowa Water Conference in Ames, Iowa. This article is a product of the Iowa Agriculture and Home Economics Experiment Station, Ames, Iowa; project No. IOW05511 is sponsored by Federal Hatch Act and State of Iowa funds.</t>
  </si>
  <si>
    <t>SOIL WATER CONSERVATION SOC</t>
  </si>
  <si>
    <t>ANKENY</t>
  </si>
  <si>
    <t>945 SW ANKENY RD, ANKENY, IA 50023-9723 USA</t>
  </si>
  <si>
    <t>0022-4561</t>
  </si>
  <si>
    <t>1941-3300</t>
  </si>
  <si>
    <t>J SOIL WATER CONSERV</t>
  </si>
  <si>
    <t>J. Soil Water Conserv.</t>
  </si>
  <si>
    <t>MAY-JUN</t>
  </si>
  <si>
    <t>49A</t>
  </si>
  <si>
    <t>54A</t>
  </si>
  <si>
    <t>10.2489/jswc.74.3.49A</t>
  </si>
  <si>
    <t>Ecology; Soil Science; Water Resources</t>
  </si>
  <si>
    <t>Environmental Sciences &amp; Ecology; Agriculture; Water Resources</t>
  </si>
  <si>
    <t>HX7BN</t>
  </si>
  <si>
    <t>Green Published, Bronze</t>
  </si>
  <si>
    <t>WOS:000467558600002</t>
  </si>
  <si>
    <t>Hart, J; Blenkinsopp, C</t>
  </si>
  <si>
    <t>Hart, John; Blenkinsopp, Chris</t>
  </si>
  <si>
    <t>Using Citizen Science to Collect Coastal Monitoring Data</t>
  </si>
  <si>
    <t>JOURNAL OF COASTAL RESEARCH</t>
  </si>
  <si>
    <t>Coastal monitoring; citizen science; beach management; coastal imagery</t>
  </si>
  <si>
    <t>Coastal monitoring is becoming increasingly important as coastal hazard risks increase due to factors such as climate change. Traditional survey methods are often expensive and require technical skills and special equipment which restricts the amount of data that can reasonably be collected. Results from two citizen science projects are presented to assess what data can be extracted from imagery collected by the public. Schemes which incorporate members of the public in the data collection phase of a project offer the opportunity to engage local groups/communities with important coastal issues, while collecting valuable scientific data which can be used by coastal managers to assess the vulnerability of the coast to coastal hazards.</t>
  </si>
  <si>
    <t>[Hart, John; Blenkinsopp, Chris] Univ Bath, Dept Architecture &amp; Civil Engn, Bath, Avon, England</t>
  </si>
  <si>
    <t>University of Bath</t>
  </si>
  <si>
    <t>Hart, J (corresponding author), Univ Bath, Dept Architecture &amp; Civil Engn, Bath, Avon, England.</t>
  </si>
  <si>
    <t>j.hart@bath.ac.uk</t>
  </si>
  <si>
    <t>Blenkinsopp, Chris/AFF-8523-2022</t>
  </si>
  <si>
    <t>Blenkinsopp, Chris/0000-0001-5784-2805</t>
  </si>
  <si>
    <t>COASTAL EDUCATION &amp; RESEARCH FOUNDATION</t>
  </si>
  <si>
    <t>COCONUT CREEK</t>
  </si>
  <si>
    <t>5130 NW 54TH STREET, COCONUT CREEK, FL 33073 USA</t>
  </si>
  <si>
    <t>0749-0208</t>
  </si>
  <si>
    <t>1551-5036</t>
  </si>
  <si>
    <t>J COASTAL RES</t>
  </si>
  <si>
    <t>J. Coast. Res.</t>
  </si>
  <si>
    <t>10.2112/SI95-160.1</t>
  </si>
  <si>
    <t>Environmental Sciences; Geography, Physical; Geosciences, Multidisciplinary</t>
  </si>
  <si>
    <t>Environmental Sciences &amp; Ecology; Physical Geography; Geology</t>
  </si>
  <si>
    <t>LU1YE</t>
  </si>
  <si>
    <t>WOS:000537556600154</t>
  </si>
  <si>
    <t>Schäfer, B; Heppell, CM; Rhys, H; Beck, C</t>
  </si>
  <si>
    <t>Schafer, Benjamin; Heppell, Catherine M.; Rhys, Hefin; Beck, Christian</t>
  </si>
  <si>
    <t>Monitoring water quality: A citizen science success story</t>
  </si>
  <si>
    <t>ISCIENCE</t>
  </si>
  <si>
    <t>[Schafer, Benjamin; Beck, Christian] Queen Mary Univ London, Sch Math Sci, London E1 4NS, England; [Schafer, Benjamin] Norwegian Univ Life Sci, Fac Sci &amp; Technol, N-1432 As, Norway; [Heppell, Catherine M.] Queen Mary Univ London, Sch Geog, Mile End Rd, London E1 4NS, England; [Rhys, Hefin] Francis Crick Inst, Flow Cytometry Sci Technol Platform, London, England; [Beck, Christian] Alan Turing Inst, London NW1 2DB, England</t>
  </si>
  <si>
    <t>University of London; Queen Mary University London; Norwegian University of Life Sciences; University of London; Queen Mary University London; Francis Crick Institute; Alan Turing Institute</t>
  </si>
  <si>
    <t>Schäfer, B (corresponding author), Queen Mary Univ London, Sch Math Sci, London E1 4NS, England.;Schäfer, B (corresponding author), Norwegian Univ Life Sci, Fac Sci &amp; Technol, N-1432 As, Norway.</t>
  </si>
  <si>
    <t>Schäfer, Benjamin/HJY-4707-2023</t>
  </si>
  <si>
    <t>CELL PRESS</t>
  </si>
  <si>
    <t>CAMBRIDGE</t>
  </si>
  <si>
    <t>50 HAMPSHIRE ST, FLOOR 5, CAMBRIDGE, MA 02139 USA</t>
  </si>
  <si>
    <t>2589-0042</t>
  </si>
  <si>
    <t>iScience</t>
  </si>
  <si>
    <t>NOV 19</t>
  </si>
  <si>
    <t>10.1016/j.isci.2021.103267</t>
  </si>
  <si>
    <t>Multidisciplinary Sciences</t>
  </si>
  <si>
    <t>Science &amp; Technology - Other Topics</t>
  </si>
  <si>
    <t>XO3TB</t>
  </si>
  <si>
    <t>WOS:000730109700007</t>
  </si>
  <si>
    <t>Callaghan, CT; Martin, JM; Major, RE; Kingsford, RT</t>
  </si>
  <si>
    <t>Callaghan, Corey T.; Martin, John M.; Major, Richard E.; Kingsford, Richard T.</t>
  </si>
  <si>
    <t>Avian monitoring - comparing structured and unstructured citizen science</t>
  </si>
  <si>
    <t>WILDLIFE RESEARCH</t>
  </si>
  <si>
    <t>atlas; bird surveys; community composition; eBird; Shannon diversity; species richness; urban; urban greenspace</t>
  </si>
  <si>
    <t>EBIRD; PARTICIPATION; VALIDATION; VOLUNTEERS; FIELD; BIAS; TOOL</t>
  </si>
  <si>
    <t>Context. Citizen science is increasingly used to collect biodiversity data to inform conservation management, but its validity within urban greenspaces remains largely unresolved. Aims. To assess the validity of eBird data for generating biodiversity estimates within an urban greenspace. Methods. We compared data from structured avian surveys with eBird data at an urban greenspace in Sydney during 2012-16, using species richness and Shannon diversity indices. We also compared community composition, using non-metric multidimensional scaling (NMDS) and dissimilarities using non-parametric MANOVA. Key results. Structured surveys had a lower overall species richness (80 versus 116) and Shannon diversity (3.64 versus 3.94) than eBird data, but we found no significant differences when using years as replicates. After standardising the richness and diversity indices by time spent surveying in a given year, structured surveys produced significantly higher biodiversity estimates. Further, when grouped into species occupying different broad habitats, there were no significant differences in waterbird or landbird species richness, or in Shannon diversity between data sources. Conclusions. The most likely explanation for the larger magnitudes of the biodiversity indices from the eBird data is the increase in effort manifested in the number of observers, time spent surveying and spatial coverage. This resulted in increased detection of uncommon species, which in turn accounted for a significant difference (R-2 = 0.21, P = 0.015) in overall community composition measured by the two methods.</t>
  </si>
  <si>
    <t>[Callaghan, Corey T.; Martin, John M.; Major, Richard E.; Kingsford, Richard T.] UNSW Australia, Sch Biol Earth &amp; Environm Sci, Ctr Ecosyst Sci, Sydney, NSW 2052, Australia; [Martin, John M.] Royal Bot Gardens &amp; Domain Trust, Mrs Macquaries Rd, Sydney, NSW 2000, Australia; [Major, Richard E.] Australian Museum, Australian Museum Res Inst, 1 William St, Sydney, NSW 2010, Australia</t>
  </si>
  <si>
    <t>University of New South Wales Sydney; Australian Museum</t>
  </si>
  <si>
    <t>Callaghan, CT (corresponding author), UNSW Australia, Sch Biol Earth &amp; Environm Sci, Ctr Ecosyst Sci, Sydney, NSW 2052, Australia.</t>
  </si>
  <si>
    <t>c.callaghan@unsw.edu.au</t>
  </si>
  <si>
    <t>Major, Richard/0000-0002-1334-9864; Kingsford, Richard/0000-0001-6565-4134; Callaghan, Corey/0000-0003-0415-2709; Martin, John/0000-0003-2731-9292</t>
  </si>
  <si>
    <t>CSIRO PUBLISHING</t>
  </si>
  <si>
    <t>CLAYTON</t>
  </si>
  <si>
    <t>UNIPARK, BLDG 1, LEVEL 1, 195 WELLINGTON RD, LOCKED BAG 10, CLAYTON, VIC 3168, AUSTRALIA</t>
  </si>
  <si>
    <t>1035-3712</t>
  </si>
  <si>
    <t>1448-5494</t>
  </si>
  <si>
    <t>WILDLIFE RES</t>
  </si>
  <si>
    <t>Wildl. Res.</t>
  </si>
  <si>
    <t>10.1071/WR17141</t>
  </si>
  <si>
    <t>Ecology; Zoology</t>
  </si>
  <si>
    <t>Environmental Sciences &amp; Ecology; Zoology</t>
  </si>
  <si>
    <t>GF1ZN</t>
  </si>
  <si>
    <t>WOS:000431735700007</t>
  </si>
  <si>
    <t>Marshall, NJ; Kleine, DA; Dean, AJ</t>
  </si>
  <si>
    <t>Marshall, N. Justin; Kleine, Diana A.; Dean, Angela J.</t>
  </si>
  <si>
    <t>CoralWatch: education, monitoring, and sustainability through citizen science</t>
  </si>
  <si>
    <t>FRONTIERS IN ECOLOGY AND THE ENVIRONMENT</t>
  </si>
  <si>
    <t>VOLUNTEERS; COLOR; REEFS</t>
  </si>
  <si>
    <t>Coral Watch, launched in 2002, is a citizen-science program that seeks to integrate education and global reef monitoring by examining coral bleaching and uses a monitoring network to educate the public about reef biology, climate change, and environmental stewardship. The organization's development from research and monitoring to education and ecotourism has presented a number of challenges.</t>
  </si>
  <si>
    <t>[Marshall, N. Justin; Kleine, Diana A.; Dean, Angela J.] Univ Queensland, Queensland Brain Inst, St Lucia, Qld, Australia</t>
  </si>
  <si>
    <t>University of Queensland</t>
  </si>
  <si>
    <t>Marshall, NJ (corresponding author), Univ Queensland, Queensland Brain Inst, St Lucia, Qld, Australia.</t>
  </si>
  <si>
    <t>justin.marshall@uq.edu.au</t>
  </si>
  <si>
    <t>Dean, Angela/D-5618-2011</t>
  </si>
  <si>
    <t>Dean, Angela/0000-0003-4017-4809</t>
  </si>
  <si>
    <t>Direct For Biological Sciences; Emerging Frontiers [1139694] Funding Source: National Science Foundation</t>
  </si>
  <si>
    <t>Direct For Biological Sciences; Emerging Frontiers(National Science Foundation (NSF)NSF - Directorate for Biological Sciences (BIO))</t>
  </si>
  <si>
    <t>ECOLOGICAL SOC AMER</t>
  </si>
  <si>
    <t>WASHINGTON</t>
  </si>
  <si>
    <t>1990 M STREET NW, STE 700, WASHINGTON, DC 20036 USA</t>
  </si>
  <si>
    <t>1540-9295</t>
  </si>
  <si>
    <t>FRONT ECOL ENVIRON</t>
  </si>
  <si>
    <t>Front. Ecol. Environ.</t>
  </si>
  <si>
    <t>AUG</t>
  </si>
  <si>
    <t>10.1890/110266</t>
  </si>
  <si>
    <t>Ecology; Environmental Sciences</t>
  </si>
  <si>
    <t>983VK</t>
  </si>
  <si>
    <t>WOS:000307146600014</t>
  </si>
  <si>
    <t>Chandler, M; See, L; Copas, K; Bonde, AMZ; López, BC; Danielsen, F; Legind, JK; Masinde, S; Miller-Rushing, AJ; Newman, G; Rosemartin, A; Turak, E</t>
  </si>
  <si>
    <t>Chandler, Mark; See, Linda; Copas, Kyle; Bonde, Astrid M. Z.; Lopez, Bernat Claramunt; Danielsen, Finn; Legind, Jan Kristoffer; Masinde, Siro; Miller-Rushing, Abraham J.; Newman, Greg; Rosemartin, Alyssa; Turak, Eren</t>
  </si>
  <si>
    <t>Contribution of citizen science towards international biodiversity monitoring</t>
  </si>
  <si>
    <t>BIOLOGICAL CONSERVATION</t>
  </si>
  <si>
    <t>Citizen science; Community-based monitoring; Databases; Essential biodiversity variables (EBV); Global Biodiversity Information Facility(GBIF); Group on Earth Observations Biodiversity Observation Network (GEO BON)</t>
  </si>
  <si>
    <t>LOCAL KNOWLEDGE; PUBLIC-PARTICIPATION; CONSERVATION; TOOL; VOLUNTEERS; INDICATORS; PRIORITIES; QUALITY</t>
  </si>
  <si>
    <t>To meet collective obligations towards biodiversity conservation and monitoring, it is essential that the world's governments and non-governmental organisations as well as the research community tap all possible sources of data and information, including new, fast-growing sources such as citizen science (CS), in which volunteers participate in some or all aspects of environmental assessments. Through compilation of a database on CS and community-based monitoring (CBM, a subset of CS) programs, we assess where contributions from CS and CBM are significant and where opportunities for growth exist. We use the Essential Biodiversity Variable framework to describe the range of biodiversity data needed to track progress towards global biodiversity targets, and we assess strengths and gaps in geographical and taxonomic coverage. Our results show that existing CS and CBM data particularly provide large-scale data on species distribution and population abundance, species traits such as phenology, and ecosystem function variables such as primary and secondary productivity. Only birds, Lepidoptera and plants are monitored at scale. Most CS schemes are found in Europe, North America, South Africa, India, and Australia. We then explore what can be learned from successful CS/CBM programs that would facilitate the scaling up of current efforts, how existing strengths in data coverage can be better exploited, and the strategies that could maximise the synergies between CS/CBM and other approaches for monitoring biodiversity, in particular from remote sensing. More and better targeted funding will be needed, if CS/CBM programs are to contribute further to international biodiversity monitoring. (C) 2016 The Authors. Published by Elsevier Ltd.</t>
  </si>
  <si>
    <t>[Chandler, Mark] Earthwatch Inst, 114 Western Ave, Boston, MA 02143 USA; [See, Linda] IIASA, Schlosspl 1, A-2361 Laxenburg, Austria; [Copas, Kyle; Legind, Jan Kristoffer; Masinde, Siro] GBIF, Univ Pk 15, DK-2100 Copenhagen, Denmark; [Bonde, Astrid M. Z.; Danielsen, Finn] Nord Fdn Dev &amp; Ecol NORDECO, Skindergade 23,3rd Floor, DK-1159 Copenhagen K, Denmark; [Lopez, Bernat Claramunt] Univ Autonoma Barcelona, CREAF, E-08193 Barcelona, Spain; [Lopez, Bernat Claramunt] Univ Autonoma Barcelona, Dept Anim Biol Plant Biol &amp; Ecol, Ecol Unit, E-08193 Barcelona, Spain; [Miller-Rushing, Abraham J.] Acadia Natl Pk, Natl Pk Serv, Bar Harbor, ME 04609 USA; [Newman, Greg] Colorado State Univ, Nat Resource Ecol Lab, Ft Collins, CO 80523 USA; [Rosemartin, Alyssa] Univ Arizona, Sch Nat Resources &amp; Environm, USA Natl Phenol Network, Natl Coordinating Off, Tucson, AZ USA; [Turak, Eren] NSW Off Environm &amp; Heritage, POB A290, Sydney South, NSW 1232, Australia; [Turak, Eren] Australian Museum, 6 Coll St, Sydney, NSW 2000, Australia</t>
  </si>
  <si>
    <t>International Institute for Applied Systems Analysis (IIASA); Centro de Investigacion Ecologica y Aplicaciones Forestales (CREAF-CERCA); Autonomous University of Barcelona; University of Barcelona; Autonomous University of Barcelona; United States Department of the Interior; US National Park Service; Colorado State University System; Colorado State University Fort Collins; University of Arizona; Office of Environment &amp; Heritage - New South Wales; Australian Museum</t>
  </si>
  <si>
    <t>Chandler, M (corresponding author), Earthwatch Inst, 114 Western Ave, Boston, MA 02143 USA.</t>
  </si>
  <si>
    <t>mchandler@earthwatch.org; see@iiasa.ac.at; kcopas@gbif.org; amz.schmidt@gmail.com; bernat.claramunt@uab.cat; fd@nordeco.dk; jlegind@gbif.org; smasinde@gbif.org; abe_miller-rushing@nps.gov; gregory.newman@colostate.edu; alyssa@usanpn.org; eren.turak@environment.nsw.gov.au</t>
  </si>
  <si>
    <t>Turak, Eren/LPQ-5715-2024; Schmidt, Astrid M. A./HJH-5764-2023; Miller-Rushing, Abraham/D-5102-2009; Newman, Gregory/E-1540-2015</t>
  </si>
  <si>
    <t>Turak, Eren/0000-0001-7383-9112; Copas, Kyle/0000-0002-6590-599X; Danielsen, Finn/0000-0003-0229-2847; Masinde, Siro/0000-0002-7597-8092; Rosemartin, Alyssa/0000-0002-8934-6539; Newman, Gregory/0000-0003-0503-5782; Legind, Jan Kristoffer/0000-0002-6152-1067</t>
  </si>
  <si>
    <t>Horizon ConnectinGEO project [641538]; German Centre for Integrative Biodiversity Research (iDiv) - German Research Foundation [FZT 118]; H2020 Societal Challenges Programme [641538] Funding Source: H2020 Societal Challenges Programme</t>
  </si>
  <si>
    <t>Horizon ConnectinGEO project; German Centre for Integrative Biodiversity Research (iDiv) - German Research Foundation(German Research Foundation (DFG)); H2020 Societal Challenges Programme(Horizon 2020European Union (EU)H2020 Societal Challenges Programme)</t>
  </si>
  <si>
    <t>We would like to acknowledge the assistance of GBIF network members: Miles Nicholls, Atlas of Living Australia; Sophie Palmeron, GBIF France; Nils Valland, Norwegian Biodiversity Information Centre; Rachel Stroud and Ella Vogel, UK National Biodiversity Network Trust. Partial funding for this paper was provided by the Horizon 2020 ConnectinGEO project (no. 641538). This paper would not have been possible without the input of many Earthwatch scientists who have led citizen science expeditions and contributed to previous discussions, as well as the thousands of participants who have helped shape our understanding of what is possible with CS and CBM. This paper contributes to the work of GEO BON and was partially supported by the German Centre for Integrative Biodiversity Research (iDiv) funded by the German Research Foundation (FZT 118).</t>
  </si>
  <si>
    <t>ELSEVIER SCI LTD</t>
  </si>
  <si>
    <t>THE BOULEVARD, LANGFORD LANE, KIDLINGTON, OXFORD OX5 1GB, OXON, ENGLAND</t>
  </si>
  <si>
    <t>0006-3207</t>
  </si>
  <si>
    <t>1873-2917</t>
  </si>
  <si>
    <t>BIOL CONSERV</t>
  </si>
  <si>
    <t>Biol. Conserv.</t>
  </si>
  <si>
    <t>B</t>
  </si>
  <si>
    <t>10.1016/j.biocon.2016.09.004</t>
  </si>
  <si>
    <t>FG3BN</t>
  </si>
  <si>
    <t>Y</t>
  </si>
  <si>
    <t>N</t>
  </si>
  <si>
    <t>WOS:000410011900006</t>
  </si>
  <si>
    <t>Pataki, BA; Garriga, J; Eritja, R; Palmer, JRB; Bartumeus, F; Csabai, I</t>
  </si>
  <si>
    <t>Pataki, Balint Armin; Garriga, Joan; Eritja, Roger; Palmer, John R. B.; Bartumeus, Frederic; Csabai, Istvan</t>
  </si>
  <si>
    <t>Deep learning identification for citizen science surveillance of tiger mosquitoes</t>
  </si>
  <si>
    <t>SCIENTIFIC REPORTS</t>
  </si>
  <si>
    <t>VIRUS</t>
  </si>
  <si>
    <t>Global monitoring of disease vectors is undoubtedly becoming an urgent need as the human population rises and becomes increasingly mobile, international commercial exchanges increase, and climate change expands the habitats of many vector species. Traditional surveillance of mosquitoes, vectors of many diseases, relies on catches, which requires regular manual inspection and reporting, and dedicated personnel, making large-scale monitoring difficult and expensive. New approaches are solving the problem of scalability by relying on smartphones and the Internet to enable novel community-based and digital observatories, where people can upload pictures of mosquitoes whenever they encounter them. An example is the Mosquito Alert citizen science system, which includes a dedicated mobile phone app through which geotagged images are collected. This system provides a viable option for monitoring the spread of various mosquito species across the globe, although it is partly limited by the quality of the citizen scientists' photos. To make the system useful for public health agencies, and to give feedback to the volunteering citizens, the submitted images are inspected and labeled by entomology experts. Although citizen-based data collection can greatly broaden disease-vector monitoring scales, manual inspection of each image is not an easily scalable option in the long run, and the system could be improved through automation. Based on Mosquito Alert's curated database of expert-validated mosquito photos, we trained a deep learning model to find tiger mosquitoes (Aedes albopictus), a species that is responsible for spreading chikungunya, dengue, and Zika among other diseases. The highly accurate 0.96 area under the receiver operating characteristic curve score promises not only a helpful pre-selector for the expert validation process but also an automated classifier giving quick feedback to the app participants, which may help to keep them motivated. In the paper, we also explored the possibilities of using the model to improve future data collection quality as a feedback loop.</t>
  </si>
  <si>
    <t>[Pataki, Balint Armin; Csabai, Istvan] Eotvos Lorand Univ, Dept Phys Complex Syst, Budapest, Hungary; [Garriga, Joan; Bartumeus, Frederic] Ctr Estudis Avancats Blanes CEAB CSIC, Girona 17300, Spain; [Eritja, Roger; Bartumeus, Frederic] CREAF, Cerdanyola Del Valles 08193, Spain; [Palmer, John R. B.] Univ Pompeu Fabra, Barcelona 08005, Spain; [Bartumeus, Frederic] Inst Catalana Recerca &amp; Estudis Avancats ICREA, Barcelona 08010, Spain</t>
  </si>
  <si>
    <t>Eotvos Lorand University; Consejo Superior de Investigaciones Cientificas (CSIC); CSIC - Centre d'Estudis Avancats de Blanes (CEAB); Centro de Investigacion Ecologica y Aplicaciones Forestales (CREAF-CERCA); Pompeu Fabra University; ICREA</t>
  </si>
  <si>
    <t>Pataki, BA (corresponding author), Eotvos Lorand Univ, Dept Phys Complex Syst, Budapest, Hungary.</t>
  </si>
  <si>
    <t>patbaa@caesar.elte.hu</t>
  </si>
  <si>
    <t>Palmer, John RB/N-8620-2014; Csabai, Istvan/F-6045-2011; Bartumeus, Frederic/D-1911-2010; Eritja, Roger/JED-8921-2023</t>
  </si>
  <si>
    <t>Palmer, John RB/0000-0002-2648-7860; Eritja, Roger/0000-0001-5749-8370</t>
  </si>
  <si>
    <t>EU [874735]; Ministry of Innovation and Technology NRDI Office</t>
  </si>
  <si>
    <t>EU(European Union (EU)); Ministry of Innovation and Technology NRDI Office(National Research, Development &amp; Innovation Office (NRDIO) - Hungary)</t>
  </si>
  <si>
    <t>This work was in part financed by EU Horizon 2020 program Grant agreement VEO No. 874735. The research was supported by the Ministry of Innovation and Technology NRDI Office within the framework of the Artificial Intelligence National Laboratory Program. We also acknowledge the Mosquito team (http://www.mosquitoal ert.com/en/about-us/team/) for their work in keeping the system operative, even in harsh financial times, and most especially the team of volunteer entomology experts that have validated mosquito pictures from Mosquito Alert during the period 2014-2019: Mikel Bengoa, Sarah Delacour, Ignacio Ruiz, Maria Angeles Puig, Pedro Maria Alarcon-Elbal, Rosario Melero-Alcibar, Simone Mariani, and Santi Escartin. Finally, we would like to thank the Mosquito Alert community (anonymous citizens) who have participated year by year, making all this data collection system worth it.</t>
  </si>
  <si>
    <t>NATURE PORTFOLIO</t>
  </si>
  <si>
    <t>BERLIN</t>
  </si>
  <si>
    <t>HEIDELBERGER PLATZ 3, BERLIN, 14197, GERMANY</t>
  </si>
  <si>
    <t>2045-2322</t>
  </si>
  <si>
    <t>SCI REP-UK</t>
  </si>
  <si>
    <t>Sci Rep</t>
  </si>
  <si>
    <t>FEB 25</t>
  </si>
  <si>
    <t>10.1038/s41598-021-83657-4</t>
  </si>
  <si>
    <t>QT5IS</t>
  </si>
  <si>
    <t>Green Published, Green Accepted, Green Submitted, gold</t>
  </si>
  <si>
    <t>WOS:000626621800078</t>
  </si>
  <si>
    <t>Roger, E; Turley, A; Waite, C; Balasubramaniam, S; Slatyer, C; Pearce, JA</t>
  </si>
  <si>
    <t>Roger, Erin; Turley, Andrew; Waite, Callum; Balasubramaniam, Shandiya; Slatyer, Cameron; Pearce, J. Andrew</t>
  </si>
  <si>
    <t>Citizen science delivers high-value biosecurity surveillance and reporting capability</t>
  </si>
  <si>
    <t>biodiversity; biosecurity; citizen science; conservation management; ecology; introduced species; invasive species; taxonomy</t>
  </si>
  <si>
    <t>Context Early surveillance and the detection of incursions of species of biosecurity concern are a crucial component of an effective biosecurity system. Citizen science represents an opportunity to engage communities in biosecurity, and to provide mechanisms for citizen scientists to contribute to both monitoring the spread of species already present in country, and reporting new incursions.Aims To present an example of how citizen science is being used for environmental biosecurity surveillance in Australia and showcase the value of large data services such as the Atlas of Living Australia (ALA), as a connector between citizen science and management.Methods We detail how the alert email system was set up, using a bespoke solution implemented in the R programming language. The system works by querying the ALA database for species that match lists provided by management authorities. Alerts can be sent out at national, state/territory and local government scales, as well as defined spatial areas such as national park estates.Key results Twelve months in, the top source for alerts comes from iNaturalist (a popular global biodiversity citizen-science platform), with other contributions from a set of biodiversity-reporting applications. Over a 12-month period, the alerts service has provided notifications for over 150 species, including the first public record of an invasive species in Australia.Conclusions Systems such as the Biosecurity Alerts Service, provide impact through the connection between communities and decision-making.Implications Our findings showed how the advancement of citizen science is interconnected with the advancement of research infrastructure and will ultimately lead to greater scientific and management value of citizen-science data. Australia is home to some of the most impactful invasive species, and the risk of new incursions increases every year with an increasing people and trade movement exacerbated by land-use change. We built a system to connect citizen-science observations with biosecurity and land management agencies. Already, the Biosecurity Alerts Service is proving critical in Australia's general surveillance system, with important localised eradications undertaken as a result. Photograph by Darren Fielder @darren_fielder CCBY-NC https://www.inaturalist.org/observations/189208201.</t>
  </si>
  <si>
    <t>[Roger, Erin; Turley, Andrew; Waite, Callum; Balasubramaniam, Shandiya; Slatyer, Cameron] Commonwealth Sci &amp; Ind Res Org CSIRO, Atlas Living Australia, Canberra, ACT, Australia; [Pearce, J. Andrew] Dept Agr, Fisheries &amp; Forestry, Canberra, ACT, Australia</t>
  </si>
  <si>
    <t>Commonwealth Scientific &amp; Industrial Research Organisation (CSIRO)</t>
  </si>
  <si>
    <t>Roger, E (corresponding author), Commonwealth Sci &amp; Ind Res Org CSIRO, Atlas Living Australia, Canberra, ACT, Australia.</t>
  </si>
  <si>
    <t>erin.roger@csiro.au</t>
  </si>
  <si>
    <t>Slatyer, Cameron/0000-0003-1042-9460; Waite, Callum/0009-0009-0474-0122; Balasubramaniam, Shandiya/0000-0001-9928-9964; Roger, Erin/0000-0002-9671-132X</t>
  </si>
  <si>
    <t>Department of Agriculture, Fisheries and Forestry; CSIRO Mission Co-investment</t>
  </si>
  <si>
    <t>Department of Agriculture, Fisheries and Forestry(Australian GovernmentDepartment of Agriculture and Water Resources); CSIRO Mission Co-investment(Commonwealth Scientific &amp; Industrial Research Organisation (CSIRO))</t>
  </si>
  <si>
    <t>Funding received from the Department of Agriculture, Fisheries and Forestry as well as CSIRO Mission Co-investment funding to build and prototype the Biosecurity Alerts Service.</t>
  </si>
  <si>
    <t>CLAYTON SOUTH</t>
  </si>
  <si>
    <t>Private Bag 10, CLAYTON SOUTH, VIC 3169, AUSTRALIA</t>
  </si>
  <si>
    <t>WR24046</t>
  </si>
  <si>
    <t>10.1071/WR24046</t>
  </si>
  <si>
    <t>WF3Z6</t>
  </si>
  <si>
    <t>hybrid</t>
  </si>
  <si>
    <t>WOS:001253429400001</t>
  </si>
  <si>
    <t>Welvaert, M; Caley, P</t>
  </si>
  <si>
    <t>Welvaert, Marijke; Caley, Peter</t>
  </si>
  <si>
    <t>Citizen surveillance for environmental monitoring: combining the efforts of citizen science and crowdsourcing in a quantitative data framework</t>
  </si>
  <si>
    <t>SPRINGERPLUS</t>
  </si>
  <si>
    <t>Citizen science; Crowdsourcing; General surveillance; Environmental statistics; Data generation process</t>
  </si>
  <si>
    <t>PRESENCE-ONLY DATA; BIODIVERSITY RESEARCH; BIAS; OVERCONFIDENCE; PARTICIPATION; PROJECT</t>
  </si>
  <si>
    <t>Citizen science and crowdsourcing have been emerging as methods to collect data for surveillance and/or monitoring activities. They could be gathered under the overarching term citizen surveillance. The discipline, however, still struggles to be widely accepted in the scientific community, mainly because these activities are not embedded in a quantitative framework. This results in an ongoing discussion on how to analyze and make useful inference from these data. When considering the data collection process, we illustrate how citizen surveillance can be classified according to the nature of the underlying observation process measured in two dimensions-the degree of observer reporting intention and the control in observer detection effort. By classifying the observation process in these dimensions we distinguish between crowdsourcing, unstructured citizen science and structured citizen science. This classification helps the determine data processing and statistical treatment of these data for making inference. Using our framework, it is apparent that published studies are overwhelmingly associated with structured citizen science, and there are well developed statistical methods for the resulting data. In contrast, methods for making useful inference from purely crowd-sourced data remain under development, with the challenges of accounting for the unknown observation process considerable. Our quantitative framework for citizen surveillance calls for an integration of citizen science and crowdsourcing and provides a way forward to solve the statistical challenges inherent to citizen-sourced data.</t>
  </si>
  <si>
    <t>[Welvaert, Marijke; Caley, Peter] Commonwealth Sci &amp; Ind Res Org, Canberra, ACT, Australia; [Welvaert, Marijke; Caley, Peter] Plant Biosecur Cooperat Res Ctr, Canberra, ACT, Australia</t>
  </si>
  <si>
    <t>Commonwealth Scientific &amp; Industrial Research Organisation (CSIRO); Plant Biosecurity Cooperative Research Centre</t>
  </si>
  <si>
    <t>Welvaert, M (corresponding author), Commonwealth Sci &amp; Ind Res Org, Canberra, ACT, Australia.;Welvaert, M (corresponding author), Plant Biosecur Cooperat Res Ctr, Canberra, ACT, Australia.</t>
  </si>
  <si>
    <t>Welvaert@canberra.edu.au</t>
  </si>
  <si>
    <t>Caley, Peter/D-8638-2011; Welvaert, Marijke/GOE-6151-2022</t>
  </si>
  <si>
    <t>Caley, Peter/0000-0002-8077-6460; Welvaert, Marijke/0000-0002-0802-8134</t>
  </si>
  <si>
    <t>Australian Government's Cooperative Research Centres Program [CRC 1029]</t>
  </si>
  <si>
    <t>Australian Government's Cooperative Research Centres Program(Australian GovernmentDepartment of Industry, Innovation and ScienceCooperative Research Centres (CRC) Programme)</t>
  </si>
  <si>
    <t>This work was supported by the Australian Government's Cooperative Research Centres Program (Project CRC 1029, Plant Biosecurity CRC). Many thanks to Sorada Tapsuwan, Ross Sparks, Rieks Van Klinken and an anonymous reviewer for their insightful comments on earlier drafts of this paper. We would also like to thank Roger Pech, Peter West and Jennyffer Cruz-Bernall for their input on the topic of citizen surveillance.</t>
  </si>
  <si>
    <t>SPRINGER INTERNATIONAL PUBLISHING AG</t>
  </si>
  <si>
    <t>2193-1801</t>
  </si>
  <si>
    <t>SpringerPlus</t>
  </si>
  <si>
    <t>OCT 28</t>
  </si>
  <si>
    <t>10.1186/s40064-016-3583-5</t>
  </si>
  <si>
    <t>EH5LJ</t>
  </si>
  <si>
    <t>WOS:000391814300005</t>
  </si>
  <si>
    <t>McClure, EC; Sievers, M; Brown, CJ; Buelow, CA; Ditria, EM; Hayes, MA; Pearson, RM; Tulloch, VJD; Unsworth, RKF; Connolly, R</t>
  </si>
  <si>
    <t>McClure, Eva C.; Sievers, Michael; Brown, Christopher J.; Buelow, Christina A.; Ditria, Ellen M.; Hayes, Matthew A.; Pearson, Ryan M.; Tulloch, Vivitskaia J. D.; Unsworth, Richard K. F.; Connolly, Rod M.</t>
  </si>
  <si>
    <t>Artificial Intelligence Meets Citizen Science to Supercharge Ecological Monitoring</t>
  </si>
  <si>
    <t>PATTERNS</t>
  </si>
  <si>
    <t>CONSERVATION; EXTINCTION; CHALLENGES; BENEFITS; SHIFTS; EBIRD; TOOL</t>
  </si>
  <si>
    <t>The development and uptake of citizen science and artificial intelligence (AI) techniques for ecological monitoring is increasing rapidly. Citizen science and AI allow scientists to create and process larger volumes of data than possible with conventional methods. However, managers of large ecological monitoring projects have little guidance on whether citizen science, AI, or both, best suit their resource capacity and objectives. To highlight the benefits of integrating the two techniques and guide future implementation by managers, we explore the opportunities, challenges, and complementarities of using citizen science and AI for ecological monitoring. We identify project attributes to consider when implementing these techniques and suggest that financial resources, engagement, participant training, technical expertise, and subject charisma and identification are important project considerations. Ultimately, we highlight that integration can supercharge outcomes for ecological monitoring, enhancing cost-efficiency, accuracy, and multi-sector engagement.</t>
  </si>
  <si>
    <t>[McClure, Eva C.; Sievers, Michael; Buelow, Christina A.; Ditria, Ellen M.; Hayes, Matthew A.; Pearson, Ryan M.; Connolly, Rod M.] Griffith Univ, Sch Environm &amp; Sci, Australian Rivers Inst Coast &amp; Estuaries, Gold Coast, Qld 4222, Australia; [Brown, Christopher J.] Griffith Univ, Sch Environm &amp; Sci, Australian Rivers Inst Coast &amp; Estuaries, Nathan, Qld 4111, Australia; [Tulloch, Vivitskaia J. D.] Univ British Columbia, Dept Forest &amp; Conservat Sci, Vancouver, BC, Canada; [Unsworth, Richard K. F.] Swansea Univ, Coll Sci, Seagrass Ecosyst Res Grp, Swansea SA2 8PP, W Glam, Wales</t>
  </si>
  <si>
    <t>Griffith University; Griffith University; University of British Columbia; Swansea University</t>
  </si>
  <si>
    <t>McClure, EC (corresponding author), Griffith Univ, Sch Environm &amp; Sci, Australian Rivers Inst Coast &amp; Estuaries, Gold Coast, Qld 4222, Australia.</t>
  </si>
  <si>
    <t>e.mcclure@griffith.edu.au</t>
  </si>
  <si>
    <t>Buelow, Christina/AAC-1881-2019; Tulloch, Vivitskaia/GNH-4554-2022; Unsworth, Richard/C-1266-2009; Sievers, Michael/ABA-5513-2020; Pearson, Ryan/AAC-6322-2019; Connolly, Rod/C-4094-2008; Brown, Christopher/G-4287-2011</t>
  </si>
  <si>
    <t>Sievers, Michael/0000-0001-7162-1830; Ditria, Ellen/0000-0002-5218-090X; Pearson, Ryan/0000-0002-0611-9964; McClure, Eva/0000-0002-3073-1264; Connolly, Rod/0000-0001-6223-1291; Brown, Christopher/0000-0002-7271-4091</t>
  </si>
  <si>
    <t>Australian Research Council [DP180103124]</t>
  </si>
  <si>
    <t>Australian Research Council(Australian Research Council)</t>
  </si>
  <si>
    <t>We acknowledge funding support from: C.J.B. and R.M.C.-Discovery Project (DP180103124) from the Australian Research Council; E.C.M., M.S., C.J.B., C.A.B., E.M.D., R.M.P., V.J.D.T., and R.M.C.-The Global Wetlands Project, supported by a charitable organization which neither seeks nor permits publicity for its efforts.</t>
  </si>
  <si>
    <t>2666-3899</t>
  </si>
  <si>
    <t>Patterns</t>
  </si>
  <si>
    <t>OCT 9</t>
  </si>
  <si>
    <t>10.1016/j.patter.2020.100109</t>
  </si>
  <si>
    <t>Computer Science, Artificial Intelligence; Computer Science, Information Systems; Computer Science, Interdisciplinary Applications</t>
  </si>
  <si>
    <t>Computer Science</t>
  </si>
  <si>
    <t>SH0LW</t>
  </si>
  <si>
    <t>WOS:000653830500007</t>
  </si>
  <si>
    <t>Wee, YC</t>
  </si>
  <si>
    <t>Wee, Yeow Chin</t>
  </si>
  <si>
    <t>CITIZEN SCIENCE AND THE MONITORING OF HORNBILLS IN SINGAPORE</t>
  </si>
  <si>
    <t>RAFFLES BULLETIN OF ZOOLOGY</t>
  </si>
  <si>
    <t>Article; Proceedings Paper</t>
  </si>
  <si>
    <t>5th International Hornbill Conference</t>
  </si>
  <si>
    <t>MAR 22-25, 2009</t>
  </si>
  <si>
    <t>SINGAPORE</t>
  </si>
  <si>
    <t>Citizen science; hornbills; Singapore</t>
  </si>
  <si>
    <t>Bird photographers in Singapore are accumulating excellent images of birds and their natural behaviour. The formation of a specialist group, the Bird Ecology Study Group (BESG) in 2005 saw close collaboration between photographers and this new bird group. These photographers are revitalising citizen science. Their observations and images are regularly posted in the BESG's weblog http://www.besgroup.org/. All contributors are fully acknowledged, thus encouraging others to participate. These citizen scientists have monitored activities of hornbills in the field, including courtship and nesting of two pairs of Oriental Pied Hornbills. Citizen scientists were also involved in collecting information of the aberrant behaviour of a pair of Great and Rhinoceros Hornbills, both female escapees. Weblog posts were made of these observations and subsequently published in scientific journals, with the citizen scientists as co-authors. We have shown that citizen scientists, be they photographers or birdwatchers, can be encouraged to make publishable field observations, and bring back crisp images of birds or their behaviour. This paper was presented at the 5(th) International Hornbill Conference jointly organised by the National Parks Board (Singapore) and the Hornbill Research Foundation (Thailand), in Singapore on 22(nd)-25(th) March 2009.</t>
  </si>
  <si>
    <t>Nat Soc Singapore, Bird Ecol Study Grp, Singapore, Singapore</t>
  </si>
  <si>
    <t>Wee, YC (corresponding author), Nat Soc Singapore, Bird Ecol Study Grp, Singapore, Singapore.</t>
  </si>
  <si>
    <t>NATL UNIV SINGAPORE, SCHOOL BIOLOGICAL SCIENCES</t>
  </si>
  <si>
    <t>DEPT ZOOLOGY, KENT RIDGE, SINGAPORE 0511, SINGAPORE</t>
  </si>
  <si>
    <t>0217-2445</t>
  </si>
  <si>
    <t>RAFFLES B ZOOL</t>
  </si>
  <si>
    <t>Raffles Bull. Zool.</t>
  </si>
  <si>
    <t>MAR 30</t>
  </si>
  <si>
    <t>Zoology</t>
  </si>
  <si>
    <t>Science Citation Index Expanded (SCI-EXPANDED); Conference Proceedings Citation Index - Science (CPCI-S)</t>
  </si>
  <si>
    <t>757YB</t>
  </si>
  <si>
    <t>WOS:000290123500006</t>
  </si>
  <si>
    <t>Roy, S; Mosteller, K; Mosteller, M; Webber, K; Webber, V; Webber, S; Reid, L; Walters, L; Edwards, MA</t>
  </si>
  <si>
    <t>Roy, Siddhartha; Mosteller, Kaylie; Mosteller, Matthew; Webber, Keri; Webber, Victoria; Webber, Stephanie; Reid, Lola; Walters, LeeAnne; Edwards, Marc A.</t>
  </si>
  <si>
    <t>Citizen science chlorine surveillance during the Flint, Michigan federal water emergency</t>
  </si>
  <si>
    <t>WATER RESEARCH</t>
  </si>
  <si>
    <t>Chlorine residual; Citizen science; Flint water crisis; Flushing; Legionella pneumophila; Water age</t>
  </si>
  <si>
    <t>DRINKING-WATER; DISTRIBUTION-SYSTEMS; BACTERIAL-COLONIZATION; MYCOBACTERIUM-AVIUM; DECAY; LEGIONELLA; CORROSION; DISEASE; CRISIS; DISINFECTION</t>
  </si>
  <si>
    <t>Rising incidence of waterborne diseases including Legionellosis linked to low chlorine residuals in buildings and the availability of inexpensive testing options, create an opportunity for citizen science chorine monitoring to complement sampling done by water utilities. University researchers and Flint residents coordinated a citizen science chlorine surveillance campaign in Flint, Michigan in 2015-19, that helped expose the nature of two deadly Legionnaires Disease outbreaks in 2014-2015 during the Flint Water Crisis and progress of system recovery during the Federal emergency. Results obtained with an inexpensive color wheel were in agreement with a digital colorimeter (R2 =0.99; p = 2.81 x 10-21) at 15 sites geographically distributed across Flint. Blinded tests revealed good agreement between official (n = 2051) and citizen (n = 654) data in terms of determining whether regulatory guidelines for chlorine were met, but a discovery that the citizen data were statistically lower than the city's (p&lt;0.00001) especially in warm summer months led to recommendations for increased flushing of service lines before measurements. This work suggests that expanded citizen surveillance of chlorine, site specific flushing advice, and guidance on decisions about water heater set point could help consumers reduce Legionella risks in their homes. Citizen science initiatives for chlorine monitoring offer a unique opportunity for mutually beneficial collaborations between consumers and utilities to reduce the main source of waterborne disease in developed countries.</t>
  </si>
  <si>
    <t>[Roy, Siddhartha; Edwards, Marc A.] Virginia Tech, Civil &amp; Environm Engn, Blacksburg, VA 24060 USA; [Mosteller, Kaylie; Mosteller, Matthew; Webber, Keri; Webber, Victoria; Webber, Stephanie; Reid, Lola; Walters, LeeAnne] Citizen Scientist, Flint, MI USA</t>
  </si>
  <si>
    <t>Virginia Polytechnic Institute &amp; State University</t>
  </si>
  <si>
    <t>Roy, S (corresponding author), 408 Durham Hall,1145 Perry St, Blacksburg, VA 24061 USA.</t>
  </si>
  <si>
    <t>sidroy@vt.edu</t>
  </si>
  <si>
    <t>Roy, Siddhartha/L-2527-2013; Edwards, Marc/J-3557-2012</t>
  </si>
  <si>
    <t>Roy, Siddhartha/0000-0001-6443-1393; Edwards, Marc/0000-0002-1889-1193</t>
  </si>
  <si>
    <t>U.S. Environmental Protection Agency [8399375]; Spring Point Partners LLC</t>
  </si>
  <si>
    <t>U.S. Environmental Protection Agency(United States Environmental Protection Agency); Spring Point Partners LLC</t>
  </si>
  <si>
    <t>This study was partly funded and developed under grants awarded by the U.S. Environmental Protection Agency (No. 8399375 Untapping the Crowd: Consumer Detection and Control of Lead in Drinking Water) and Spring Point Partners LLC to Virginia Tech. It has not been formally reviewed by USEPA or Spring Point Partners LLC. The findings, conclusions and opinions in this report are those of the author(s) and do not necessarily represent the official position of the USEPA or Spring Point Partners LLC. USEPA or Spring Point Partners LLC do not endorse any products or commercial services mentioned in this publication. The funding sources had no role in the design and conduct of the study; collection, management, analysis, and interpretation of the data; preparation, review, or approval of the manuscript; and decision to submit the manuscript for publication.</t>
  </si>
  <si>
    <t>PERGAMON-ELSEVIER SCIENCE LTD</t>
  </si>
  <si>
    <t>THE BOULEVARD, LANGFORD LANE, KIDLINGTON, OXFORD OX5 1GB, ENGLAND</t>
  </si>
  <si>
    <t>0043-1354</t>
  </si>
  <si>
    <t>1879-2448</t>
  </si>
  <si>
    <t>WATER RES</t>
  </si>
  <si>
    <t>Water Res.</t>
  </si>
  <si>
    <t>AUG 1</t>
  </si>
  <si>
    <t>10.1016/j.watres.2021.117304</t>
  </si>
  <si>
    <t>JUN 2021</t>
  </si>
  <si>
    <t>Engineering, Environmental; Environmental Sciences; Water Resources</t>
  </si>
  <si>
    <t>Engineering; Environmental Sciences &amp; Ecology; Water Resources</t>
  </si>
  <si>
    <t>TZ2BY</t>
  </si>
  <si>
    <t>WOS:000684281700003</t>
  </si>
  <si>
    <t>Fuccillo, KK; Crimmins, TM; de Rivera, CE; Elder, TS</t>
  </si>
  <si>
    <t>Fuccillo, Kerissa K.; Crimmins, Theresa M.; de Rivera, Catherine E.; Elder, Timothy S.</t>
  </si>
  <si>
    <t>Assessing accuracy in citizen science-based plant phenology monitoring</t>
  </si>
  <si>
    <t>INTERNATIONAL JOURNAL OF BIOMETEOROLOGY</t>
  </si>
  <si>
    <t>Citizen science; Data accuracy; Phenology; Protocols; Nature's Notebook; USA National Phenology Network</t>
  </si>
  <si>
    <t>CLIMATE-CHANGE; MARINE; VOLUNTEERS; RESPONSES; IMPACT; BIAS; TOOL</t>
  </si>
  <si>
    <t>In the USA, thousands of volunteers are engaged in tracking plant and animal phenology through a variety of citizen science programs for the purpose of amassing spatially and temporally comprehensive datasets useful to scientists and resource managers. The quality of these observations and their suitability for scientific analysis, however, remains largely unevaluated. We aimed to evaluate the accuracy of plant phenology observations collected by citizen scientist volunteers following protocols designed by the USA National Phenology Network (USA-NPN). Phenology observations made by volunteers receiving several hours of formal training were compared to those collected independently by a professional ecologist. Approximately 11,000 observations were recorded by 28 volunteers over the course of one field season. Volunteers consistently identified phenophases correctly (91 % overall) for the 19 species observed. Volunteers demonstrated greatest overall accuracy identifying unfolded leaves, ripe fruits, and open flowers. Transitional accuracy decreased for some species/phenophase combinations (70 % average), and accuracy varied significantly by phenophase and species (p &lt; 0.0001). Volunteers who submitted fewer observations over the period of study did not exhibit a higher error rate than those who submitted more total observations. Overall, these results suggest that volunteers with limited training can provide reliable observations when following explicit, standardized protocols. Future studies should investigate different observation models (i.e., group/individual, online/in-person training) over subsequent seasons with multiple expert comparisons to further substantiate the ability of these monitoring programs to supply accurate broadscale datasets capable of answering pressing ecological questions about global change.</t>
  </si>
  <si>
    <t>[Fuccillo, Kerissa K.; de Rivera, Catherine E.; Elder, Timothy S.] Portland State Univ, Dept Environm Sci &amp; Management, Portland, OR 97207 USA; [Crimmins, Theresa M.] Natl Coordinating Off, USA Natl Phenol Network, Tucson, AZ 85721 USA</t>
  </si>
  <si>
    <t>Portland State University</t>
  </si>
  <si>
    <t>Fuccillo, KK (corresponding author), Portland State Univ, Dept Environm Sci &amp; Management, Portland, OR 97207 USA.</t>
  </si>
  <si>
    <t>kerissafuccillo@gmail.com</t>
  </si>
  <si>
    <t>Crimmins, Theresa/H-3575-2019</t>
  </si>
  <si>
    <t>de Rivera, Catherine/0000-0002-3526-0668; Fuccillo Battle, Kerissa/0000-0002-9152-1965</t>
  </si>
  <si>
    <t>NSF [0941763]; Division Of Undergraduate Education; Direct For Education and Human Resources [0941763] Funding Source: National Science Foundation</t>
  </si>
  <si>
    <t>NSF(National Science Foundation (NSF)); Division Of Undergraduate Education; Direct For Education and Human Resources(National Science Foundation (NSF)NSF - Directorate for STEM Education (EDU))</t>
  </si>
  <si>
    <t>Sincere thanks to all contributors to this study including Lori Anne Barnett, Ellen Denny, Alyssa Rosemartin, Jake Weltzin, and USA-NPN National Coordinating Office staff, Dr. Marion Dresner, Dr. Sybil Kelly, Kelly Fisher, Jill Van Winkle, and Rhiannon LeFay from Portland State University, all volunteers from Portland Budwatch (with a special thanks to Harriet Denison and Mark Feldman for their dedication to the project), and Kendra Peterson-Morgan and Rachel Feliz of Portland Parks and Recreation. The USA-NPN National Coordinating Office is grateful for the critical role this study played in refining plant phenology protocols. This project was funded in part by NSF award #0941763, Interactive Teaching Materials for Understanding Ecological Response from Climate Change in Urban Forests.</t>
  </si>
  <si>
    <t>0020-7128</t>
  </si>
  <si>
    <t>1432-1254</t>
  </si>
  <si>
    <t>INT J BIOMETEOROL</t>
  </si>
  <si>
    <t>Int. J. Biometeorol.</t>
  </si>
  <si>
    <t>10.1007/s00484-014-0892-7</t>
  </si>
  <si>
    <t>Biophysics; Environmental Sciences; Meteorology &amp; Atmospheric Sciences; Physiology</t>
  </si>
  <si>
    <t>Biophysics; Environmental Sciences &amp; Ecology; Meteorology &amp; Atmospheric Sciences; Physiology</t>
  </si>
  <si>
    <t>CJ2TH</t>
  </si>
  <si>
    <t>WOS:000355336900014</t>
  </si>
  <si>
    <t>Gillings, S; Harris, SJ</t>
  </si>
  <si>
    <t>Gillings, Simon; Harris, Sarah J.</t>
  </si>
  <si>
    <t>Estimating the carbon footprint of citizen science biodiversity monitoring</t>
  </si>
  <si>
    <t>PEOPLE AND NATURE</t>
  </si>
  <si>
    <t>biodiversity monitoring; carbon emissions; citizen science; travel</t>
  </si>
  <si>
    <t>POPULATION TRENDS; LAND-USE; BIRDS</t>
  </si>
  <si>
    <t>Across society there is pressure to assess and reduce carbon emissions to meet the obligations of the Paris Agreement and the Glasgow Climate Pact. Within the science community, there is increasing awareness of the carbon footprint of research activities, but to date there is no consideration of emissions associated with biodiversity monitoring. Biodiversity monitoring, often delivered through citizen science schemes, is key to assessing environmental change impacts and mitigation. However, attributes of rigorously designed schemes such as randomisation and high recording effort can require volunteers to undertake regular travel, raising two important questions: (a) is biodiversity monitoring reliant on volunteers with private vehicles?; and (b) what is the carbon footprint of a typical monitoring scheme? This study focussed on travel associated with participation in the UK Breeding Bird Survey. The BBS involves twice-annual surveys of a stratified random sample of 1-km squares across the United Kingdom, providing population trends for c. 120 terrestrial bird species with data used widely in policy and research. Using coverage information from 2019, we calculated road distances from volunteers' home addresses to their squares and sought information on travel methods using an online questionnaire (54% response rate). In 2019, 2765 volunteers made 7520 visits to 3914 1-km squares, travelling over 286,000 km in the process. Travel required to visit individual squares was highly skewed and differed geographically and according to mode of travel. Eighty-eight per cent of squares were accessed by private car, with conventionally fuelled vehicles accounting for 95% of these. Active travel accounted for 10% of visits and public transport only 1.4%. We estimate the total emissions produced to achieve BBS coverage in 2019 to be at least 46.8 tonnes CO(2)e. These results indicate a heavy reliance on access to private vehicles, creating a barrier to future participation, especially if pathways to decarbonisation involve reduced car ownership. Furthermore, they indicate the scale of carbon emissions likely to be produced by the monitoring sector. We discuss possible pathways to decarbonise monitoring schemes but stress that we do not wish to criticise the travel decisions of individual volunteers: the onus on decarbonisation lies firmly with the organisers of monitoring schemes. Read the free Plain Language Summary for this article on the Journal blog.</t>
  </si>
  <si>
    <t>[Gillings, Simon; Harris, Sarah J.] British Trust Ornithol, The Nunnery, Thetford, England</t>
  </si>
  <si>
    <t>British Trust for Ornithology</t>
  </si>
  <si>
    <t>Gillings, S (corresponding author), British Trust Ornithol, The Nunnery, Thetford, England.</t>
  </si>
  <si>
    <t>simon.gillings@bto.org</t>
  </si>
  <si>
    <t>; Gillings, Simon/I-2727-2015</t>
  </si>
  <si>
    <t>Harris, Sarah J/0000-0002-7732-9758; Gillings, Simon/0000-0002-9794-2357</t>
  </si>
  <si>
    <t>BTO; RSPB; JNCC</t>
  </si>
  <si>
    <t>The BTO/JNCC/RSPB Breeding Bird Survey is a partnership jointly funded by the BTO, RSPB and JNCC, with fieldwork conducted by volunteers. The authors thank all the volunteers of the BBS for their ongoing support in monitoring the United Kingdom's bird populations and for providing the questionnaire responses used in this study. They thank Dawn Balmer, Javier Caletrio, Hazel McCambridge, Nick Moran, James Pearce-Higgins, Rob Robinson, Juliet Vickery,Paul Woodcock and two anonymous reviewers for valuable input to the study.</t>
  </si>
  <si>
    <t>2575-8314</t>
  </si>
  <si>
    <t>PEOPLE NAT</t>
  </si>
  <si>
    <t>People Nat.</t>
  </si>
  <si>
    <t>10.1002/pan3.10333</t>
  </si>
  <si>
    <t>MAY 2022</t>
  </si>
  <si>
    <t>Biodiversity Conservation; Ecology</t>
  </si>
  <si>
    <t>3K4OD</t>
  </si>
  <si>
    <t>WOS:000796771400001</t>
  </si>
  <si>
    <t>Tulloch, AIT; Possingham, HP; Joseph, LN; Szabo, J; Martin, TG</t>
  </si>
  <si>
    <t>Tulloch, Ayesha I. T.; Possingham, Hugh P.; Joseph, Liana N.; Szabo, Judit; Martin, Tara G.</t>
  </si>
  <si>
    <t>Realising the full potential of citizen science monitoring programs</t>
  </si>
  <si>
    <t>Volunteer surveying; Long-term ecological monitoring; Crowd sourcing; Return on investment; Policy; Quality control; Social research; Cost-effectiveness analysis</t>
  </si>
  <si>
    <t>BREEDING BIRD SURVEY; WEST-NILE-VIRUS; SPECIES RICHNESS; POPULATION DECLINE; DISTRIBUTIONS; BIODIVERSITY; VARIABILITY; CLIMATE; SCALES; INFORMATION</t>
  </si>
  <si>
    <t>Citizen science is on the rise. Aided by the internet, the popularity and scope of citizen science appears almost limitless. For citizens the motivation is to contribute to real science, public information and conservation. For scientists, citizen science offers a way to collect information that would otherwise not be affordable. The longest running and largest of these citizen science programs are broad-scale bird monitoring projects. There are two basic types of protocols possible: (a) cross-sectional schemes such as Atlases - collections of surveys of many species contributed by volunteers over a set period of time, and (b) longitudinal schemes such as Breeding Bird Surveys (BBS) - on-going stratified monitoring of sites that require more coordination. We review recent applications of these citizen science programs to determine their influence in the scientific literature. We use return-on-investment thinking to identify the minimum investment needed for different citizen science programs, and the point at which investing more in citizen science programs has diminishing benefits. Atlas and BBS datasets are used to achieve different objectives, with more knowledge-focused applications for Atlases compared with more management applications for BBS. Estimates of volunteer investment in these datasets show that compared to cross-sectional schemes, longitudinal schemes are more cost-effective, with increased BBS investment correlated with more applications, which have higher impact in the scientific literature, as measured by citation rates. This is most likely because BBS focus on measuring change, allowing the impact of management and policy to be quantified. To ensure both types of data are used to their full potential we recommend the following: elements of BBS protocols (fixed sites, long-term monitoring) are incorporated into Atlases; regional coordinators are in place to maintain data quality; communication between researchers and the organisations coordinating volunteer monitoring is enhanced, with monitoring targeted to meet specific needs and objectives; application of data to under-explored objectives is encouraged, and data are made freely and easily accessible. (C) 2013 Elsevier Ltd. All rights reserved.</t>
  </si>
  <si>
    <t>[Tulloch, Ayesha I. T.; Possingham, Hugh P.] Univ Queensland, Ctr Biodivers &amp; Conservat Sci, NERP Environm Decis Hub, ARC Ctr Excellence Environm Decis, Brisbane, Qld 4072, Australia; [Joseph, Liana N.] Wildlife Conservat Soc, Bronx, NY 10460 USA; [Szabo, Judit] Charles Darwin Univ, Res Inst Environm &amp; Livelihoods, Darwin, NT 0909, Australia; [Martin, Tara G.] CSIRO Ecosyst Sci, Brisbane, Qld 4102, Australia</t>
  </si>
  <si>
    <t>University of Queensland; Wildlife Conservation Society; Charles Darwin University; Commonwealth Scientific &amp; Industrial Research Organisation (CSIRO)</t>
  </si>
  <si>
    <t>Tulloch, AIT (corresponding author), Univ Queensland, Sch Biol Sci, St Lucia, Qld 4072, Australia.</t>
  </si>
  <si>
    <t>a.tulloch@uq.edu.au; h.possingham@uq.edu.au; ljoseph@wcs.org; Judit.Szabo@cdu.edu.au; Tara.Martin@csiro.au</t>
  </si>
  <si>
    <t>Szabo, Judit/C-1247-2012; Tulloch, Ayesha/KCY-9059-2024; Possingham, Hugh/B-1337-2008; Martin, Tara/M-1897-2016</t>
  </si>
  <si>
    <t>Szabo, Judit/0000-0002-8786-1887; Tulloch, Ayesha/0000-0002-5866-1923; Possingham, Hugh/0000-0001-7755-996X; Martin, Tara/0000-0001-7165-9812</t>
  </si>
  <si>
    <t>Australian Government's National Environmental Research Program; Australian Research Council Centre of Excellence for Environmental Decisions; Australian Postgraduate Award, an ARC Linkage Grant; Birds Australia Stuart Leslie Bird Research Award</t>
  </si>
  <si>
    <t>Australian Government's National Environmental Research Program(Australian Government); Australian Research Council Centre of Excellence for Environmental Decisions(Australian Research Council); Australian Postgraduate Award, an ARC Linkage Grant(Australian Research Council); Birds Australia Stuart Leslie Bird Research Award</t>
  </si>
  <si>
    <t>This research was conducted with the support of funding from the Australian Government's National Environmental Research Program and the Australian Research Council Centre of Excellence for Environmental Decisions. A.T. was supported during her research by an Australian Postgraduate Award, an ARC Linkage Grant, and by a 2011 Birds Australia Stuart Leslie Bird Research Award. Thanks to Lluis Brotons for advice.</t>
  </si>
  <si>
    <t>10.1016/j.biocon.2013.05.025</t>
  </si>
  <si>
    <t>210YQ</t>
  </si>
  <si>
    <t>WOS:000323871700015</t>
  </si>
  <si>
    <t>Roy, HE; Martinou, AF; Pocock, MJO; Werenkraut, V; Roy, DB</t>
  </si>
  <si>
    <t>Roy, Helen E.; Martinou, Angeliki F.; Pocock, Michael J. O.; Werenkraut, Victoria; Roy, David B.</t>
  </si>
  <si>
    <t>The global reach of citizen science for monitoring insects</t>
  </si>
  <si>
    <t>ONE EARTH</t>
  </si>
  <si>
    <t>Biodiversity is declining rapidly. The most important causes of biodiversity loss are climate change, land- and sea-use change, invasive alien species, pollution, and overexploitation of natural resources. This unprecedented deterioration of the biosphere has profound and far-reaching consequences for insects, who play many important roles within ecosystems, including pollination and decomposition. Declines in the abundance and distribution of insects threaten these essential ecosystem functions. While there is no doubt that urgent and immediate measures are needed to address biodiversity loss and climate change, monitoring of insects is a priority to underpin and inform ongoing conservation action. Citizen science has emerged as an important tool for monitoring insects. In this primer, we explain the application of citizen science for monitoring insects and emerging approaches using digital technologies.</t>
  </si>
  <si>
    <t>[Roy, Helen E.; Pocock, Michael J. O.; Roy, David B.] UK Ctr Ecol &amp; Hydrol, Wallingford OX10 8BB, England; [Roy, Helen E.; Roy, David B.] Univ Exeter, Ctr Ecol &amp; Conservat, Penryn Campus, Cornwall TR10 9FE, England; [Martinou, Angeliki F.] BFC RAF Akrotiri, Joint Serv Hlth Unit Cyprus, Lab Vector Ecol &amp; Appl Entomol, BFPO 57, Akrotiri, Cyprus; [Martinou, Angeliki F.] Enalia Physis Environm Res Ctr, Akropoleos 2, CY-2101 Nicosia, Cyprus; [Martinou, Angeliki F.] Cyprus Inst, Climate &amp; Atmosphere Res Ctr Care C, Athalassa Campus,20 Konstantinou Kavafi St, CY-2121 Nicosia, Cyprus; [Werenkraut, Victoria] Natl Univ Comahue, Inst Biodivers &amp; Environm Res, INIBIOMA, CONICET, RA-1415 San Carlos De Bariloche, Rio Negro, Argentina</t>
  </si>
  <si>
    <t>UK Centre for Ecology &amp; Hydrology (UKCEH); University of Exeter; Consejo Nacional de Investigaciones Cientificas y Tecnicas (CONICET); Universidad Nacional del Comahue</t>
  </si>
  <si>
    <t>Roy, HE (corresponding author), UK Ctr Ecol &amp; Hydrol, Wallingford OX10 8BB, England.;Roy, HE (corresponding author), Univ Exeter, Ctr Ecol &amp; Conservat, Penryn Campus, Cornwall TR10 9FE, England.</t>
  </si>
  <si>
    <t>hele@ceh.ac.uk</t>
  </si>
  <si>
    <t>Roy, David/A-6619-2009; Werenkraut, Victoria/OHT-5164-2025; Pocock, Michael/A-5632-2012</t>
  </si>
  <si>
    <t>Roy, Helen Elizabeth/0000-0001-6050-679X; Werenkraut, Victoria/0000-0003-2417-3953; Pocock, Michael/0000-0003-4375-0445</t>
  </si>
  <si>
    <t>UK Natural Environment Research Council [NE/R016429/1]; Natural Environment Research Council, NC for Global Challenges programme [NE/X006247/1]; UK Natural Environment Research Council [NE/V006533/1]; Darwin Plus [DPLUS175]; COST Action [CA22129]; Natural Environment Research Council [NE/R016429/1] Funding Source: researchfish</t>
  </si>
  <si>
    <t>UK Natural Environment Research Council(UK Research &amp; Innovation (UKRI)Natural Environment Research Council (NERC)); Natural Environment Research Council, NC for Global Challenges programme; UK Natural Environment Research Council(UK Research &amp; Innovation (UKRI)Natural Environment Research Council (NERC)); Darwin Plus; COST Action(European Cooperation in Science and Technology (COST)); Natural Environment Research Council(UK Research &amp; Innovation (UKRI)Natural Environment Research Council (NERC))</t>
  </si>
  <si>
    <t>With thanks to the many, many volunteers who have made inspiring contributions to our understanding of insects for centuries. H.E.R., D.B.R., and M.J.O.P. were funded by UK Natural Environment Research Council award number NE/R016429/1 as part of the UK-SCAPE programme Delivering National Capability. Through the GLOBMS project, D.B.R. was also supported by the Natural Environment Research Council as part of the NC for Global Challenges programme NE/X006247/1 delivering national capability. H.E.R. also acknowledges support from UK Natural Environment Research Council grant NE/V006533/1 Global Insect Threat -Response Synthesis (GLiTRS) : a comprehensive and predictive assessment of the pattern and consequences of insect declines. H.E.R., A.F.M., D.B.R., and M.J.O.P. gratefully acknowledge funding opportunities from Darwin Plus, including DPLUS175 Enhancing monitoring and prevention of invasive non-native species across UKOTs,which have provided many insights into citizen science initiatives on the UK Overseas Territories. H.E.R. and A.F.M. acknowledge COST Action CA22129 InsectAI (Using Image -based AI for Insect Monitoring &amp; Conservation) for networking opportunities.</t>
  </si>
  <si>
    <t>2590-3330</t>
  </si>
  <si>
    <t>2590-3322</t>
  </si>
  <si>
    <t>One Earth</t>
  </si>
  <si>
    <t>APR 19</t>
  </si>
  <si>
    <t>10.1016/j.oneear.2024.03.009</t>
  </si>
  <si>
    <t>APR 2024</t>
  </si>
  <si>
    <t>Green &amp; Sustainable Science &amp; Technology; Environmental Sciences; Environmental Studies</t>
  </si>
  <si>
    <t>Science &amp; Technology - Other Topics; Environmental Sciences &amp; Ecology</t>
  </si>
  <si>
    <t>SH0K6</t>
  </si>
  <si>
    <t>WOS:001233445100001</t>
  </si>
  <si>
    <t>Fehri, R; Khlifi, S; Vanclooster, M</t>
  </si>
  <si>
    <t>Fehri, Raed; Khlifi, Slaheddine; Vanclooster, Marnik</t>
  </si>
  <si>
    <t>Testing a citizen science water monitoring approach in Tunisia</t>
  </si>
  <si>
    <t>ENVIRONMENTAL SCIENCE &amp; POLICY</t>
  </si>
  <si>
    <t>Citizen science; Rainfall; Monitoring; Validation; Online platform</t>
  </si>
  <si>
    <t>VALIDATION</t>
  </si>
  <si>
    <t>Citizen Science (CS) has been emerging in the last decade as a new field of environmental monitoring involving a direct collaboration between everyday citizens and scientists. In Tunisia, several recent governmental efforts aimed at reinforcing and renovating the existing official water monitoring systems. However, the lack of reliable hydrological data is still an issue, which could be better addressed through integrating a CS approach. The latter approach is tested for rainfall monitoring in the Medjerda catchment in Tunisia using cost-effective and publicly available manual rain gauges. We used a step-by-step approach to target, engage and train citizens on using the monitoring tools and transmitting the data to a user-friendly online platform. The ongoing approach involved 7 citizens from different generations and different educational backgrounds. The collected daily CS data are compared with data from reference stations. Results yield a significant correlation between CS data collected at 3 different sites and the reference stations with r (Pearson Correlation Coefficient (PCC)) ranges between 0.91 and 0.98 for all citizens. Student's t-test was applied to evaluate the significance of the agreement between the CS and reference data. In addition, the variability of the CS data is compared with the variability associated with the official governmental data. The CS approach delivered consistent outcomes to complement existing Tunisian monitoring systems, and also to enhance innovation, adaptation, and local capacity building in the Tunisian water sector.</t>
  </si>
  <si>
    <t>[Fehri, Raed; Vanclooster, Marnik] Catholic Univ Louvain, Earth &amp; Life Inst, GERU, Croix Sud 2, B-1348 Louvain La Neuve, Belgium; [Khlifi, Slaheddine] Ecole Super Ingenieurs Medjez el Bab ESIM, UR Gest Durable Ressources Eau &amp; Sol, P5, Mejez El Bab 9070, Tunisia</t>
  </si>
  <si>
    <t>Universite Catholique Louvain</t>
  </si>
  <si>
    <t>Fehri, R (corresponding author), Croix Sud 2,Box L7-05-02,Mendel Bldg,Off C059, B-1348 Louvain La Neuve, Belgium.</t>
  </si>
  <si>
    <t>raed.fehri@uclouvain.be</t>
  </si>
  <si>
    <t>; Khlifi, Slaheddine/ABF-4957-2020</t>
  </si>
  <si>
    <t>Fehri, Raed/0000-0002-4745-6123; Vanclooster, Marnik/0000-0003-1358-8723; Khlifi, Slaheddine/0000-0002-6100-8239</t>
  </si>
  <si>
    <t>Universite catholique de Louvain (UCL); Wallonie Bruxelles International (WBI); Islamic Development Bank (IDB) Excellence Merit Scholarship</t>
  </si>
  <si>
    <t>We acknowledge the support of the Universite catholique de Louvain (UCL), the Wallonie Bruxelles International (WBI), and the Islamic Development Bank (IDB) Excellence Merit Scholarship. Also, we sincerely thank all citizens who volunteered in the Together4Water CS campaigns for their continuous enthusiasm and motivation.</t>
  </si>
  <si>
    <t>1462-9011</t>
  </si>
  <si>
    <t>1873-6416</t>
  </si>
  <si>
    <t>ENVIRON SCI POLICY</t>
  </si>
  <si>
    <t>Environ. Sci. Policy</t>
  </si>
  <si>
    <t>10.1016/j.envsci.2019.11.009</t>
  </si>
  <si>
    <t>KL2XG</t>
  </si>
  <si>
    <t>WOS:000513291300008</t>
  </si>
  <si>
    <t>Schreyers, L; van Emmerik, THM; Kirschke, S; Pinto, R; Schmidtke, L; Schmidt, C; Wendt-Potthoff, K</t>
  </si>
  <si>
    <t>Schreyers, Louise; van Emmerik, Tim H. M.; Kirschke, Sabrina; Pinto, Rose; Schmidtke, Lea; Schmidt, Christian; Wendt-Potthoff, Katrin</t>
  </si>
  <si>
    <t>Suitability of river plastic monitoring methods for citizen science</t>
  </si>
  <si>
    <t>CAMBRIDGE PRISMS: PLASTICS</t>
  </si>
  <si>
    <t>macroplastic; microplastic; environmental pollution; water quality; Accra; Ghana</t>
  </si>
  <si>
    <t>CHALLENGES; POLLUTION</t>
  </si>
  <si>
    <t>Rivers act as long-term plastic storage and a pathway for land-based plastic pollution into the ocean. Monitoring river plastic at a global scale remains challenging, with only limited large-scale and long-term monitoring efforts to date. Citizen science approaches may ensure a more continuous basic knowledge of plastic pollution in rivers, which can be used to assess the efficacy of reduction measures. We evaluated the suitability of several river plastic monitoring methods for citizen science, through field monitoring and a subsequent survey with citizen scientists in Accra, Ghana. Four measurement techniques (visual counting, macroplastic net sampling, microplastic net sampling and hydrometric measurements) were tested in the field and evaluated by citizen scientists. The visual counting method, used to estimate floating macroplastic transport, emerged as the most promising method for citizen science-based river plastic monitoring. Using the data collected by citizens, we quantify the variability in transport and concentration of both macroplastic and microplastic.</t>
  </si>
  <si>
    <t>[Schreyers, Louise; van Emmerik, Tim H. M.; Pinto, Rose] Wageningen Univ, Hydrol &amp; Environm Hydraul Grp, Wageningen, Netherlands; [Schreyers, Louise] Radboud Univ Nijmegen, Dept Environm Sci, Nijmegen, Netherlands; [Kirschke, Sabrina; Schmidtke, Lea] Leibniz Inst Evolut &amp; Biodivers Sci, Museum Naturkunde, Berlin, Germany; [Schmidt, Christian] UFZ Helmholtz Ctr Environm Res, Dept Hydrogeol, Leipzig, Germany; [Wendt-Potthoff, Katrin] UFZ Helmholtz Ctr Environm Res, Dept Lake Res, Magdeburg, Germany</t>
  </si>
  <si>
    <t>Wageningen University &amp; Research; Radboud University Nijmegen; Leibniz Institut fur Evolutions und Biodiversitatsforschung; Helmholtz Association; Helmholtz Center for Environmental Research (UFZ); Helmholtz Association; Helmholtz Center for Environmental Research (UFZ)</t>
  </si>
  <si>
    <t>van Emmerik, THM (corresponding author), Wageningen Univ, Hydrol &amp; Environm Hydraul Grp, Wageningen, Netherlands.</t>
  </si>
  <si>
    <t>tim.vanemmerik@wur.nl</t>
  </si>
  <si>
    <t>Wendt-Potthoff, Katrin/E-1708-2016; van Emmerik, Tim/L-2817-2014; Schmidt, Christian/F-6709-2012</t>
  </si>
  <si>
    <t>WWQA</t>
  </si>
  <si>
    <t>This research was partly funded by the World Water Quality Alliance (WWQA), convened by the UN Environment Programme (UNEP), which is supported through funding from the Swiss Agency for Development and Cooperation (SDC).</t>
  </si>
  <si>
    <t>CAMBRIDGE UNIV PRESS</t>
  </si>
  <si>
    <t>EDINBURGH BLDG, SHAFTESBURY RD, CB2 8RU CAMBRIDGE, ENGLAND</t>
  </si>
  <si>
    <t>2755-094X</t>
  </si>
  <si>
    <t>CAMB PRISM-PLASTICS</t>
  </si>
  <si>
    <t>Camb. Prism. Plastics</t>
  </si>
  <si>
    <t>AUG 5</t>
  </si>
  <si>
    <t>e31</t>
  </si>
  <si>
    <t>10.1017/plc.2025.10027; 10.1017/plc.2025.10027.pr1; 10.1017/plc.2025.10027.pr2; 10.1017/plc.2025.10027.pr3; 10.1017/plc.2025.10027.pr4; 10.1017/plc.2025.10027.pr5</t>
  </si>
  <si>
    <t>Environmental Sciences; Environmental Studies</t>
  </si>
  <si>
    <t>AZ9XZ</t>
  </si>
  <si>
    <t>WOS:001660795200001</t>
  </si>
  <si>
    <t>Kasten, P; Jenkins, SR; Christofoletti, RA</t>
  </si>
  <si>
    <t>Kasten, Paula; Jenkins, Stuart R.; Christofoletti, Ronaldo A.</t>
  </si>
  <si>
    <t>Participatory Monitoring-A Citizen Science Approach for Coastal Environments</t>
  </si>
  <si>
    <t>FRONTIERS IN MARINE SCIENCE</t>
  </si>
  <si>
    <t>citizen science; coastal ecosystems; biodiversity; community engagement; ocean literacy</t>
  </si>
  <si>
    <t>ISOGNOMON-BICOLOR; DATA QUALITY; BIODIVERSITY; VALIDATION</t>
  </si>
  <si>
    <t>In this article the authors share their experiences, results, and lessons learned during the creation of a coastal biodiversity participatory monitoring initiative. Throughout 2019, we delivered five training workshops to 51 citizen scientists. Data collected by the citizens scientists were validated by checking its similarities against that gathered by specialists. High similarity values were found, indicating that, if proper training is provided, there is a great potential for citizen scientists to contribute biodiversity data with high value. During this process a certain level of variation in data produced by specialists was found, drawing attention to the need for prior alignment among specialists who may offer training for citizens. In addition, despite overall similar results between specialists and participants, some differences emerged in particular parts of the habitat; for example, the bivalve zones presented higher complexity and hence greater challenge. Identifying key challenges for participants is key to developing appropriate citizen science protocols. Here it is provided preliminary evidence that supports the use of the monitoring protocol to obtain biodiversity data gathered by citizen scientists, assuring its scientific quality. Enhancing participation by the community and specialists is key to further validate the approach and to effectively expand such protocols, enhancing the level of biodiversity data collection. In order to promote participation, and maintain citizen scientist engagement in the initiative, it is recommended the development of new investigations that assess the interests and motivations of the public to take part. It is also fundamentally important to have an effective strategy to communicate the results of participants' monitoring and their applicability to local and global issues, thus maximizing the continuity of engagement of citizen scientists.</t>
  </si>
  <si>
    <t>[Kasten, Paula; Christofoletti, Ronaldo A.] Univ Fed Sao Paulo, Inst Marine Sci, Lab Coastal Ecol &amp; Management, Santos, SP, Brazil; [Jenkins, Stuart R.] Bangor Univ, Sch Ocean Sci, Bangor, Gwynedd, Wales</t>
  </si>
  <si>
    <t>Universidade Federal de Sao Paulo (UNIFESP); Bangor University</t>
  </si>
  <si>
    <t>Kasten, P (corresponding author), Univ Fed Sao Paulo, Inst Marine Sci, Lab Coastal Ecol &amp; Management, Santos, SP, Brazil.</t>
  </si>
  <si>
    <t>paula.kasten@unifesp.br</t>
  </si>
  <si>
    <t>Jenkins, Stuart/D-2032-2010; Kasten, Paula/K-6529-2012; Christofoletti, Ronaldo/D-3266-2012</t>
  </si>
  <si>
    <t>Kasten, Paula/0000-0001-7755-4886; Christofoletti, Ronaldo/0000-0002-2168-9527</t>
  </si>
  <si>
    <t>Sao Paulo Research Foundation (FAPESP) [2017/50220-8]; National Council for Scientific and Technological Development (CNPq) [153196/2018-1]; British Council - Newton Fund Grant Agreement Institutional Links [332425662]</t>
  </si>
  <si>
    <t>Sao Paulo Research Foundation (FAPESP)(Fundacao de Amparo a Pesquisa do Estado de Sao Paulo (FAPESP)); National Council for Scientific and Technological Development (CNPq)(Conselho Nacional de Desenvolvimento Cientifico e Tecnologico (CNPQ)Fundacao de Amparo a Pesquisa do Estado de Sao Paulo (FAPESP)); British Council - Newton Fund Grant Agreement Institutional Links</t>
  </si>
  <si>
    <t>This work was financially supported by grant #2017/50220-8, Sao Paulo Research Foundation (FAPESP); Post-doc fellowship for PK #153196/2018-1, National Council for Scientific and Technological Development (CNPq); British Council -Newton Fund Grant Agreement Institutional Links #332425662.</t>
  </si>
  <si>
    <t>2296-7745</t>
  </si>
  <si>
    <t>FRONT MAR SCI</t>
  </si>
  <si>
    <t>Front. Mar. Sci.</t>
  </si>
  <si>
    <t>JUL 23</t>
  </si>
  <si>
    <t>10.3389/fmars.2021.681969</t>
  </si>
  <si>
    <t>Environmental Sciences; Marine &amp; Freshwater Biology; Oceanography</t>
  </si>
  <si>
    <t>Environmental Sciences &amp; Ecology; Marine &amp; Freshwater Biology; Oceanography</t>
  </si>
  <si>
    <t>TZ2KX</t>
  </si>
  <si>
    <t>WOS:000684305700001</t>
  </si>
  <si>
    <t>Gueguen, C</t>
  </si>
  <si>
    <t>Gueguen, Celine</t>
  </si>
  <si>
    <t>Monitoring water quality in arctic rivers: Citizen science approach</t>
  </si>
  <si>
    <t>ABSTRACTS OF PAPERS OF THE AMERICAN CHEMICAL SOCIETY</t>
  </si>
  <si>
    <t>Fall National Meeting and Exposition of the American-Chemical-Society (ACS)</t>
  </si>
  <si>
    <t>AUG 25-29, 2019</t>
  </si>
  <si>
    <t>San Diego, CA</t>
  </si>
  <si>
    <t>Amer Chem Soc</t>
  </si>
  <si>
    <t>[Gueguen, Celine] Univ Sherbrooke, Chem, Sherbrooke, PQ, Canada</t>
  </si>
  <si>
    <t>University of Sherbrooke</t>
  </si>
  <si>
    <t>celine.gueguen@usherbrooke.ca</t>
  </si>
  <si>
    <t>AMER CHEMICAL SOC</t>
  </si>
  <si>
    <t>1155 16TH ST, NW, WASHINGTON, DC 20036 USA</t>
  </si>
  <si>
    <t>0065-7727</t>
  </si>
  <si>
    <t>ABSTR PAP AM CHEM S</t>
  </si>
  <si>
    <t>Abstr. Pap. Am. Chem. Soc.</t>
  </si>
  <si>
    <t>AUG 25</t>
  </si>
  <si>
    <t>103-ENVR</t>
  </si>
  <si>
    <t>Chemistry, Multidisciplinary</t>
  </si>
  <si>
    <t>Chemistry</t>
  </si>
  <si>
    <t>LC1AO</t>
  </si>
  <si>
    <t>WOS:000525061500195</t>
  </si>
  <si>
    <t>Locke, CM; Anhalt-Depies, CM; Frett, S; Stenglein, JL; Cameron, S; Malleshappa, V; Peltier, T; Zuckerberg, B; Townsend, PA</t>
  </si>
  <si>
    <t>Locke, Christina M.; Anhalt-Depies, Christine M.; Frett, Susan; Stenglein, Jennifer L.; Cameron, Sarah; Malleshappa, Vivek; Peltier, Taylor; Zuckerberg, Benjamin; Townsend, Philip A.</t>
  </si>
  <si>
    <t>Managing a large citizen science project to monitor wildlife</t>
  </si>
  <si>
    <t>WILDLIFE SOCIETY BULLETIN</t>
  </si>
  <si>
    <t>camera trap; capacity; citizen science; project management; project planning; staff time; volunteer program</t>
  </si>
  <si>
    <t>ECOLOGICAL RESEARCH; TOOL; VOLUNTEER; QUALITY</t>
  </si>
  <si>
    <t>We provide program managers insight into considerations for launching and running a large-scale, long-term citizen science project, using the Snapshot Wisconsin trail-camera project as a case study. Many citizen science projects are undertaken with a learn as you go approach, so there is room to better prepare program managers from the outset. We provide a comprehensive list of components making up citizen science projects, and discuss capacity needs for each component. We then quantify staff time needed throughout the project, based on our own experiences managing a long-term citizen science project with &gt;1,000 participants. We show that total staff time and staff time devoted to certain project components vary markedly among 3 project phases: planning, growth, and maintenance. We recommend planning for 5.5 staff positions to maintain a long-term project serving a few hundred volunteers or more. The illustrated concepts can be applied by any person or group developing a volunteer-based project to prepare for logistic and funding needs across a project's lifespan. Program managers must remember that people form the backbone of any citizen science project, and the success or failure of such projects depend in large part on the user experience of volunteers. (c) 2019 The Wildlife Society.</t>
  </si>
  <si>
    <t>[Locke, Christina M.; Anhalt-Depies, Christine M.; Frett, Susan; Stenglein, Jennifer L.; Cameron, Sarah; Malleshappa, Vivek; Peltier, Taylor] Wisconsin Dept Nat Resources, Off Appl Sci, 2801 Progress Rd, Madison, WI 53716 USA; [Zuckerberg, Benjamin; Townsend, Philip A.] Univ Wisconsin, Dept Forest &amp; Wildlife Ecol, 1630 Linden Dr, Madison, WI 53706 USA</t>
  </si>
  <si>
    <t>University of Wisconsin System; University of Wisconsin Madison</t>
  </si>
  <si>
    <t>Locke, CM (corresponding author), Wisconsin Dept Nat Resources, Off Appl Sci, 2801 Progress Rd, Madison, WI 53716 USA.</t>
  </si>
  <si>
    <t>clocke@wisc.edu</t>
  </si>
  <si>
    <t>Townsend, Philip/B-5741-2008; Zuckerberg, Benjamin/AAL-9623-2021</t>
  </si>
  <si>
    <t>Locke, Christina/0000-0003-3666-8574; Zuckerberg, Benjamin/0000-0001-7412-4354</t>
  </si>
  <si>
    <t>Federal Aid in Wildlife Restoration Act; Wisconsin Citizen-based Monitoring Network Partnership Program; NASA Ecological Forecasting [NNX14AC36G]; NASA ESSF [NNX16A061H]; NASA [686418, NNX14AC36G] Funding Source: Federal RePORTER</t>
  </si>
  <si>
    <t>Federal Aid in Wildlife Restoration Act; Wisconsin Citizen-based Monitoring Network Partnership Program; NASA Ecological Forecasting; NASA ESSF; NASA(National Aeronautics &amp; Space Administration (NASA))</t>
  </si>
  <si>
    <t>This project is partially funded by a grant from the Federal Aid in Wildlife Restoration Act awarded to Wisconsin Department of Natural Resources. Aspects of this research have received support from the Wisconsin Citizen-based Monitoring Network Partnership Program, NASA Ecological Forecasting (NNX14AC36G), and NASA ESSF (NNX16A061H). Thank you to all Snapshot Wisconsin volunteers and partners, including University of Wisconsin Cooperative Extension and Zooniverse, for their dedication to this project. Thank you to Dr. H. Ober and 2 anonymous reviewers for their constructive contributions to the manuscript.</t>
  </si>
  <si>
    <t>1938-5463</t>
  </si>
  <si>
    <t>WILDLIFE SOC B</t>
  </si>
  <si>
    <t>Wildl. Soc. Bull.</t>
  </si>
  <si>
    <t>MAR</t>
  </si>
  <si>
    <t>10.1002/wsb.943</t>
  </si>
  <si>
    <t>Biodiversity Conservation</t>
  </si>
  <si>
    <t>Biodiversity &amp; Conservation</t>
  </si>
  <si>
    <t>HP7JG</t>
  </si>
  <si>
    <t>WOS:000461863500001</t>
  </si>
  <si>
    <t>Hulbert, JM; Agne, MC</t>
  </si>
  <si>
    <t>Hulbert, J. M.; Agne, M. C.</t>
  </si>
  <si>
    <t>Monitoring invasive species with citizen science: An international review</t>
  </si>
  <si>
    <t>SOUTH AFRICAN JOURNAL OF BOTANY</t>
  </si>
  <si>
    <t>[Hulbert, J. M.] Univ Pretoria, Forestry &amp; Agr Biotechnol Inst, Private Bag X20, ZA-0002 Hatfield, South Africa; [Agne, M. C.] Oregon State Univ, Dept Forest Engn &amp; Resource Management, Corvallis, OR 97339 USA</t>
  </si>
  <si>
    <t>University of Pretoria; Oregon State University</t>
  </si>
  <si>
    <t>ELSEVIER SCIENCE BV</t>
  </si>
  <si>
    <t>AMSTERDAM</t>
  </si>
  <si>
    <t>PO BOX 211, 1000 AE AMSTERDAM, NETHERLANDS</t>
  </si>
  <si>
    <t>0254-6299</t>
  </si>
  <si>
    <t>1727-9321</t>
  </si>
  <si>
    <t>S AFR J BOT</t>
  </si>
  <si>
    <t>S. Afr. J. Bot.</t>
  </si>
  <si>
    <t>10.1016/j.sajb.2016.02.054</t>
  </si>
  <si>
    <t>DI4PB</t>
  </si>
  <si>
    <t>WOS:000373480700088</t>
  </si>
  <si>
    <t>Backstrom, LJ; Callaghan, CT; Leseberg, NP; Sanderson, C; Fuller, RA; Watson, JEM</t>
  </si>
  <si>
    <t>Backstrom, Louis J.; Callaghan, Corey T.; Leseberg, Nicholas P.; Sanderson, Chris; Fuller, Richard A.; Watson, James E. M.</t>
  </si>
  <si>
    <t>Assessing adequacy of citizen science datasets for biodiversity monitoring</t>
  </si>
  <si>
    <t>ECOLOGY AND EVOLUTION</t>
  </si>
  <si>
    <t>adequacy; citizen science; community science; data bias; eBird; inventory completeness</t>
  </si>
  <si>
    <t>Tracking the state of biodiversity over time is critical to successful conservation, but conventional monitoring schemes tend to be insufficient to adequately quantify how species' abundances and distributions are changing. One solution to this issue is to leverage data generated by citizen scientists, who collect vast quantities of data at temporal and spatial scales that cannot be matched by most traditional monitoring methods. However, the quality of citizen science data can vary greatly. In this paper, we develop three metrics (inventory completeness, range completeness, spatial bias) to assess the adequacy of spatial observation data. We explore the adequacy of citizen science data at the species level for Australia's terrestrial native birds and then model these metrics against a suite of seven species traits (threat status, taxonomic uniqueness, body mass, average count, range size, species density, and human population density) to identify predictors of data adequacy. We find that citizen science data adequacy for Australian birds is increasing across two of our metrics (inventory completeness and range completeness), but not spatial bias, which has worsened over time. Relationships between the three metrics and seven traits we modelled were variable, with only two traits having consistently significant relationships across the three metrics. Our results suggest that although citizen science data adequacy has generally increased over time, there are still gaps in the spatial adequacy of citizen science for monitoring many Australian birds. Despite these gaps, citizen science can play an important role in biodiversity monitoring by providing valuable baseline data that may be supplemented by information collected through other methods. We believe the metrics presented here constitute an easily applied approach to assessing the utility of citizen science datasets for biodiversity analyses, allowing researchers to identify and prioritise regions or species with lower data adequacy that will benefit most from targeted monitoring efforts. Citizen science data are increasingly being used to monitor biodiversity, but datasets produced by citizen scientists come with a number of well-recognised challenges. In this paper, we develop several metrics to assess the adequacy of spatial observation data from citizen science projects and explore these metrics at the species level for Australia's terrestrial birds. We find that data adequacy for most Australian birds is increasing, but several gaps still remain in the spatial coverage of citizen science data across the Australian continent.</t>
  </si>
  <si>
    <t>[Backstrom, Louis J.; Leseberg, Nicholas P.; Sanderson, Chris; Fuller, Richard A.; Watson, James E. M.] Univ Queensland, Ctr Biodivers &amp; Conservat Sci, Sch Environm, St Lucia, Qld, Australia; [Backstrom, Louis J.] Univ St Andrews, Ctr Res Ecol &amp; Environm Modelling, Sch Math &amp; Stat, St Andrews, Scotland; [Callaghan, Corey T.] Univ Florida, Ft Lauderdale Res &amp; Educ Ctr, Dept Wildlife Ecol &amp; Conservat, Davie, FL USA; [Leseberg, Nicholas P.; Watson, James E. M.] Univ Queensland, Res &amp; Recovery Endangered Species Grp, St Lucia, Australia; [Backstrom, Louis J.] Univ St Andrews, Ctr Res Ecol &amp; Environm Modelling, Sch Math &amp; Stat, St Andrews, Scotland</t>
  </si>
  <si>
    <t>University of Queensland; University of St Andrews; State University System of Florida; University of Florida; University of Queensland; University of St Andrews</t>
  </si>
  <si>
    <t>Backstrom, LJ (corresponding author), Univ St Andrews, Ctr Res Ecol &amp; Environm Modelling, Sch Math &amp; Stat, St Andrews, Scotland.</t>
  </si>
  <si>
    <t>ljb38@st-andrews.ac.uk</t>
  </si>
  <si>
    <t>Fuller, Richard/B-7971-2008; Watson, James/D-8779-2013; Sanderson, Chris/G-3712-2016; Backstrom, Louis/IQU-8606-2023</t>
  </si>
  <si>
    <t>Fuller, Richard/0000-0001-9468-9678; Callaghan, Corey/0000-0003-0415-2709; Watson, James/0000-0003-4942-1984; Sanderson, Chris/0009-0008-8300-8265; Backstrom, Louis/0000-0002-5334-2368; Leseberg, Nicholas/0000-0001-6233-2236</t>
  </si>
  <si>
    <t>2045-7758</t>
  </si>
  <si>
    <t>ECOL EVOL</t>
  </si>
  <si>
    <t>Ecol. Evol.</t>
  </si>
  <si>
    <t>JAN 31</t>
  </si>
  <si>
    <t>e10857</t>
  </si>
  <si>
    <t>10.1002/ece3.10857</t>
  </si>
  <si>
    <t>Ecology; Evolutionary Biology</t>
  </si>
  <si>
    <t>Environmental Sciences &amp; Ecology; Evolutionary Biology</t>
  </si>
  <si>
    <t>GO1G7</t>
  </si>
  <si>
    <t>WOS:001153514500001</t>
  </si>
  <si>
    <t>S</t>
  </si>
  <si>
    <t>Pocock, MJO; Chandler, M; Bonney, R; Thornhill, I; Albin, A; August, T; Bachman, S; Brown, PMJ; Cunha, DGF; Grez, A; Jackson, C; Peters, M; Rabarijaon, NR; Roy, HE; Zaviezo, T; Danielsen, F</t>
  </si>
  <si>
    <t>Pocock, Michael J. O.; Chandler, Mark; Bonney, Rick; Thornhill, Ian; Albin, Anna; August, Tom; Bachman, Steven; Brown, Peter M. J.; Fernandes Cunha, Davi Gasparini; Grez, Audrey; Jackson, Colin; Peters, Monica; Rabarijaon, Narindra Romer; Roy, Helen E.; Zaviezo, Tania; Danielsen, Finn</t>
  </si>
  <si>
    <t>A Vision for Global Biodiversity Monitoring With Citizen Science</t>
  </si>
  <si>
    <t>NEXT GENERATION BIOMONITORING, PT 2</t>
  </si>
  <si>
    <t>Advances in Ecological Research</t>
  </si>
  <si>
    <t>Review; Book Chapter</t>
  </si>
  <si>
    <t>LOCAL-PARTICIPATION; ECOSYSTEM SERVICES; NORTH-AMERICAN; WATER-QUALITY; CONSERVATION; KNOWLEDGE; MANAGEMENT; BIAS; DECLINES; AREAS</t>
  </si>
  <si>
    <t>Global biodiversity monitoring is urgently needed across the world to assess the impacts of environmental change on biodiversity. One way to increase monitoring is through citizen science. 'Citizen science' is a term that we use in this chapter to describe the diverse approaches that involve people in monitoring in a voluntary capacity, thus including participatory monitoring in which people work collaboratively with scientists in developing monitoring. There is great unrealised potential for citizen science, especially in Asia and Africa. However, to fulfil this potential citizen science will need to meet local needs (for participants, communities and decision makers, including people's own use of the data and their motivations to participate) and support global needs for biodiversity monitoring (including the United Nations' Sustainable Development Goals and the Aichi Biodiversity Targets). Activities should be feasible (for participants to provide scientifically rigorous data) and useful (for data users, from local to global scales). We use examples from across the world to demonstrate how monitoring can engage different types of participants, through different technologies, to record different variables according to different sampling approaches. Overall, these examples show how citizen science has the potential to provide a step change in our ability to monitor biodiversity- and hence respond to threats at all scales from local to global.</t>
  </si>
  <si>
    <t>[Pocock, Michael J. O.; August, Tom; Roy, Helen E.] Ctr Ecol &amp; Hydrol, Wallingford, Oxon, England; [Chandler, Mark] Earthwatch Inst, Boston, MA USA; [Bonney, Rick] Cornell Lab Ornithol, Ithaca, NY USA; [Thornhill, Ian] Earthwatch Inst, Oxford, England; [Thornhill, Ian] Bath Spa Univ, Coll Liberal Arts CoLA, Bath, Avon, England; [Albin, Anna] NORDECO, Copenhagen, Denmark; [Bachman, Steven] Kew, Royal Bot Gardens, Richmond, Surrey, England; [Brown, Peter M. J.] Anglia Ruskin Univ, Appl Ecol Res Grp, Dept Biol, Cambridge, England; [Fernandes Cunha, Davi Gasparini] Univ Sao Paulo, Escola Engn Sao Carlos, Dept Hidraul &amp; Saneamento, Ave Trabalhador Sao Carlense, Sao Carlos, SP, Brazil; [Grez, Audrey] Univ Chile, Fac Ciencias Vet &amp; Pecuarias, Santiago, Chile; [Grez, Audrey] Kauyeken, Santiago, Chile; [Jackson, Colin] A Rocha Kenya, Watamu, Kenya; [Peters, Monica] People Sci, Hamilton, New Zealand; [Rabarijaon, Narindra Romer] Kew Madagascar Conservat Ctr, Antananarivo, Madagascar; [Zaviezo, Tania] Pontificia Univ Catolica Chile, Fac Agron &amp; Ingn Forestal, Santiago, Chile</t>
  </si>
  <si>
    <t>UK Centre for Ecology &amp; Hydrology (UKCEH); Cornell University; Bath Spa University; Royal Botanic Gardens, Kew; Anglia Ruskin University; Universidade de Sao Paulo; Universidad de Chile; Pontificia Universidad Catolica de Chile</t>
  </si>
  <si>
    <t>Pocock, MJO (corresponding author), Ctr Ecol &amp; Hydrol, Wallingford, Oxon, England.</t>
  </si>
  <si>
    <t>michael.pocock@ceh.ac.uk</t>
  </si>
  <si>
    <t>Grez, Audrey/G-8677-2013; Gasparini Fernandes Cunha, Davi/AAW-3867-2020; August, Tom/F-9047-2019; Bonney, Rick/HHS-0679-2022; Peters, Monica/AAI-2816-2021; Pocock, Michael/A-5632-2012; Zaviezo, Tania/F-3099-2014</t>
  </si>
  <si>
    <t>Gasparini Fernandes Cunha, Davi/0000-0003-1876-3623; August, Tom/0000-0003-1116-3385; Bachman, Steven/0000-0003-1085-6075; Thornhill, Ian/0000-0003-3818-1380; Jackson, Colin/0000-0003-2280-1397; Danielsen, Finn/0000-0003-0229-2847; Pocock, Michael/0000-0003-4375-0445; Zaviezo, Tania/0000-0002-4993-0386</t>
  </si>
  <si>
    <t>Natural Environment Research Council [NE/R016429/1] Funding Source: researchfish; NERC [NE/R016429/1] Funding Source: UKRI</t>
  </si>
  <si>
    <t>Natural Environment Research Council(UK Research &amp; Innovation (UKRI)Natural Environment Research Council (NERC)); NERC(UK Research &amp; Innovation (UKRI)Natural Environment Research Council (NERC))</t>
  </si>
  <si>
    <t>ELSEVIER ACADEMIC PRESS INC</t>
  </si>
  <si>
    <t>SAN DIEGO</t>
  </si>
  <si>
    <t>525 B STREET, SUITE 1900, SAN DIEGO, CA 92101-4495 USA</t>
  </si>
  <si>
    <t>0065-2504</t>
  </si>
  <si>
    <t>2163-582X</t>
  </si>
  <si>
    <t>978-0-12-814317-9</t>
  </si>
  <si>
    <t>ADV ECOL RES</t>
  </si>
  <si>
    <t>Adv. Ecol. Res.</t>
  </si>
  <si>
    <t>10.1016/bs.aecr.2018.06.003</t>
  </si>
  <si>
    <t>Book Citation Index – Science (BKCI-S); Science Citation Index Expanded (SCI-EXPANDED)</t>
  </si>
  <si>
    <t>BL6EQ</t>
  </si>
  <si>
    <t>WOS:000453685300007</t>
  </si>
  <si>
    <t>Crow, P; Perez-Sierra, A; Kavcic, A; Lewthwaite, K; Kolsek, M; Ogris, N; Piskur, B; Veenvliet, JK; Zidar, S; Sancisi-Frey, S; de Groot, M</t>
  </si>
  <si>
    <t>Crow, Peter; Perez-Sierra, Ana; Kavcic, Andreja; Lewthwaite, Kate; Kolsek, Marija; Ogris, Nikica; Piskur, Barbara; Veenvliet, Jana Kus; Zidar, Simon; Sancisi-Frey, Suzanne; de Groot, Maarten</t>
  </si>
  <si>
    <t>Using Citizen Science to monitor the spread of tree pests and diseases: outcomes of two projects in Slovenia and the UK</t>
  </si>
  <si>
    <t>MANAGEMENT OF BIOLOGICAL INVASIONS</t>
  </si>
  <si>
    <t>invasive alien species; plant health; tree health; forest health; early warning; rapid response</t>
  </si>
  <si>
    <t>INVASION; DIEBACK</t>
  </si>
  <si>
    <t>The trees and forests of Europe are increasingly under threat from new pests and diseases that have originated in other parts of the world. Early detection of alien species when they first appear in European countries allows rapid response and offers the best chance to mitigate against their establishment and spread. Citizen science initiatives such as LIFE ARTEMIS in Slovenia, and Observatree in the UK, provide members of the public with the necessary training and educational resource to identify these tree pests and diseases and report them to the appropriate authorities, thereby increasing the level of surveillance and the capacity of the early warning system. This paper summarises some of the outcomes of these two projects and how they have both become integral parts of the official forest and tree health monitoring systems within their respective countries of Slovenia and the United Kingdom.</t>
  </si>
  <si>
    <t>[Crow, Peter; Perez-Sierra, Ana; Sancisi-Frey, Suzanne] Forest Res, Farnham GU10 4LH, Surrey, England; [Kavcic, Andreja; Ogris, Nikica; Piskur, Barbara; Zidar, Simon; de Groot, Maarten] Slovenian Forestry Inst, Dept Forest Protect, Ljubljana 1000, Slovenia; [Lewthwaite, Kate] Woodland Trust, Kempton Way, Grantham NG31 6LL, Lincs, England; [Kolsek, Marija] Slovenia Forest Serv, Ljubljana 1000, Slovenia; [Veenvliet, Jana Kus] Inst Symbiosis Soe, Nova Vas 1385, Slovenia</t>
  </si>
  <si>
    <t>Slovenian Forestry Institute; Slovenia Forest Service</t>
  </si>
  <si>
    <t>Crow, P (corresponding author), Forest Res, Farnham GU10 4LH, Surrey, England.</t>
  </si>
  <si>
    <t>peter.crow@forestresearch.gov.uk; maarten.degroot@gozdis.si</t>
  </si>
  <si>
    <t>Kavčič, Andreja/AAC-5694-2022; de Groot, Maarten/AER-0020-2022; Piškur, Barbara/F-3884-2011; Perez-Sierra, Ana/AAE-9414-2021</t>
  </si>
  <si>
    <t>Perez-Sierra, Ana/0000-0001-5403-1433</t>
  </si>
  <si>
    <t>project LIFE ARTEMIS [LIFE15 GIE/SI/000770]; LIFE Programme, Ministry of Environment and Spatial Planning of the Republic of Slovenia; Municipality of Ljubljana; Slovenian Research Agency</t>
  </si>
  <si>
    <t>project LIFE ARTEMIS; LIFE Programme, Ministry of Environment and Spatial Planning of the Republic of Slovenia; Municipality of Ljubljana; Slovenian Research Agency(Slovenian Research Agency - Slovenia)</t>
  </si>
  <si>
    <t>This article is a part of the conference Detection and control of alien forest species in a changing world organised by the project LIFE ARTEMIS (LIFE15 GIE/SI/000770), co-funded by the LIFE Programme, Ministry of Environment and Spatial Planning of the Republic of Slovenia, the Municipality of Ljubljana and the Slovenian Research Agency. The article processing charges were covered by the project LIFE ARTEMIS. The authors are grateful to the peer reviewers of this article for their constructive comments. Observatree is a multi-partner project, with funding derived from the partners. Led by Forest Research, the partnership includes the Animal &amp; Plant Health Agency, Department of Environment, Food &amp; Rural Affairs, Fera Science Ltd, Forestry Commission, National Trust, Scottish Forestry, Welsh Government and the Woodland Trust. The partners gratefully acknowledge the contributions of the LIFE Programme during the initial phase of the project. Charlotte Armitage, who worked at the Woodland Trust during part of the Observatree project, provided some of the volunteer data used for Table 1. LIFE ARTEMIS is a multi-partner project, led by the Slovenian Forestry Institute, Slovenia Forest Service, Institute of the Republic of Slovenia for Nature Conservation and Zavod Symbiosis. The project is partly funded by the LIFE programme, Ministry of Environment and Spatial planning of the Republic of Slovenia, the Municipality of Ljubljana and the Slovenian Research Agency.</t>
  </si>
  <si>
    <t>REGIONAL EURO-ASIAN BIOLOGICAL INVASIONS CENTRE-REABIC</t>
  </si>
  <si>
    <t>HELSINKI</t>
  </si>
  <si>
    <t>PO BOX 3, HELSINKI, 00981, FINLAND</t>
  </si>
  <si>
    <t>1989-8649</t>
  </si>
  <si>
    <t>MANAG BIOL INVASION</t>
  </si>
  <si>
    <t>Manag. Biol. Invasion</t>
  </si>
  <si>
    <t>NOV</t>
  </si>
  <si>
    <t>10.3391/mbi.2020.11.4.06</t>
  </si>
  <si>
    <t>OR9QJ</t>
  </si>
  <si>
    <t>WOS:000589799900006</t>
  </si>
  <si>
    <t>Lernout, T; De Regge, N; Tersago, K; Fonville, M; Suin, V; Sprong, H</t>
  </si>
  <si>
    <t>Lernout, Tinne; De Regge, Nick; Tersago, Katrien; Fonville, Manoj; Suin, Vanessa; Sprong, Hein</t>
  </si>
  <si>
    <t>Prevalence of pathogens in ticks collected from humans through citizen science in Belgium</t>
  </si>
  <si>
    <t>PARASITES &amp; VECTORS</t>
  </si>
  <si>
    <t>Ticks; Tick-borne pathogens; Humans; Citizen science; Lyme borreliosis</t>
  </si>
  <si>
    <t>BURGDORFERI SENSU-LATO; QUESTING IXODES-RICINUS; BORNE ENCEPHALITIS-VIRUS; BORRELIA-BURGDORFERI; LYME BORRELIOSIS; HETEROGENEITY; COINFECTIONS; INFECTIONS; MIYAMOTOI; DYNAMICS</t>
  </si>
  <si>
    <t>Background In order to evaluate the risk of human exposure to tick-borne pathogens in Belgium, a study on the prevalence of several pathogens was conducted on feeding ticks removed from humans in 2017. Methods Using a citizen science approach based on an existing notification tool for tick bites, a sample of ticks was collected across the country. Collected ticks were screened by PCR for the presence of the following pathogens: Anaplasma phagocytophilum, Babesia spp., Borrelia burgdorferi (sensu lato), Borrelia miyamotoi, Neoehrlichia mikurensis, Rickettsia helvetica and tick-borne encephalitis virus (TBEV). Results In total, 1599 ticks were included in the sample. The great majority of ticks belonged to Ixodes ricinus (99%); other tick species were identified as Ixodes hexagonus (0.7%) and Dermacentor reticulatus (0.3%). Borrelia burgdorferi (s.l.) was detected in 14% of nymphs and adult ticks. Adult ticks (20%) were more likely to be infected than nymphs (12%). The most common genospecies were B. afzelii (52%) and B. garinii (21%). Except for TBEV, the other tick-borne pathogens studied were all detected in the tick sample, although at a lower prevalence: 1.5% for Babesia spp.; 1.8% for A. phagocytophilum; 2.4% for B. miyamotoi; 2.8% for N. mikurensis; and 6.8% for R. helvetica. Rickettsia raoultii, the causative agent of tick-borne lymphadenopathy, was identified for the first time in Belgium, in two out of five D. reticulatus ticks. Co-infections were found in 3.9% of the examined ticks. The most common co-infection was B. burgdorferi (s.l.) + N. mikurensis. Conclusions Although for most of the tick-borne diseases in Belgium, other than Lyme borreliosis, no or few cases of human infection are reported, the pathogens causing these diseases were all (except for TBEV) detected in the tick study sample. Their confirmed presence can help raise awareness among citizens and health professionals in Belgium on possible diseases other than Lyme borreliosis in patients presenting fever or other non-characteristic symptoms after a tick bite.</t>
  </si>
  <si>
    <t>[Lernout, Tinne; De Regge, Nick; Tersago, Katrien; Suin, Vanessa] Sciensano, Belgian Inst Hlth, Brussels, Belgium; [Fonville, Manoj; Sprong, Hein] Natl Inst Publ Hlth &amp; Environm RIVM, Ctr Infect Dis Control, Bilthoven, Netherlands</t>
  </si>
  <si>
    <t>Sciensano; Netherlands National Institute for Public Health &amp; the Environment</t>
  </si>
  <si>
    <t>Lernout, T (corresponding author), Sciensano, Belgian Inst Hlth, Brussels, Belgium.</t>
  </si>
  <si>
    <t>Tinne.Lernout@sciensano.be</t>
  </si>
  <si>
    <t>Sprong, Hein/GXH-0200-2022; Tersago, Katrien/A-1140-2012</t>
  </si>
  <si>
    <t>Sprong, Hein/0000-0002-0218-4320; Tersago, Katrien/0000-0003-0693-8094; De Regge, Nick/0009-0001-2892-2133</t>
  </si>
  <si>
    <t>Agentschap Zorg en Gezondheid; Pfizer; Agence pour une Vie de Qualite</t>
  </si>
  <si>
    <t>Agentschap Zorg en Gezondheid; Pfizer(Pfizer); Agence pour une Vie de Qualite</t>
  </si>
  <si>
    <t>This study was funded by the regional health authorities (Agentschap Zorg en Gezondheid and Agence pour une Vie de Qualite). In addition, Pfizer provided financial support for testing of TBEV in ticks. The funders did not play any role in the design of the study, collection of data, analysis and interpretation of the results and writing the manuscript.</t>
  </si>
  <si>
    <t>1756-3305</t>
  </si>
  <si>
    <t>PARASITE VECTOR</t>
  </si>
  <si>
    <t>Parasites Vectors</t>
  </si>
  <si>
    <t>NOV 21</t>
  </si>
  <si>
    <t>10.1186/s13071-019-3806-z</t>
  </si>
  <si>
    <t>Parasitology; Tropical Medicine</t>
  </si>
  <si>
    <t>JR2PJ</t>
  </si>
  <si>
    <t>WOS:000499473200002</t>
  </si>
  <si>
    <t>Sousa, LB; Fricker, S; Webb, CE; Baldock, KL; Williams, CR</t>
  </si>
  <si>
    <t>Sousa, Larissa Braz; Fricker, Stephen; Webb, Cameron E.; Baldock, Katherine L.; Williams, Craig R.</t>
  </si>
  <si>
    <t>Citizen Science Mosquito Surveillance by Ad Hoc Observation Using the iNaturalist Platform</t>
  </si>
  <si>
    <t>citizen science; mosquito; mobile application; public health</t>
  </si>
  <si>
    <t>DISEASE; MOTIVATIONS; VOLUNTEERS; MANAGEMENT; DIVERSITY; AUSTRALIA; CULICIDAE; KNOWLEDGE; ATTITUDES; NETWORK</t>
  </si>
  <si>
    <t>Citizen science mosquito surveillance has been growing in recent years due to both increasing concern about mosquito-borne disease and the increasing popularity of citizen science projects globally. Health authorities are recognising the potential importance of citizen science to expanding or enhancing traditional surveillance programs. Different programs have shown success in engaging communities to monitor species of medical importance through low-cost methods. The Mozzie Monitors project was established on iNaturalist-an open citizen science platform that allows participants to upload photos (i.e., observers) and assist identification (i.e., identifiers). This article describes the likelihood of citizen scientists submitting photos of mosquitoes, assesses user submission behaviour, and evaluates public health utility from these citizen science-derived data. From October 2018 to July 2021, the Mozzie Monitors project on iNaturalist received 2118 observations of 57 different species of mosquitoes across Australia. The number of observers in the system increased over time with more than 500 observers and 180 identifiers being active in the project since its establishment. Data showed species bias with large-bodied and colourful mosquitoes being over-represented. Analyses also indicate regional differentiation of mosquito fauna per state, seasonality of activity, and ecological information about mosquitoes. The iNaturalist citizen science platform also allows connectedness, facilitated communication and collaboration between overall users and expert entomologists, of value to medical entomology and mosquito management.</t>
  </si>
  <si>
    <t>[Sousa, Larissa Braz; Fricker, Stephen; Williams, Craig R.] Univ South Australia, UniSA Clin &amp; Hlth Sci, Adelaide, SA 5000, Australia; [Sousa, Larissa Braz; Fricker, Stephen; Baldock, Katherine L.; Williams, Craig R.] Univ South Australia, Australian Ctr Precis Hlth, Adelaide, SA 5001, Australia; [Webb, Cameron E.] NSW Hlth Pathol, Med Entomol, Westmead, NSW 2145, Australia; [Webb, Cameron E.] Univ Sydney, Sydney Inst Infect Dis, Sydney, NSW 2006, Australia; [Baldock, Katherine L.] Univ South Australia, UniSA Allied Hlth &amp; Human Performance, Adelaide, SA 5001, Australia</t>
  </si>
  <si>
    <t>Williams, CR (corresponding author), Univ South Australia, UniSA Clin &amp; Hlth Sci, Adelaide, SA 5000, Australia.;Williams, CR (corresponding author), Univ South Australia, Australian Ctr Precis Hlth, Adelaide, SA 5001, Australia.</t>
  </si>
  <si>
    <t>larissa.braz_sousa@mymail.unisa.edu.au; stephen.fricker@unisa.edu.au; cameron.webb@health.nsw.gov.au; katherine.baldock@unisa.edu.au; craig.williams@unisa.edu.au</t>
  </si>
  <si>
    <t>Baldock, Katherine L/S-8151-2019; Willia, Craig/AAI-6228-2021; Braz Sousa, Larissa/GLT-8810-2022; Fricker, Stephen/J-5157-2017</t>
  </si>
  <si>
    <t>Baldock, Katherine L/0000-0003-3527-1057; Willia, Craig/0000-0002-4758-1506; Braz Sousa, Larissa/0000-0003-4330-4277;</t>
  </si>
  <si>
    <t>University of South Australia</t>
  </si>
  <si>
    <t>We acknowledge all citizen scientists and users of iNaturalist as well as all contributors to the maintenance of the iNaturalist platform. L.B.S. has an ATN-LATAM scholarship awarded through the University of South Australia.</t>
  </si>
  <si>
    <t>10.3390/ijerph19106337</t>
  </si>
  <si>
    <t>1Q2SY</t>
  </si>
  <si>
    <t>WOS:000802545200001</t>
  </si>
  <si>
    <t>Romanov, AV; Barinova, VO; Biryukova, VA</t>
  </si>
  <si>
    <t>Romanov, A. V.; Barinova, V. O.; Biryukova, V. A.</t>
  </si>
  <si>
    <t>Groundwater Level Monitoring in Developing the Citizen Science Volunteer Movement</t>
  </si>
  <si>
    <t>RUSSIAN METEOROLOGY AND HYDROLOGY</t>
  </si>
  <si>
    <t>groundwater level; citizen science volunteer movement; atmospheric pressure; precipitation; air temperature; hydrological forecasts; mathematical modeling of streamflow formation</t>
  </si>
  <si>
    <t>The paper analyses the current state of the citizen science volunteer movement using numerous foreign and domestic sources. Key points of its development in several fields related to ecology and environmental sciences are highlighted. Special attention is paid to the observations of groundwater level, which is one of the important characteristics determining the process of streamflow formation. The point observations of this characteristic, whose capabilities are shown in the paper, was carried out by the volunteer movement on the Desna River for the period from 2020 to 2024 together with the observations of daily precipitation, atmospheric pressure, and air temperature at the nearest weather station. Using modern programming languages and technologies, the interrelationships of the measured characteristics are graphically analyzed in terms of the possibility of using this information in neural network technologies to develop methods for water regime forecasting.</t>
  </si>
  <si>
    <t>[Romanov, A. V.] Hydrometeorol Res Ctr Russian Federat, Bolshoi Predtech per 13,s 1, Moscow 123376, Russia; [Barinova, V. O.] Lomonosov Moscow State Univ, Skobeltsyn Inst Nucl Phys, Leninskie Gory 1,s 2, Moscow 119234, Russia; [Biryukova, V. A.] Murmansk Adm Hydrometeorol &amp; Environm Monitoring, ul Shmidta 23-1, Murmansk 183038, Russia</t>
  </si>
  <si>
    <t>Lomonosov Moscow State University</t>
  </si>
  <si>
    <t>Romanov, AV (corresponding author), Hydrometeorol Res Ctr Russian Federat, Bolshoi Predtech per 13,s 1, Moscow 123376, Russia.</t>
  </si>
  <si>
    <t>alexey.romanov@mecom.ru</t>
  </si>
  <si>
    <t>Barinova, Vera/K-6143-2012</t>
  </si>
  <si>
    <t>PLEIADES PUBLISHING LTD</t>
  </si>
  <si>
    <t>TORTOLA</t>
  </si>
  <si>
    <t>TROPIC ISLE BLDG, PO BOX 3331. ROAD TOWN, TORTOLA, BRITISH VIRGIN ISL</t>
  </si>
  <si>
    <t>1068-3739</t>
  </si>
  <si>
    <t>1934-8096</t>
  </si>
  <si>
    <t>RUSS METEOROL HYDRO+</t>
  </si>
  <si>
    <t>Russ. Meteorol. Hydrol.</t>
  </si>
  <si>
    <t>10.3103/S1068373925070088</t>
  </si>
  <si>
    <t>Meteorology &amp; Atmospheric Sciences</t>
  </si>
  <si>
    <t>6PR2A</t>
  </si>
  <si>
    <t>WOS:001559039300007</t>
  </si>
  <si>
    <t>Lewis, J; Boudreau, CR; Patterson, J; Bradet-Legris, J; Lloyd, VK</t>
  </si>
  <si>
    <t>Lewis, Julie; Boudreau, Corinne R.; Patterson, JamesW.; Bradet-Legris, Jonathan; Lloyd, Vett K.</t>
  </si>
  <si>
    <t>Citizen Science and Community Engagement in Tick Surveillance-A Canadian Case Study</t>
  </si>
  <si>
    <t>HEALTHCARE</t>
  </si>
  <si>
    <t>tick surveillance; Lyme disease; citizen science; community partnership; crowdsourcing; public health</t>
  </si>
  <si>
    <t>LYME-DISEASE RISK; IXODES-SCAPULARIS TICKS; BORRELIA-BURGDORFERI; PASSIVE SURVEILLANCE; VECTOR COMPETENCE; RANGE EXPANSION; HARD TICKS; FAR NORTH; IXODIDAE; BIRDS</t>
  </si>
  <si>
    <t>Lyme disease is the most common tick-borne disease in North America and Europe, and on-going surveillance is required to monitor the spread of the tick vectors as their populations expand under the influence of climate change. Active surveillance involves teams of researchers collecting ticks from field locations with the potential to be sites of establishing tick populations. This process is labor- and time-intensive, limiting the number of sites monitored and the frequency of monitoring. Citizen science initiatives are ideally suited to address this logistical problem and generate high-density and complex data from sites of community importance. In 2014, the same region was monitored by academic researchers, public health workers, and citizen scientists, allowing a comparison of the strengths and weaknesses of each type of surveillance effort. Four community members persisted with tick collections over several years, collectively recovering several hundred ticks. Although deviations from standard surveillance protocols and the choice of tick surveillance sites makes the incorporation of community-generated data into conventional surveillance analyses more complex, this citizen science data remains useful in providing high-density longitudinal tick surveillance of a small area in which detailed ecological observations can be made. Most importantly, partnership between community members and researchers has proven a powerful tool in educating communities about of the risk of tick-vectored diseases and in encouraging tick bite prevention.</t>
  </si>
  <si>
    <t>[Lewis, Julie; Boudreau, Corinne R.; Patterson, JamesW.; Bradet-Legris, Jonathan; Lloyd, Vett K.] Mt Allison Univ, Dept Biol, Sackville, NB E4L 1G7, Canada</t>
  </si>
  <si>
    <t>Mount Allison University</t>
  </si>
  <si>
    <t>Lloyd, VK (corresponding author), Mt Allison Univ, Dept Biol, Sackville, NB E4L 1G7, Canada.</t>
  </si>
  <si>
    <t>jlewis@mta.ca; crboudreau@mta.ca; jpatterson@mta.ca; jhbradetlegris@mta.ca; vlloyd@mta.ca</t>
  </si>
  <si>
    <t>CanLyme [101327]; NSERC [2015-04426]</t>
  </si>
  <si>
    <t>CanLyme; NSERC(Natural Sciences and Engineering Research Council of Canada (NSERC))</t>
  </si>
  <si>
    <t>The Lloyd lab would like to thank the community members who participated in the field collection of ticks, including the New Brunswick Lyme disease support groups, and particularly Brenda and Steve Goodwin, Elizabeth McNutt, Robert Murray, Bonnie Adams, and Kristina Stanley. We also thank all the members of the Lloyd lab for discussion and the two anonymous reviewers for insightful comments, and K. Harris, A. Kirby, and C. Filiaggi for Borrelia testing of some of the ticks included in this work. This work was supported by CanLyme (101327) and NSERC (2015-04426) to VKL.</t>
  </si>
  <si>
    <t>2227-9032</t>
  </si>
  <si>
    <t>HEALTHCARE-BASEL</t>
  </si>
  <si>
    <t>Healthcare</t>
  </si>
  <si>
    <t>10.3390/healthcare6010022</t>
  </si>
  <si>
    <t>Health Care Sciences &amp; Services; Health Policy &amp; Services</t>
  </si>
  <si>
    <t>Health Care Sciences &amp; Services</t>
  </si>
  <si>
    <t>GA7YV</t>
  </si>
  <si>
    <t>WOS:000428555800021</t>
  </si>
  <si>
    <t>Murindahabi, MM; Asingizwe, D; Poortvliet, PM; van Vliet, AJH; Hakizimana, E; Mutesa, L; Takken, W; Koenraadt, CJM</t>
  </si>
  <si>
    <t>Murindahabi, Marilyn Milumbu; Asingizwe, Domina; Poortvliet, P. Marijn; van Vliet, Arnold J. H.; Hakizimana, Emmanuel; Mutesa, Leon; Takken, Willem; Koenraadt, Constantianus J. M.</t>
  </si>
  <si>
    <t>A citizen science approach for malaria mosquito surveillance and control in Rwanda</t>
  </si>
  <si>
    <t>NJAS-WAGENINGEN JOURNAL OF LIFE SCIENCES</t>
  </si>
  <si>
    <t>Citizen science; Mosquito monitoring; Mosquito nuisance; Community participation; Malaria vector surveillance</t>
  </si>
  <si>
    <t>CLIMATE-CHANGE; MONITOR; AFRICA; IMPACT; EAST; TECHNOLOGY; IRRIGATION; SYSTEM; LARVAE; TOOL</t>
  </si>
  <si>
    <t>Despite the implementation of a number of interventions aimed at controlling malaria, Rwanda is experiencing a countrywide resurgence of simple malaria cases over the past five years. To support malaria control, mosquito surveillance activities, such as systematic reporting of the distribution, the diversity and the infectivity rate of malaria vectors throughout the country, have been undertaken. However, mosquito monitoring programmes are not carried out to monitor the impact of all vector control interventions or to determine the distribution of mosquito species in all areas, especially in the remote regions of the country. With a target of reducing malaria mortality by 2020, implementation of mosquito surveillance in those regions is urgently needed as well. In this paper, a Citizen science approach as a capacity resource for malaria vector monitoring for the Rwandan National Malaria Control Programme is presented. The ultimate aim is to complement existing mosquito surveillance currently in place by providing key information on the spatio-temporal distribution of mosquito nuisance and malaria vectors. This will contribute to an insight into the ecology of malaria vectors and thereby to a better understanding of malaria transmission patterns in Rwanda.</t>
  </si>
  <si>
    <t>[Murindahabi, Marilyn Milumbu] Univ Rwanda, Coll Sci &amp; Technol, Kigali, Rwanda; [Murindahabi, Marilyn Milumbu; Takken, Willem; Koenraadt, Constantianus J. M.] Wageningen Univ &amp; Res, Entomol Lab, Wageningen, Netherlands; [Asingizwe, Domina; Poortvliet, P. Marijn] Wageningen Univ &amp; Res, Strateg Commun, Wageningen, Netherlands; [van Vliet, Arnold J. H.] Wageningen Univ &amp; Res, Environm Syst Anal Grp, Wageningen, Netherlands; [Asingizwe, Domina; Mutesa, Leon] Univ Rwanda, Coll Med &amp; Hlth Sci, Kigali, Rwanda; [Hakizimana, Emmanuel] Rwanda Biomed Ctr, Malaria &amp; Other Parasit Dis Div, Kigali, Rwanda</t>
  </si>
  <si>
    <t>University of Rwanda; Wageningen University &amp; Research; Wageningen University &amp; Research; Wageningen University &amp; Research; University of Rwanda; Rwanda Biomedical Center</t>
  </si>
  <si>
    <t>Murindahabi, MM (corresponding author), Univ Rwanda, Coll Sci &amp; Technol, Kigali, Rwanda.</t>
  </si>
  <si>
    <t>marilyn.murindahabi@wur.nl</t>
  </si>
  <si>
    <t>Murindahabi, Marilyn/HRB-6979-2023</t>
  </si>
  <si>
    <t>van Vliet, Arnold/0000-0001-9426-3511; ASINGIZWE, Domina/0000-0002-2181-7920</t>
  </si>
  <si>
    <t>Interdisciplinary Research and Education Fund (INREF, Wageningen University, The Netherlands)</t>
  </si>
  <si>
    <t>Interdisciplinary Research and Education Fund (INREF, Wageningen University, The Netherlands)(Netherlands Government)</t>
  </si>
  <si>
    <t>This publication is part of the project funded by Interdisciplinary Research and Education Fund (INREF, Wageningen University, The Netherlands).</t>
  </si>
  <si>
    <t>ROYAL NETHERLANDS SOC AGR SCI</t>
  </si>
  <si>
    <t>WAGENINGEN</t>
  </si>
  <si>
    <t>POSTBOX 79, 6700 WAGENINGEN, NETHERLANDS</t>
  </si>
  <si>
    <t>1573-5214</t>
  </si>
  <si>
    <t>2212-1307</t>
  </si>
  <si>
    <t>NJAS-WAGEN J LIFE SC</t>
  </si>
  <si>
    <t>NJAS-Wagen. J. Life Sci.</t>
  </si>
  <si>
    <t>86-87</t>
  </si>
  <si>
    <t>10.1016/j.njas.2018.07.005</t>
  </si>
  <si>
    <t>HP1BZ</t>
  </si>
  <si>
    <t>Green Accepted</t>
  </si>
  <si>
    <t>WOS:000461401700010</t>
  </si>
  <si>
    <t>Porter, WT; Wachara, J; Barrand, ZA; Nieto, NC; Salkeld, DJ</t>
  </si>
  <si>
    <t>Porter, W. Tanner; Wachara, Julie; Barrand, Zachary A.; Nieto, Nathan C.; Salkeld, Daniel J.</t>
  </si>
  <si>
    <t>Citizen Science Provides an Efficient Method for Broad-Scale Tick-Borne Pathogen Surveillance of Ixodes pacificus and Ixodes scapularis across the United States</t>
  </si>
  <si>
    <t>MSPHERE</t>
  </si>
  <si>
    <t>Borrelia burgdorferi; Borrelia miyamotoi; Anaplasma phagocytophilum; Babesia microti; tick-borne; Borrelia; relapsing fever; Lyme disease; anaplasmosis; babesiosis</t>
  </si>
  <si>
    <t>BURGDORFERI SENSU-LATO; BORRELIA-BURGDORFERI; LYME-DISEASE; MOLECULAR CHARACTERIZATION; ANAPLASMA-PHAGOCYTOPHILUM; ACARI IXODIDAE; SP NOV.; CALIFORNIA; COUNTY; DIVERSITY</t>
  </si>
  <si>
    <t>Tick-borne diseases have expanded over the last 2 decades as a result of shifts in tick and pathogen distributions. These shifts have significantly increased the need for accurate portrayal of real-time pathogen distributions and prevalence in hopes of stemming increases in human morbidity. Traditionally, pathogen distribution and prevalence have been monitored through case reports or scientific collections of ticks or reservoir hosts, both of which have challenges that impact the extent, availability, and accuracy of these data. Citizen science tick collections and testing campaigns supplement these data and provide timely estimates of pathogen prevalence and distributions to help characterize and understand tick-borne disease threats to communities. We utilized our national citizen science tick collection and testing program to describe the distribution and prevalence of four Ixodes-borne pathogens, Borrelia burgdorferi sensu lato, Borrelia miyamotoi, Anaplasma phagocyte-phitum, and Babesia microti, across the continental United States. IMPORTANCE In the 21st century, zoonotic pathogens continue to emerge, while previously discovered pathogens continue to have changes within their distribution and prevalence. Monitoring these pathogens is resource intensive, requiring both field and laboratory support; thus, data sets are often limited within their spatial and temporal extents. Citizen science collections provide a method to harness the general public to collect samples, enabling real-time monitoring of pathogen distribution and prevalence.</t>
  </si>
  <si>
    <t>[Porter, W. Tanner] Translat Genom Res Inst, Flagstaff, AZ 86001 USA; [Porter, W. Tanner; Wachara, Julie; Barrand, Zachary A.; Nieto, Nathan C.] No Arizona Univ, Flagstaff, AZ 86011 USA; [Salkeld, Daniel J.] Colorado State Univ, Ft Collins, CO 80523 USA</t>
  </si>
  <si>
    <t>Translational Genomics Research Institute; Northern Arizona University; Colorado State University System; Colorado State University Fort Collins</t>
  </si>
  <si>
    <t>Porter, WT (corresponding author), Translat Genom Res Inst, Flagstaff, AZ 86001 USA.;Porter, WT (corresponding author), No Arizona Univ, Flagstaff, AZ 86011 USA.</t>
  </si>
  <si>
    <t>tporter@tger.org</t>
  </si>
  <si>
    <t>; Porter, William/V-5593-2019</t>
  </si>
  <si>
    <t>Porter, William Tanner/0000-0002-2611-0924; Barrand, Zachary/0000-0001-9281-7314</t>
  </si>
  <si>
    <t>Bay Area Lyme Foundation</t>
  </si>
  <si>
    <t>We thank the army of citizen scientists who made this program and research possible. Additionally, we thank the entire Nieto laboratory, Dave Engelthaler, and the anonymous reviewers for their support and thoughtful comments. e thank the Bay Area Lyme Foundation for their financial support of this work.</t>
  </si>
  <si>
    <t>AMER SOC MICROBIOLOGY</t>
  </si>
  <si>
    <t>1752 N ST NW, WASHINGTON, DC 20036-2904 USA</t>
  </si>
  <si>
    <t>2379-5042</t>
  </si>
  <si>
    <t>mSphere</t>
  </si>
  <si>
    <t>SEP-OCT</t>
  </si>
  <si>
    <t>e00682-21</t>
  </si>
  <si>
    <t>10.1128/mSphere.00682-21</t>
  </si>
  <si>
    <t>WO3HU</t>
  </si>
  <si>
    <t>WOS:000712349900009</t>
  </si>
  <si>
    <t>Donnelly, A; Crowe, O; Regan, E; Begley, S; Caffarra, A</t>
  </si>
  <si>
    <t>Donnelly, Alison; Crowe, Olivia; Regan, Eugenie; Begley, Sinead; Caffarra, Amelia</t>
  </si>
  <si>
    <t>The role of citizen science in monitoring biodiversity in Ireland</t>
  </si>
  <si>
    <t>Citizen science; Ireland; Phenology; Biodiversity; Climate change</t>
  </si>
  <si>
    <t>ECOLOGICAL RESEARCH; TOOL; PARTICIPATION; TRENDS</t>
  </si>
  <si>
    <t>Citizen science is proving to be an effective tool in tracking the rapid pace at which our environment is changing over large geographic areas. It is becoming increasingly popular, in places such as North America and some European countries, to engage members of the general public and school pupils in the collection of scientific data to support long-term environmental monitoring. Participants in such schemes are generally volunteers and are referred to as citizen scientists. The Christmas bird count in the US is one of the worlds longest running citizen science projects whereby volunteers have been collecting data on birds on a specific day since 1900. Similar volunteer networks in Ireland have been in existence since the 1960s and were established to monitor the number and diversity of birds throughout the country. More recently, initiatives such as Greenwave (2006) and Nature Watch (2009) invite school children and members of the general public respectively, to record phenology data from a range of common species of plant, insect and bird. In addition, the Irish butterfly and bumblebee monitoring schemes engage volunteers to record data on sightings of these species. The primary purpose of all of these networks is to collect data by which to monitor changes in wildlife development and diversity, and in the case of Greenwave to involve children in hands-on, inquiry-based science. Together these various networks help raise awareness of key environmental issues, such as climate change and loss of biodiversity, while at the same time promote development of scientific skills among the general population. In addition, they provide valuable scientific data by which to track environmental change. Here we examine the role of citizen science in monitoring biodiversity in Ireland and conclude that some of the data collected in these networks can be used to fulfil Ireland's statutory obligations for nature conservation. In addition, a bee thought previously to be extinct has been rediscovered and a range expansion of a different bee has been confirmed. However, it also became apparent that some of the networks play more of an educational than a scientific role. Furthermore, we draw on experience from a range of citizen science projects to make recommendations on how best to establish new citizen science projects in Ireland and strengthen existing ones.</t>
  </si>
  <si>
    <t>[Donnelly, Alison] Univ Wisconsin, Dept Geog, Milwaukee, WI 53201 USA; [Donnelly, Alison] Trinity Coll Dublin, Sch Nat Sci, Dublin, Ireland; [Crowe, Olivia] BirdWatch Ireland, Kilcoole, Wicklow, Ireland; [Regan, Eugenie] Waterford Inst Technol West Campus, Natl Biodivers Data Ctr, Waterford, Ireland; [Begley, Sinead] Sinead Begley &amp; Associates, Dublin, Ireland; [Caffarra, Amelia] Univ Bourgogne, UB CNRS 6262, UMR Biogeosci, Ctr Rech Climatol, F-21000 Dijon, France</t>
  </si>
  <si>
    <t>University of Wisconsin System; University of Wisconsin Milwaukee; Trinity College Dublin; Universite Bourgogne Europe</t>
  </si>
  <si>
    <t>Donnelly, A (corresponding author), Trinity Coll Dublin, Sch Nat Sci, Dublin, Ireland.</t>
  </si>
  <si>
    <t>alison.c.donnelly@gmail.com</t>
  </si>
  <si>
    <t>10.1007/s00484-013-0717-0</t>
  </si>
  <si>
    <t>AL8WG</t>
  </si>
  <si>
    <t>WOS:000339419900023</t>
  </si>
  <si>
    <t>Moorthy, I; Fraisl, D; See, L; Hager, G; Mwaniki, D; Ndugwa, RP</t>
  </si>
  <si>
    <t>Moorthy, Inian; Fraisl, Dilek; See, Linda; Hager, Gerid; Mwaniki, Dennis; Ndugwa, Robert Peter</t>
  </si>
  <si>
    <t>Opportunities for citizen science within the Global Urban Monitoring Framework</t>
  </si>
  <si>
    <t>NPJ URBAN SUSTAINABILITY</t>
  </si>
  <si>
    <t>The Global Urban Monitoring Framework (UMF) is one of several international frameworks for monitoring progress in urban sustainable development with indicators from the Sustainable Development Goals (SDGs) and other frameworks such as the City Prosperity Index (CPI). Like the SDGs, many of the 77 UMF indicators lack data, and reporting is largely conducted at a national rather than a local level. Citizen science represents one important data source to address these data gaps at a more local level. Hence, the aim of this paper is to undertake a systematic review of where citizen science could potentially provide data for the UMF indicators using secondary data from citizen science projects. The results showed that citizen science data are already contributing and could contribute to 52 UMF indicators (similar to 68%). Integrating citizen science into urban decision-making is essential so that local communities are at the heart of creating safe, inclusive, resilient, and sustainable cities.</t>
  </si>
  <si>
    <t>[Moorthy, Inian; Fraisl, Dilek; See, Linda; Hager, Gerid] Int Inst Appl Syst Anal IIASA, Laxenburg, Laxenburg, Austria; [Fraisl, Dilek] Citizen Sci Global Partnership CSGP, Laxenburg, Austria; [See, Linda] UCL, Bartlett Ctr Adv Spatial Anal CASA, London, England; [Mwaniki, Dennis; Ndugwa, Robert Peter] UN Habitat United Nations Human Settlements Progra, Nairobi, Kenya</t>
  </si>
  <si>
    <t>International Institute for Applied Systems Analysis (IIASA); University of London; University College London</t>
  </si>
  <si>
    <t>Fraisl, D (corresponding author), Int Inst Appl Syst Anal IIASA, Laxenburg, Laxenburg, Austria.;Fraisl, D (corresponding author), Citizen Sci Global Partnership CSGP, Laxenburg, Austria.</t>
  </si>
  <si>
    <t>fraisl@iiasa.ac.at</t>
  </si>
  <si>
    <t>Moorthy, Inian/ORK-2879-2025; Fraisl, Dilek/ITT-4754-2023; Ndugwa, Robert/NBY-2941-2025</t>
  </si>
  <si>
    <t>European Commission [101086638]; Horizon Europe - Pillar II [101086638] Funding Source: Horizon Europe - Pillar II</t>
  </si>
  <si>
    <t>European Commission(European Union (EU)European Commission Joint Research Centre); Horizon Europe - Pillar II(European Union (EU)Horizon Europe - Pillar II)</t>
  </si>
  <si>
    <t>This study has received funding from the European Union's Horizon Europe Research and Innovation programme under Grant Agreements Nos. 101086638 (Urban ReLeaf) and 101131696 (CROPS) projects.</t>
  </si>
  <si>
    <t>SPRINGERNATURE</t>
  </si>
  <si>
    <t>CAMPUS, 4 CRINAN ST, LONDON, N1 9XW, ENGLAND</t>
  </si>
  <si>
    <t>2661-8001</t>
  </si>
  <si>
    <t>NPJ URBAN SUSTAIN</t>
  </si>
  <si>
    <t>npj Urban Sustain.</t>
  </si>
  <si>
    <t>DEC 1</t>
  </si>
  <si>
    <t>10.1038/s42949-025-00305-w</t>
  </si>
  <si>
    <t>Environmental Studies; Urban Studies</t>
  </si>
  <si>
    <t>Social Science Citation Index (SSCI)</t>
  </si>
  <si>
    <t>Environmental Sciences &amp; Ecology; Urban Studies</t>
  </si>
  <si>
    <t>AQ4SZ</t>
  </si>
  <si>
    <t>WOS:001654322100001</t>
  </si>
  <si>
    <t>Harley, MD; Kinsela, MA</t>
  </si>
  <si>
    <t>Harley, Mitchell D.; Kinsela, Michael A.</t>
  </si>
  <si>
    <t>CoastSnap: A global citizen science program to monitor changing coastlines</t>
  </si>
  <si>
    <t>CONTINENTAL SHELF RESEARCH</t>
  </si>
  <si>
    <t>crowdsourcing; Smartphone; Social media; Image processing; Coastal management</t>
  </si>
  <si>
    <t>VARIABILITY; STATE</t>
  </si>
  <si>
    <t>CoastSnap is a low-cost community beach monitoring program that turns everyday smartphones into devices to measure coastal response to storms, sea-level rise, human modifications and other factors. Underpinning CoastSnap is a stainless-steel smartphone cradle that is installed overlooking a beach in a location easily accessible to the public. Using the cradle for image positioning, passers-by simply take a photo of the coast and upload it to a centralized database, which in turn provides a crowd-sourced record of coastline change over time. Behind this simple idea are advanced image processing algorithms that then enable the shoreline position (and other coastal features) to be mapped from the community snapshots in a scientifically rigorous manner. First established in Sydney, Australia in 2017, the network of CoastSnap stations has grown rapidly over the past five years to now encompass 200 monitoring locations in 21 countries. Analysis of the 44 Australian stations managed by the Authors indicates strong community participation, with over 10,000 images and 4000 com-munity participants to date and an image submission frequency ranging from approximately weekly to daily (average = 2.6 images/station/week). Example practical applications of CoastSnap include: as a tool to monitor high-frequency shoreline change and coastal inlet dynamics; to support conservation efforts on protected coastlines; and to directly inform the timing of dredging and beach nourishment activities. This paper describes the background and evolution of the project and discusses its successes, challenges as well as future directions.</t>
  </si>
  <si>
    <t>[Harley, Mitchell D.] UNSW Sydney, Sch Civil &amp; Environm Engn, Water Res Lab, 110 King St, Manly Vale, NSW 2093, Australia; [Kinsela, Michael A.] Univ Newcastle, Sch Environm &amp; Life Sci, Callaghan, NSW, Australia; [Kinsela, Michael A.] NSW Dept Planning &amp; Environm, Parramatta, NSW, Australia</t>
  </si>
  <si>
    <t>University of New South Wales Sydney; University of Newcastle</t>
  </si>
  <si>
    <t>Harley, MD (corresponding author), UNSW Sydney, Sch Civil &amp; Environm Engn, Water Res Lab, 110 King St, Manly Vale, NSW 2093, Australia.</t>
  </si>
  <si>
    <t>m.harley@unsw.edu.au; michael.kinsela@newcastle.edu.au</t>
  </si>
  <si>
    <t>Kinsela, Michael/0000-0003-2509-6806</t>
  </si>
  <si>
    <t>NSW Office of Environment and Heritage; NSW National Parks and Wildlife Service; Douglasa Shire Council, Lake Macquarie City Council; Eurobodalla Shire Council; Northern Beaches Council; Port Macquarie-Hastings Shire Council; Bellingen Shire Council; Central Coast Council; Bega Valley Shire Council; Gold Coast City Council; Frankston City Council; Newcastle City Council; Byron Shire Council; Clarence City Council; Sunshine Coast Council.</t>
  </si>
  <si>
    <t>The Authors would like to first acknowledge and thank all the community participants that have voluntarily contributed to the CoastSnap project to date, without which the project would not have been possible. Initial and ongoing development of CoastSnap has been greatly assisted by Larry Paice, Chris Drummond, Anna Blacka, Chris Leaman, Francois Flocard and Matt Blacka (UNSW Water Research Laboratory) , Erin Roger and Rebekah Dowsett (NSW Department of Planning and Environment) and Kylie Woodbury (NSW National Parks and Wildlife Service) . CoastSnap development has been supported by an initial citizen science infrastructure grant by the NSW Office of Environment and Heritage, the NSW National Parks and Wildlife Service and the following local councils: Douglasa Shire Council, Lake Macquarie City Council, Eurobodalla Shire Council, Northern Beaches Council, Port Macquarie-Hastings Shire Council, Bellingen Shire Council, Central Coast Council, Bega Valley Shire Council, Gold Coast City Council, Frankston City Council, Newcastle City Council, Byron Shire Council, Clarence City Council and Sunshine Coast Council. The global expansion of CoastSnap is only possible in collaboration with all regional managers of CoastSnap networks of which have provided tremendous support and enthusiasm. Finally, the Authors would like to acknowledge all tradi-tional owners of the land to which this research has taken place.</t>
  </si>
  <si>
    <t>0278-4343</t>
  </si>
  <si>
    <t>1873-6955</t>
  </si>
  <si>
    <t>CONT SHELF RES</t>
  </si>
  <si>
    <t>Cont. Shelf Res.</t>
  </si>
  <si>
    <t>10.1016/j.csr.2022.104796</t>
  </si>
  <si>
    <t>JUN 2022</t>
  </si>
  <si>
    <t>Oceanography</t>
  </si>
  <si>
    <t>3B6DC</t>
  </si>
  <si>
    <t>WOS:000828028100001</t>
  </si>
  <si>
    <t>Parsons, AW; Goforth, C; Costello, R; Kays, R</t>
  </si>
  <si>
    <t>Parsons, Arielle Waldstein; Goforth, Christine; Costello, Robert; Kays, Roland</t>
  </si>
  <si>
    <t>The value of citizen science for ecological monitoring of mammals</t>
  </si>
  <si>
    <t>PEERJ</t>
  </si>
  <si>
    <t>Wildlife monitoring; Seasonal patterns; Citizen science; Wildlife management; Camera traps</t>
  </si>
  <si>
    <t>GRAY FOXES; SPACE USE; COMMUNITIES; KNOWLEDGE; WILDLIFE; COYOTES; PROGRAM; TOOL</t>
  </si>
  <si>
    <t>Citizen science approaches are of great interest for their potential to efficiently and sustainably monitor wildlife populations on both public and private lands. Here we present two studies that worked with volunteers to set camera traps for ecological surveys. The photographs recorded by these citizen scientists were archived and verified using the eMammal software platform, providing a professional grade, vouchered database of biodiversity records. Motivated by managers' concern with perceived high bear activity, our first example enlisted the help of homeowners in a short-term study to compare black bear activity inside a National Historic Site with surrounding private land. We found similar levels of bear activity inside and outside the NHS, and regional comparisons suggest the bear population is typical. Participants benefited from knowing their local bear population was normal and managers refocused bear management given this new information. Our second example is a continuous survey of wildlife using the grounds of a nature education center that actively manages habitat to maintain a grassland prairie. Center staff incorporated the camera traps into educational programs, involving visitors with camera setup and picture review. Over two years and 5,968 camera-nights this survey has collected 41,393 detections of 14 wildlife species. Detection rates and occupancy were higher in open habitats compared to forest, suggesting that the maintenance of prairie habitat is beneficial to some species. Over 500 volunteers of all ages participated in this project over two years. Some of the greatest benefits have been to high school students, exemplified by a student with autism who increased his communication and comfort level with others through field work with the cameras. These examples show how, with the right tools, training and survey design protocols, citizen science can be used to answer a variety of applied management questions while connecting participants with their secretive mammal neighbors.</t>
  </si>
  <si>
    <t>[Parsons, Arielle Waldstein; Goforth, Christine; Kays, Roland] North Carolina Museum Nat Sci, Raleigh, NC 27601 USA; [Parsons, Arielle Waldstein; Kays, Roland] North Carolina State Univ, Dept Forestry &amp; Environm Resources, Raleigh, NC 27695 USA; [Costello, Robert] Smithsonians Nat Museum Nat Hist, Washington, DC USA</t>
  </si>
  <si>
    <t>North Carolina State University; Smithsonian Institution; Smithsonian National Museum of Natural History</t>
  </si>
  <si>
    <t>Parsons, AW (corresponding author), North Carolina Museum Nat Sci, Raleigh, NC 27601 USA.;Parsons, AW (corresponding author), North Carolina State Univ, Dept Forestry &amp; Environm Resources, Raleigh, NC 27695 USA.</t>
  </si>
  <si>
    <t>arielle.parsons@naturalsciences.org</t>
  </si>
  <si>
    <t>; Parsons, Arielle/KIC-3070-2024</t>
  </si>
  <si>
    <t>Kays, Roland/0000-0002-2947-6665; Parsons, Arielle/0000-0003-1076-2896; Costello, Robert/0000-0002-9941-2763</t>
  </si>
  <si>
    <t>National Park Service [P15AC00972]; US Forest Service [13-JV-11330101-021]; VRW Foundation</t>
  </si>
  <si>
    <t>National Park Service; US Forest Service(United States Department of Agriculture (USDA)United States Forest Service); VRW Foundation</t>
  </si>
  <si>
    <t>This work was conducted with funding from the National Park Service [grant # P15AC00972], the US Forest Service [grant #13-JV-11330101-021], and the VRW Foundation. The funders had no role in study design, data collection and analysis, decision to publish, or preparation of the manuscript.</t>
  </si>
  <si>
    <t>PEERJ INC</t>
  </si>
  <si>
    <t>341-345 OLD ST, THIRD FLR, LONDON, EC1V 9LL, ENGLAND</t>
  </si>
  <si>
    <t>2167-8359</t>
  </si>
  <si>
    <t>PeerJ</t>
  </si>
  <si>
    <t>MAR 29</t>
  </si>
  <si>
    <t>e4536</t>
  </si>
  <si>
    <t>10.7717/peerj.4536</t>
  </si>
  <si>
    <t>GA9YK</t>
  </si>
  <si>
    <t>WOS:000428699300002</t>
  </si>
  <si>
    <t>Dimitriadis, C; Konsta, K; Çinar, ME; Dogan, A; Gerovasileiou, V; Gatti, G; d'Avray, LTD; Sini, M; Katsanevakis, S; Mazaris, AD; Koutsoubas, D</t>
  </si>
  <si>
    <t>Dimitriadis, Charalampos; Konsta, Katerina; Cinar, Melih Ertan; Dogan, Alper; Gerovasileiou, Vasilis; Gatti, Giulia; De Ville D'avray, Laure Thierry; Sini, Maria; Katsanevakis, Stelios; Mazaris, Antonios D.; Koutsoubas, Drosos</t>
  </si>
  <si>
    <t>Assessing the limits: citizen science data accuracy in underwater monitoring</t>
  </si>
  <si>
    <t>BIODIVERSITY AND CONSERVATION</t>
  </si>
  <si>
    <t>Ecological data validation; Recreational divers; Marine ecosystems</t>
  </si>
  <si>
    <t>DATA QUALITY; CONSERVATION; VOLUNTEER; DIVERS; VARIABILITY; RELIABILITY; SCIENTISTS; KNOWLEDGE; REEFS; TOOL</t>
  </si>
  <si>
    <t>Citizen science has become a powerful tool for generating extensive ecological data and fostering public engagement in environmental monitoring and conservation initiatives. In marine environments, where monitoring is challenging due to logistical demands and financial constraints, engagement of recreational divers in citizen science projects offers a promising avenue for expanding data collection efforts over large spatial and temporal scales. Here, we evaluate the accuracy of ecological data collected by 118 volunteer divers in three countries in the Mediterranean region by comparing their observations with those of expert scientists during 2012-2016. Using standardized monitoring protocols across multiple sites, we assessed volunteers' abilities to identify marine species, threats and impacts, estimate abundances, and correctly report species' absence. Our results demonstrated a notable success rate (exceeding 70% in many cases) in the detection and assessment of multiple species and threats. Nonetheless, volunteer divers frequently misidentified sessile taxa and fish species and often failed to detect less conspicuous environmental stressors, such as tissue necrosis indicative of mass mortality events. Diving experience and site familiarity were found to significantly influence the quality of information reported by non-experts, with experienced and site-acquainted divers demonstrating higher data accuracy. While citizen science can greatly support ecological research and conservation, our findings indicate that comprehensive training and stringent data-validation procedures are indispensable for reliably capturing complex or less conspicuous ecological variables.</t>
  </si>
  <si>
    <t>[Dimitriadis, Charalampos] Nat Environm &amp; Climate Change Agcy, Management Unit Zakynthos &amp; Ainos Natl Pk &amp; Protec, Zakynthos 29100, Greece; [Konsta, Katerina; Mazaris, Antonios D.] Aristotle Univ Thessaloniki, Sch Biol, Dept Ecol, Thessaloniki 54124, Greece; [Cinar, Melih Ertan; Dogan, Alper] Ege Univ, Fac Fisheries, Dept Hydrobiol, Bornova, Izmir, Turkiye; [Gerovasileiou, Vasilis] Inst Marine Biol Biotechnol &amp; Aquaculture IMBBC, Hellen Ctr Marine Res HCMR, Iraklion 71500, Greece; [Gerovasileiou, Vasilis] Ionian Univ, Fac Environm, Dept Environm, Zakynthos 29100, Greece; [Gatti, Giulia; De Ville D'avray, Laure Thierry] Aix Marseille Univ, Univ Avignon, Mediterranean Inst Biodivers &amp; Marine &amp; Terr Ecol, Stn Marine Endoume,CNRS,IRD, Marseille, France; [Sini, Maria; Katsanevakis, Stelios; Koutsoubas, Drosos] Univ Aegean, Dept Marine Sci, Sch Environm, Aegean, Greece</t>
  </si>
  <si>
    <t>Aristotle University of Thessaloniki; Ege University; Hellenic Centre for Marine Research; Avignon Universite; Centre National de la Recherche Scientifique (CNRS); Aix-Marseille Universite; Institut de Recherche pour le Developpement (IRD); University of Aegean</t>
  </si>
  <si>
    <t>Dimitriadis, C (corresponding author), Nat Environm &amp; Climate Change Agcy, Management Unit Zakynthos &amp; Ainos Natl Pk &amp; Protec, Zakynthos 29100, Greece.</t>
  </si>
  <si>
    <t>xdimitriadis@marine.aegean.gr</t>
  </si>
  <si>
    <t>Katsanevakis, Stelios/AGR-7012-2022; Dimitriadis, Charalampos/AAF-6504-2020; CINAR, Melih/H-3737-2013; Gerovasileiou, Vasilis/H-6376-2019</t>
  </si>
  <si>
    <t>E.U. FP7 ERA-NET [112Y393, CNRS - ANR convention ndegrees 12-SEAS-0001-01]</t>
  </si>
  <si>
    <t>E.U. FP7 ERA-NET</t>
  </si>
  <si>
    <t>This study was carried out in the framework of CIGESMED project and was supported by: FRANCE - CNRS - ANR (Centre National de la Recherche Scientifique - Agence Nationale pour la Recherche) convention n degrees 12-SEAS-0001 - 01/LIGAMEN - ANR convention n degrees 12-SEAS-0001-02/IFREMER - ANR convention n degrees 12-SEAS-0001-03; GREECE - GSRT (General Secretariat for Research and Technology) 12SEAS-2-C2; TURKIYE - TUBITAK (Turkiye Bilimsel ve Teknolojik Ara &amp; scedil;t &amp; imath;rma Kurumu) project number: 112Y393. The authors have no conflicts of interest to declare.The authors would like to thank the anonymous divers who participated in this study.</t>
  </si>
  <si>
    <t>DORDRECHT</t>
  </si>
  <si>
    <t>VAN GODEWIJCKSTRAAT 30, 3311 GZ DORDRECHT, NETHERLANDS</t>
  </si>
  <si>
    <t>0960-3115</t>
  </si>
  <si>
    <t>1572-9710</t>
  </si>
  <si>
    <t>BIODIVERS CONSERV</t>
  </si>
  <si>
    <t>Biodivers. Conserv.</t>
  </si>
  <si>
    <t>FEB 23</t>
  </si>
  <si>
    <t>10.1007/s10531-026-03290-3</t>
  </si>
  <si>
    <t>EC3VH</t>
  </si>
  <si>
    <t>WOS:001697730200001</t>
  </si>
  <si>
    <t>Reis, LD; Araújo, MGD; Cruz, AD; Veronesi, G; Naval, MLM; Gevartoski, IB; de Camargo, PB</t>
  </si>
  <si>
    <t>Reis, Lucas de Camargo; Araujo, Maria Gabriella da Silva; Cruz, Aline da Silva; Veronesi, Gustavo; Naval, Mario Lucas Medeiros; Gevartoski, Isabela Butturi; de Camargo, Plinio Barbosa</t>
  </si>
  <si>
    <t>Observando os Rios: Citizen Science Monitoring Water Quality in Brazil</t>
  </si>
  <si>
    <t>CITIZEN SCIENCE-THEORY AND PRACTICE</t>
  </si>
  <si>
    <t>Water quality index; Atlantic Forest; water resources</t>
  </si>
  <si>
    <t>ATLANTIC FOREST; RELIABILITY</t>
  </si>
  <si>
    <t>This study evaluates the consistency and validity of the data generated by the citizen science program Observando os Rios (OoR), coordinated by the SOS Mata Atl &amp; acirc;ntica Foundation and active in 17 Brazilian states. Water quality index (WQI) results produced by OoR were compared with those of S &amp; atilde;o Paulo's environmental agency, Companhia 2023. Methodological conversions were applied to harmonize OoR classifications with CETESB standards. Among them, the weighted model (OoR_CET_8*), which adjusts both parameter inclusion and weighting, showed the closest quantitative alignment with CETESB according to Welch's t-tests. Exact agreement between OoR and CETESB while +/- 1-category agreement exceeded 95% in all regions, indicating strong qualitative</t>
  </si>
  <si>
    <t>[Reis, Lucas de Camargo; Araujo, Maria Gabriella da Silva; Naval, Mario Lucas Medeiros; de Camargo, Plinio Barbosa] Univ Sao Paulo, Ctr Nucl Energy Agr CENA, 303 Centenario Ave, BR-13416000 Piracicaba, SP, Brazil; [Cruz, Aline da Silva] SOS Mata Atlantica Fdn, Sao Paulo, Brazil; [Gevartoski, Isabela Butturi] Univ Sao Paulo, Sao Paulo, Brazil</t>
  </si>
  <si>
    <t>Universidade de Sao Paulo; Universidade de Sao Paulo</t>
  </si>
  <si>
    <t>Reis, LD (corresponding author), Univ Sao Paulo, Ctr Nucl Energy Agr CENA, 303 Centenario Ave, BR-13416000 Piracicaba, SP, Brazil.</t>
  </si>
  <si>
    <t>decamargoreis@yahoo.com.br</t>
  </si>
  <si>
    <t>Naval, Mario/ODL-1392-2025</t>
  </si>
  <si>
    <t>UBIQUITY PRESS LTD</t>
  </si>
  <si>
    <t>Unit 3N, 6 Osborn Street, LONDON, E1 6TD, ENGLAND</t>
  </si>
  <si>
    <t>2057-4991</t>
  </si>
  <si>
    <t>CITIZ SCI-THEOR PRAC</t>
  </si>
  <si>
    <t>Citiz. Sci.-Theory Pract.</t>
  </si>
  <si>
    <t>10.5334/cstp.836</t>
  </si>
  <si>
    <t>Social Sciences, Interdisciplinary</t>
  </si>
  <si>
    <t>Social Sciences - Other Topics</t>
  </si>
  <si>
    <t>DO1MF</t>
  </si>
  <si>
    <t>WOS:001688058600002</t>
  </si>
  <si>
    <t>Bonicalza, S; Valsecchi, E; Coppola, E; Capatano, V; Thatcher, H</t>
  </si>
  <si>
    <t>Bonicalza, Sofia; Valsecchi, Elena; Coppola, Emanuele; Capatano, Valeria; Thatcher, Harriet</t>
  </si>
  <si>
    <t>Citizen science in eDNA monitoring for mediterranean monk seal conservation</t>
  </si>
  <si>
    <t>BMC ECOLOGY AND EVOLUTION</t>
  </si>
  <si>
    <t>Conservation; Citizen science; eDNA; Mediterranean monk seal; Social impact</t>
  </si>
  <si>
    <t>ENVIRONMENTAL DNA; SOCIAL DESIRABILITY; DATA QUALITY; KNOWLEDGE; ATTITUDES; OCCUPANCY; BEHAVIOR; PROGRAM; IMPACT; LEAD</t>
  </si>
  <si>
    <t>BackgroundCitizen Science (CS) offers a promising approach to enhance data collection and engage communities in conservation efforts. This study evaluates the use of CS in environmental DNA (eDNA) monitoring for Mediterranean monk seal conservation. We validated CS by assessing the effectiveness of a newly developed CS-friendly filtration system called WET (Water eDNA Trap) in eDNA detection, addressing technical challenges, and analysing volunteer faults. The WET is a 4-litre, manual pump-based filtering system using positive pressure to force water through the filter. We also assessed the use of a retrospective questionnaire as a tool to measure CS's social impact on participants' perceived knowledge, attitudes, and conservation behaviours.ResultsResults suggest the WET performs comparably to traditional methods, with minor technical issues. Despite some faults such as not folding or forgetting to change the filter, volunteers were generally reliable in sample processing. Moreover, CS involvement increased participants' perceived knowledge, affective attitudes, and conservation behaviours towards seal conservation. Volunteers reported a greater understanding of eDNA monitoring, increased interest in monk seal conservation, and more frequent conservation behaviours, including spreading awareness within their community. While these findings are exploratory due to the small sample size (19 participants) and potential ceiling effects in attitude assessment, they provide an initial validation of the questionnaire as a tool for measuring CS's social outcomes. Future studies with larger sample sizes are needed to confirm these results and investigate their applicability across broader stakeholder groups. Continuous improvement in volunteer training and equipment design is also recommended.ConclusionsThis study highlights CS's potential to improve public engagement and knowledge in conservation. By involving diverse participants, CS can play a critical role in long-term conservation efforts and promote sustainable coexistence between humans and monk seals. Furthermore, the validation of the questionnaire offers a valuable framework for evaluating the social impact of CS initiatives in conservation contexts.</t>
  </si>
  <si>
    <t>[Bonicalza, Sofia; Thatcher, Harriet] Univ Edinburgh, Dept Biomed Sci, Edinburgh, Scotland; [Bonicalza, Sofia; Coppola, Emanuele] Grp Foca Monaca APS, Via Carlo Emery 47, I-00188 Rome, Italy; [Valsecchi, Elena; Capatano, Valeria] Univ Milano Bicocca, Dept Earth &amp; Environm Sci, Piazza Sci 1, I-20126 Milan, Italy</t>
  </si>
  <si>
    <t>University of Edinburgh; University of Milano-Bicocca</t>
  </si>
  <si>
    <t>Bonicalza, S (corresponding author), Univ Edinburgh, Dept Biomed Sci, Edinburgh, Scotland.;Bonicalza, S (corresponding author), Grp Foca Monaca APS, Via Carlo Emery 47, I-00188 Rome, Italy.</t>
  </si>
  <si>
    <t>v1sbonic@exseed.ed.ac.uk</t>
  </si>
  <si>
    <t>Circolo Ibis per l'Ambiente; Fondazione Acquario di Genova, 11th Hour Racing and WWF</t>
  </si>
  <si>
    <t>We thank all the volunteers who participated in the collection and filtration of eDNA samples and their organizations: Francesco C., Claudio, Vincenzo, Luigi, Ines, Francesco S., Piero from Sud-Est Diving, Nexhip, Laura from River Clean Up Albania, Niko from Himara Seas The Day, Sokoli, Pudrila, Alessandro, Marco from C.K.C.S Kayak Salento, Umberto, Giuseppe from Associazione Paolo Pinto Gallipoli, Stefano from Jonian Dolphin Conservation, Giovanni from WWF Policoro, Girolamo from Circolo Ibis per l'Ambiente. We also would like to express our gratitude to Marianna Marangi, Piero Carlino and Alessia Rota for their logistic support, Emiliano Mori and Paul Harris for their expert feedback. We also thank Yves Rocher Foundation, who provided the funds for the project Care4Seals with the prize Terre de Femmes - Italia 2022 and Fondazione Acquario di Genova, 11th Hour Racing and WWF who further supported the project.</t>
  </si>
  <si>
    <t>2730-7182</t>
  </si>
  <si>
    <t>BMC ECOL EVOL</t>
  </si>
  <si>
    <t>BMC Ecol. Evol.</t>
  </si>
  <si>
    <t>DEC 24</t>
  </si>
  <si>
    <t>10.1186/s12862-024-02338-8</t>
  </si>
  <si>
    <t>Ecology; Evolutionary Biology; Genetics &amp; Heredity</t>
  </si>
  <si>
    <t>Environmental Sciences &amp; Ecology; Evolutionary Biology; Genetics &amp; Heredity</t>
  </si>
  <si>
    <t>Q1I5S</t>
  </si>
  <si>
    <t>WOS:001382310200001</t>
  </si>
  <si>
    <t>Marcenò, C; Cubino, JP; Chytry, M; Genduso, E; Salemi, D; La Rosa, A; Gristina, AS; Agrillo, E; Bonari, G; del Galdo, GG; Ilardi, V; Landucci, F; Guarino, R</t>
  </si>
  <si>
    <t>Marceno, Corrado; Padulles Cubino, Josep; Chytry, Milan; Genduso, Emanuele; Salemi, Dario; La Rosa, Alfonso; Gristina, Alessandro Silvestre; Agrillo, Emiliano; Bonari, Gianmaria; Giusso del Galdo, Gianpietro; Ilardi, Vincenzo; Landucci, Flavia; Guarino, Riccardo</t>
  </si>
  <si>
    <t>Facebook groups as citizen science tools for plant species monitoring</t>
  </si>
  <si>
    <t>JOURNAL OF APPLIED ECOLOGY</t>
  </si>
  <si>
    <t>databases; European Vegetation Archive (EVA); Facebook; flora; Mediterranean; plant traits; Sicily; social network</t>
  </si>
  <si>
    <t>ECOLOGY; PHYLOGENIES; KNOWLEDGE; PATTERNS; COLOR</t>
  </si>
  <si>
    <t>Social networks offer communication channels through which people share huge amounts of primary data that can be used for scientific analyses, including biodiversity research. To understand to what extent data extracted from social networks could complement data collected for scientific purposes, it is necessary to quantify the bias of such data. We analysed which plant traits increased the probability of a wild-growing plant species to be photographed and posted to a social network based on the data from an unstructured citizen science tool; a Facebook group focused on the vascular flora of Sicily (Italy). Then, we compared botanical data collected by this Facebook group members with data collected by scientists in 6,366 vegetation plots sampled across Sicily, stored in the EVA database. Our results suggested that data proceeding from the analysed Facebook group were affected by various sampling biases, which differed from the biases inherent to other types of biodiversity data such as those from vegetation plots. Facebook users recorded a higher proportion of red-listed and alien species than vegetation scientists. Therefore, social networks can provide a valuable complement to the data collected by scientists for research purposes. Synthesis and applications. Despite Facebook does not support geotagging and interface for data access and analysis, it is an invaluable source of biodiversity data that could complement those collected by professional researchers. The main advantage of data from social networks is their high dynamism, as they report large amounts of species occurrences in almost real time. Therefore, citizen science data from a Facebook group where the records are curated by expert volunteers can be used (a) for monitoring population dynamics of threatened and alien species; (b) as a source of additional data on rare species occurrences, particularly for plants that are attractive for amateur botanists, such as orchids; (c) for early warning systems of potential new invasions; and (4) for phenological studies, especially at the beginning of the flowering season.</t>
  </si>
  <si>
    <t>[Marceno, Corrado; Padulles Cubino, Josep; Chytry, Milan; Landucci, Flavia] Masaryk Univ, Dept Bot &amp; Zool, Fac Sci, Brno, Czech Republic; [Genduso, Emanuele] LIBRA Life Camera, Palermo, Italy; [Salemi, Dario; Guarino, Riccardo] Univ Palermo, Dept Biol Chem &amp; Pharmaceut Sci &amp; Technol, Palermo, Italy; [La Rosa, Alfonso] Cooperat Silene, Palermo, Italy; [Gristina, Alessandro Silvestre] Natl Res Council CNR, Inst Biosci &amp; BioResources, Res Div Palermo, Palermo, Italy; [Agrillo, Emiliano] Inst Environm Protect &amp; Res ISPRA, Operat Ctr Environm Monitoring, Rome, Italy; [Bonari, Gianmaria] Free Univ Bozen Bolzano, Fac Sci &amp; Technol, Bolzano, Italy; [Giusso del Galdo, Gianpietro] Univ Catania, Dept Biol Geol &amp; Environm Sci, Catania, Italy; [Ilardi, Vincenzo] Univ Palermo, Dept Earth &amp; Sea Sci, Palermo, Italy</t>
  </si>
  <si>
    <t>Masaryk University; University of Palermo; Consiglio Nazionale delle Ricerche (CNR); Istituto di Bioscienze e Biorisorse (IBBR-CNR); Italian Institute for Environmental Protection &amp; Research (ISPRA); Free University of Bozen-Bolzano; University of Catania; University of Palermo</t>
  </si>
  <si>
    <t>Marcenò, C (corresponding author), Masaryk Univ, Dept Bot &amp; Zool, Fac Sci, Brno, Czech Republic.</t>
  </si>
  <si>
    <t>marcenocorrado@libero.it</t>
  </si>
  <si>
    <t>GIUSSO DEL GALDO, Gianpietro/H-2564-2013; Agrillo, Emiliano/K-1172-2019; Marcenò, Corrado/AAB-7331-2019; Guarino, Riccardo/B-4013-2012; Chytrý, Milan/J-4954-2012; Salemi, Dario/GXV-8063-2022; Landucci, Flavia/J-7578-2015; GRISTINA, ALESSANO SILVESTRE/HPI-0218-2023; Bonari, Gianmaria/L-2245-2016; PADULLÉS CUBINO, JOSEP/C-4312-2019</t>
  </si>
  <si>
    <t>GIUSSO DEL GALDO, Gianpietro/0000-0003-4719-3711; Agrillo, Emiliano/0000-0003-2346-8346; Marcenò, Corrado/0000-0003-4361-5200; Guarino, Riccardo/0000-0003-0106-9416; Chytrý, Milan/0000-0002-8122-3075; La Rosa, Alfonso/0000-0002-1914-9329; GRISTINA, ALESSANO SILVESTRE/0000-0001-8674-5051; Bonari, Gianmaria/0000-0002-5574-6067; PADULLÉS CUBINO, JOSEP/0000-0002-2283-5004</t>
  </si>
  <si>
    <t>Czech Science Foundation [19-28491X]</t>
  </si>
  <si>
    <t>Czech Science Foundation(Grant Agency of the Czech Republic)</t>
  </si>
  <si>
    <t>Czech Science Foundation, Grant/Award Number: 19-28491X</t>
  </si>
  <si>
    <t>0021-8901</t>
  </si>
  <si>
    <t>1365-2664</t>
  </si>
  <si>
    <t>J APPL ECOL</t>
  </si>
  <si>
    <t>J. Appl. Ecol.</t>
  </si>
  <si>
    <t>10.1111/1365-2664.13896</t>
  </si>
  <si>
    <t>MAY 2021</t>
  </si>
  <si>
    <t>WB1LK</t>
  </si>
  <si>
    <t>WOS:000651069100001</t>
  </si>
  <si>
    <t>Capdevila, AS; Kokimova, A; Ray, SS; Avellán, T; Kim, J; Kirschke, S</t>
  </si>
  <si>
    <t>Capdevila, Anna San Llorente; Kokimova, Ainur; Ray, Saunak Sinha; Avellan, Tamara; Kim, Jiwon; Kirschke, Sabrina</t>
  </si>
  <si>
    <t>Success factors for citizen science projects in water quality monitoring</t>
  </si>
  <si>
    <t>SCIENCE OF THE TOTAL ENVIRONMENT</t>
  </si>
  <si>
    <t>Community-based monitoring; Data collection; Sustainable Development Goal 6; Systematic literature review; Transdisciplinary research</t>
  </si>
  <si>
    <t>PARTICIPATION; SCIENTISTS; AREAS</t>
  </si>
  <si>
    <t>Attempts to monitor the quality of freshwater resources on a global scale unveil huge data lacks. Involving citizens in data collection has potential to resolve this lack of water quality data. However, it is widely unclear which factors drive the success of citizen science activities. Based on a systematic literature review of 56 peer-reviewed research articles, we identify three sets of factors for successful citizen science projects in water quality monitoring: (i) attributes of citizens (knowledge and experience in collecting data, awareness of environmental problems, motivation, and socio-economic background of citizens), (ii) attributes of institutions (motivation, type of organization, consistent and adequate funding), and (iii) the interactions between citizens and institutions (supporting structure, communication and feedback). These three sets of factors enable a systematic analysis and design of citizen science projects in the future.</t>
  </si>
  <si>
    <t>[Capdevila, Anna San Llorente; Kokimova, Ainur; Ray, Saunak Sinha] Tech Univ Dresden, TU Dresden, Dresden, Germany; [Avellan, Tamara; Kim, Jiwon; Kirschke, Sabrina] United Nat Univ, Inst Integrated Management Mat Fluxes &amp; Resources, Bonn, Germany</t>
  </si>
  <si>
    <t>Technische Universitat Dresden</t>
  </si>
  <si>
    <t>Capdevila, AS (corresponding author), Tech Univ Dresden, TU Dresden, Dresden, Germany.</t>
  </si>
  <si>
    <t>asa004@un-ihe.org</t>
  </si>
  <si>
    <t>; Sinha Ray, Saunak/NFS-6388-2025</t>
  </si>
  <si>
    <t>Sinha Ray, Saunak/0000-0002-6476-8719; Kirschke, Sabrina/0000-0003-1036-3756; Kokimova, Ainur/0000-0002-2533-7721</t>
  </si>
  <si>
    <t>ELSEVIER</t>
  </si>
  <si>
    <t>RADARWEG 29, 1043 NX AMSTERDAM, NETHERLANDS</t>
  </si>
  <si>
    <t>0048-9697</t>
  </si>
  <si>
    <t>1879-1026</t>
  </si>
  <si>
    <t>SCI TOTAL ENVIRON</t>
  </si>
  <si>
    <t>Sci. Total Environ.</t>
  </si>
  <si>
    <t>10.1016/j.scitotenv.2020.137843</t>
  </si>
  <si>
    <t>LZ1TM</t>
  </si>
  <si>
    <t>WOS:000541012100001</t>
  </si>
  <si>
    <t>Justine, J; Ahirbudhnyan, M; Ashik, ME; Balakrishnan, P</t>
  </si>
  <si>
    <t>Justine, Joseph; Ahirbudhnyan, Mohankumar; Ashik, Mechikottil Ebrahim; Balakrishnan, Peroth</t>
  </si>
  <si>
    <t>Citizen science in pollinator monitoring: current approaches, challenges and recommendations</t>
  </si>
  <si>
    <t>OIKOS</t>
  </si>
  <si>
    <t>Article; Early Access</t>
  </si>
  <si>
    <t>citizen science; community contribution; neglected pollinators; policy development; pollinator monitoring; volunteer retention</t>
  </si>
  <si>
    <t>CONSERVATION; DECLINES; DRIVEN; PLANTS</t>
  </si>
  <si>
    <t>The current decline in pollinator abundance and diversity poses a significant threat to the natural world and the food and economic security of human societies. A major challenge faced by the scientific community in pollinator conservation is the lack of sufficient data. Citizen science has emerged as a promising avenue for addressing this issue. In this article, we present the global perspective of citizen science projects focused on pollinator monitoring. Our analysis reveals a notable underrepresentation of developing and tropical countries in citizen science-driven data generation efforts. More than 70% of the listed studies are conducted in North America (n = 64), followed by Europe (n = 22). Together, Europe and North America account for 98.85% (n = 86) of all the projects listed. Thirty-three percent of the projects are hosted on iNaturalist. Majority of projects focus on insects as pollinators, and 52% of the projects additionally document the identity of the pollinated plant species. We classified these projects into structured, semi-structured, and unstructured categories based on their methodologies. Linear regression analysis was performed to evaluate the influence of various factors on the potential for generating outputs. The regression model explained 82% of the variance in document production (adjusted R-2 = 0.766, F-10,F-33 = 15.06, p &lt; 0.001). Structured projects significantly contributed to document output (estimate = 12.44, p &lt; 0.001), as did the inclusion of training (estimate = 6.89, p &lt; 0.001). Fisher's exact test for count data also revealed a significant association for outputs generated with the structured methodology (p &lt; 0.001). Additionally, we discuss the merits and drawbacks of different approaches and propose recommendations for subsequent research.</t>
  </si>
  <si>
    <t>[Justine, Joseph; Ahirbudhnyan, Mohankumar; Ashik, Mechikottil Ebrahim; Balakrishnan, Peroth] Kerala Forest Res Inst, Dept Wildlife Biol, Trichur, India</t>
  </si>
  <si>
    <t>Balakrishnan, P (corresponding author), Kerala Forest Res Inst, Dept Wildlife Biol, Trichur, India.</t>
  </si>
  <si>
    <t>baluperoth@gmail.com</t>
  </si>
  <si>
    <t>Kurisinkal, Joseph Justine/0009-0006-4687-8507; Balakrishnan, Peroth/0000-0002-3697-1322</t>
  </si>
  <si>
    <t>KSCSTE, Government of Kerala</t>
  </si>
  <si>
    <t>Data for this work was collected as part of a project funded by KSCSTE, Government of Kerala.</t>
  </si>
  <si>
    <t>0030-1299</t>
  </si>
  <si>
    <t>1600-0706</t>
  </si>
  <si>
    <t>Oikos</t>
  </si>
  <si>
    <t>2025 DEC 9</t>
  </si>
  <si>
    <t>10.1002/oik.11594</t>
  </si>
  <si>
    <t>DEC 2025</t>
  </si>
  <si>
    <t>Q9168</t>
  </si>
  <si>
    <t>WOS:001635069000001</t>
  </si>
  <si>
    <t>Little, KE; Hayashi, M; Liang, S</t>
  </si>
  <si>
    <t>Little, Kathleen E.; Hayashi, Masaki; Liang, Steve</t>
  </si>
  <si>
    <t>Community-Based Groundwater Monitoring Network Using a Citizen-Science Approach</t>
  </si>
  <si>
    <t>GROUNDWATER</t>
  </si>
  <si>
    <t>WATER-BUDGET MYTH; VARIABILITY; RECHARGE; ALBERTA; TOOL</t>
  </si>
  <si>
    <t>Water level monitoring provides essential information about the condition of aquifers and their responses to water extraction, land-use change, and climatic variability. It is important to have a spatially distributed, long-term monitoring well network for sustainable groundwater resource management. Community-based monitoring involving citizen scientists provides an approach to complement existing government-run monitoring programs. This article demonstrates the feasibility of establishing a large-scale water level monitoring network of private water supply wells using an example from Rocky View County (3900 km(2)) in Alberta, Canada. In this network, community volunteers measure the water level in their wells, and enter these data through a web-based data portal, which allows the public to view and download these data. The close collaboration among the university researchers, county staff members, and community volunteers enabled the successful implementation and operation of the network for a 5-year pilot period, which generated valuable data sets. The monitoring program was accompanied by education and outreach programs, in which the educational materials on groundwater were developed in collaboration with science teachers from local schools. The methodology used in this study can be easily adopted by other municipalities and watershed stewardship groups interested in groundwater monitoring. As governments are starting to rely increasingly on local municipalities and conservation authorities for watershed management and planning, community-based groundwater monitoring provides an effective and affordable tool for sustainable water resources management.</t>
  </si>
  <si>
    <t>[Little, Kathleen E.; Hayashi, Masaki] Univ Calgary, Dept Geosci, 2500 Univ Dr NW, Calgary, AB T2N 1N4, Canada; [Little, Kathleen E.] ATCO Elect Ltd, Right Of Way Planning Dept, Edmonton, AB, Canada; [Liang, Steve] Univ Calgary, Dept Geomat Engn, Calgary, AB T2N 1N4, Canada</t>
  </si>
  <si>
    <t>University of Calgary; University of Calgary</t>
  </si>
  <si>
    <t>Hayashi, M (corresponding author), Univ Calgary, Dept Geosci, 2500 Univ Dr NW, Calgary, AB T2N 1N4, Canada.</t>
  </si>
  <si>
    <t>hayashi@ucalgary.ca</t>
  </si>
  <si>
    <t>Hayashi, Masaki/E-2600-2012</t>
  </si>
  <si>
    <t>Hayashi, Masaki/0000-0003-4890-3113</t>
  </si>
  <si>
    <t>Canada-Alberta Water Supply Expansion Program; Royal Bank of Canada; Environment Canada Science Horizons Program; Canadian Foundation for Innovation; Canadian Foundation for Climate and Atmospheric Sciences (DRI Network); CANARIE; Cybera</t>
  </si>
  <si>
    <t>Canada-Alberta Water Supply Expansion Program; Royal Bank of Canada; Environment Canada Science Horizons Program; Canadian Foundation for Innovation(Canada Foundation for Innovation); Canadian Foundation for Climate and Atmospheric Sciences (DRI Network); CANARIE; Cybera</t>
  </si>
  <si>
    <t>We thank all community volunteers for participating in this program; and Sheik Ahmed, Tim Dietzler, and Vince Diot from Rocky View County for their collaboration and support. We also thank Matthew Wilkinson, Nathan Green, Kate Forbes, and Krystal Chin for carrying out various components of the study; Mike Mappin and Chris Farrow for their contribution to the education and outreach component; and Chris Kyle, James Badger, and GeoCENS project team for the development of web-based database. Funding for the study was provided by Canada-Alberta Water Supply Expansion Program, Royal Bank of Canada, Environment Canada Science Horizons Program, Canadian Foundation for Innovation, Canadian Foundation for Climate and Atmospheric Sciences (DRI Network), CANARIE, and Cybera. Constructive comments by the Associate Editor and two anonymous reviewers improved the clarity and focus of the article.</t>
  </si>
  <si>
    <t>0017-467X</t>
  </si>
  <si>
    <t>1745-6584</t>
  </si>
  <si>
    <t>Groundwater</t>
  </si>
  <si>
    <t>10.1111/gwat.12336</t>
  </si>
  <si>
    <t>Geosciences, Multidisciplinary; Water Resources</t>
  </si>
  <si>
    <t>Geology; Water Resources</t>
  </si>
  <si>
    <t>DM2WU</t>
  </si>
  <si>
    <t>WOS:000376209600004</t>
  </si>
  <si>
    <t>Dobson, JY; Fonfria, ES; Palacios, R; Blasco, E; Bordehore, C</t>
  </si>
  <si>
    <t>Dobson, John Y.; Fonfria, Eva S.; Palacios, Ramon; Blasco, Eduardo; Bordehore, Cesar</t>
  </si>
  <si>
    <t>Citizen science effectively monitors biogeographical and phenological patterns of jellyfish</t>
  </si>
  <si>
    <t>OCEAN &amp; COASTAL MANAGEMENT</t>
  </si>
  <si>
    <t>Jellyfish; Mediterranean; Citizen Science; Spatial and temporal distribution; Pelagia noctiluca; Rhizostoma luteum</t>
  </si>
  <si>
    <t>COTYLORHIZA-TUBERCULATA CNIDARIA; RHIZOSTOMA-LUTEUM QUOY; MEDITERRANEAN-SEA; SCYPHOZOA; ATLANTIC; POPULATIONS; IMPACTS; GAIMARD; TRENDS; BLOOMS</t>
  </si>
  <si>
    <t>Jellyfish encounters are set to rise as human activity in the marine environment increases. Although jellyfish pose a threat to human health and the economy, there is limited understanding of their population dynamics. To mitigate the impact of jellyfish and gather information on their biogeographical patterns, we created MedusApp, a citizen science tool for collecting data on jellyfish sightings in the Spanish Mediterranean. From 2018 to 2021, the most commonly sighted species were Pelagia noctiluca, Rhizostoma pulmo, Cotylorhiza tuberculata, and Rhizostoma luteum. Sightings increased for all species, but the Jellyfish Intensity (JI) index showed no significant rise in overall abundance. The JI revealed the inter-annual fluctuations in R. pulmo's nature and more a larger purporting of weight on total JI from C. tuberculata while P. noctiluca decreased. The seasonality of the four species remained stable, providing a basis for time-effective management strategies. MedusApp has further provided new evidence that R. luteum is expanding its range northward in the Western Mediterranean and becoming a commonly observed species. The information collected through MedusApp can be used to improve jellyfish management measures, such as monitoring, control, and alert systems, to reduce conflicts with humans and the environment.</t>
  </si>
  <si>
    <t>[Dobson, John Y.; Bordehore, Cesar] Univ Alicante, Dept Ecol, Carretera San Vicente del Raspeig s-n,Campus San V, Alicante 03690, Spain; [Fonfria, Eva S.; Bordehore, Cesar] Univ Alicante, Multidisciplinary Inst Environm Studies IMEM Ramon, Carretera San Vicente del Raspeig s-n, Alicante 03690, Spain; [Palacios, Ramon; Blasco, Eduardo] Univ Politecn Valencia, IT Serv, Camino Vera s-n, Valencia 46022, Spain</t>
  </si>
  <si>
    <t>Universitat d'Alacant; Universitat d'Alacant; Universitat Politecnica de Valencia</t>
  </si>
  <si>
    <t>Bordehore, C (corresponding author), Univ Alicante, Dept Ecol, Carretera San Vicente del Raspeig s-n,Campus San V, Alicante 03690, Spain.</t>
  </si>
  <si>
    <t>jyd1@alu.ua.es; eva.fonfria@ua.es; rapasae@upvnet.upv.es; edblata@upvnet.upv.es; cesar.bordehore@ua.es</t>
  </si>
  <si>
    <t>; FONFRIA, EVA/AFF-8185-2022; Bordehore, Cesar/H-2773-2014; Yañez Dobson, John/ABF-0184-2022</t>
  </si>
  <si>
    <t>Palacios Sáez, Ramón/0000-0001-5166-7188; FONFRIA, EVA/0000-0001-5593-8838; Yañez Doon, John/0000-0003-4421-0758; Blasco Talaván, Eduardo/0000-0001-9574-8860; Bordehore, Cesar/0000-0002-2816-0538;</t>
  </si>
  <si>
    <t>GVA-THINKINAZUL; MCIN; European Union NextGenerationEU [PRTR-C17.I1]; Generalitat Valenciana</t>
  </si>
  <si>
    <t>GVA-THINKINAZUL; MCIN; European Union NextGenerationEU(European Union (EU)); Generalitat Valenciana(Center for Forestry Research &amp; Experimentation (CIEF))</t>
  </si>
  <si>
    <t>This work was supported by the project GVA-THINKINAZUL/2021 ? A comprehensive marine observatory in the coast of Oliva-Denia-Javea for the conservation of biodiversity, observation of global change and promotion of the blue economy (OBSERMAR-CV) .to CB, supported by the MCIN with the funding from European Union NextGenerationEU (PRTR-C17.I1) and by Generalitat Valenciana.Part of this research has been conducted at the Marine Laboratory UA-Denia (Agreement Ajuntament de Denia-Conselleria de Agricultura, Desarrollo Rural, Emergencia Climatica y Transicion Ecologica, Generalitat Valenciana, Spain) https://web.ua.es/en/marlabdenia/presenta tion.html [2020-41.30.6O.00.01 to CB].</t>
  </si>
  <si>
    <t>London</t>
  </si>
  <si>
    <t>125 London Wall, London, ENGLAND</t>
  </si>
  <si>
    <t>0964-5691</t>
  </si>
  <si>
    <t>1873-524X</t>
  </si>
  <si>
    <t>OCEAN COAST MANAGE</t>
  </si>
  <si>
    <t>Ocean Coastal Manage.</t>
  </si>
  <si>
    <t>10.1016/j.ocecoaman.2023.106668</t>
  </si>
  <si>
    <t>JUN 2023</t>
  </si>
  <si>
    <t>Oceanography; Water Resources</t>
  </si>
  <si>
    <t>L8NE2</t>
  </si>
  <si>
    <t>WOS:001025768200001</t>
  </si>
  <si>
    <t>Longo, A; Zappatore, M; Bochicchio, MA</t>
  </si>
  <si>
    <t>Longo, Antonella; Zappatore, Marco; Bochicchio, Mario A.</t>
  </si>
  <si>
    <t>Apollon: Towards a citizen science methodology for urban environmental monitoring</t>
  </si>
  <si>
    <t>FUTURE GENERATION COMPUTER SYSTEMS-THE INTERNATIONAL JOURNAL OF ESCIENCE</t>
  </si>
  <si>
    <t>Mobile crowd sensing; Citizen science; Smart cities; Internet of people</t>
  </si>
  <si>
    <t>MOBILE; INTERNET; QUALITY; FUTURE; SYSTEM; NOISE; TRUST</t>
  </si>
  <si>
    <t>The collaborative power of ICT systems is a key enabler of social and technological advances providing multiple opportunities for public involvement in participatory activities, thanks to novel paradigms like citizen science and mobile crowd sensing. These paradigms, if applied according to specific methodologies, promise to increase the pervasive observation of urban environmental pollution either directly by human observers, or by means of crowd-sourcing data measurement tasks using sensors in smart phones or other mobile devices. We propose a platform, named Apollon, to enable scientists and others to take part in citizen science projects based on the exploitation of mobile devices. The platform has been implemented and validated in an educational context, in which students participate in urban environmental monitoring activities. In the paper, we describe the platform and the approach developed to produce successful experiments. (C) 2020 Elsevier B.V. All rights reserved.</t>
  </si>
  <si>
    <t>[Longo, Antonella; Zappatore, Marco; Bochicchio, Mario A.] Univ Salento, Dept Engn Innovat, Via Monteroni Sn, I-73100 Lecce, Italy; [Longo, Antonella; Zappatore, Marco] Hesplora Srl, Via Don Luigi Sturzo 36, I-73100 Lecce, Italy</t>
  </si>
  <si>
    <t>University of Salento</t>
  </si>
  <si>
    <t>Longo, A (corresponding author), Univ Salento, Dept Engn Innovat, Via Monteroni Sn, I-73100 Lecce, Italy.</t>
  </si>
  <si>
    <t>antonella.longo@unisalento.it; marcosalvatore.zappatore@unisalento.it; mario.bochicchio@unisalento.it</t>
  </si>
  <si>
    <t>Longo, Antonella/A-5335-2009; Bochicchio, Mario/Q-9656-2016</t>
  </si>
  <si>
    <t>Longo, Antonella/0000-0002-6902-0160; Bochicchio, Mario/0000-0002-9122-6317</t>
  </si>
  <si>
    <t>project ''environmentAl POLLution aNalyzer (APOLLON)'', within the ''IN-NONETWORK 2017'' call - Regione Puglia (Italy) of the Fondo Europeo di Sviluppo Regionale (FESR)''</t>
  </si>
  <si>
    <t>This work is partially supported by the research project ''environmentAl POLLution aNalyzer (APOLLON)'', within the ''IN-NONETWORK 2017'' call funded by Regione Puglia (Italy) in the framework of the ``Fondo Europeo di Sviluppo Regionale (FESR)''.</t>
  </si>
  <si>
    <t>0167-739X</t>
  </si>
  <si>
    <t>1872-7115</t>
  </si>
  <si>
    <t>FUTURE GENER COMP SY</t>
  </si>
  <si>
    <t>Futur. Gener. Comp. Syst.</t>
  </si>
  <si>
    <t>10.1016/j.future.2020.06.041</t>
  </si>
  <si>
    <t>Computer Science, Theory &amp; Methods</t>
  </si>
  <si>
    <t>NM0WQ</t>
  </si>
  <si>
    <t>WOS:000567825900027</t>
  </si>
  <si>
    <t>Sheard, JK; Adriaens, T; Bowler, DE; Büermann, A; Callaghan, CT; Camprasse, ECM; Chowdhury, S; Engel, T; Finch, EA; von Gönner, J; Hsing, PY; Mikula, P; Oh, RYR; Peters, B; Phartyal, SS; Pocock, MJO; Wäldchen, J; Bonn, A</t>
  </si>
  <si>
    <t>Sheard, Julie Koch; Adriaens, Tim; Bowler, Diana E.; Bueermann, Andrea; Callaghan, Corey T.; Camprasse, Elodie C. M.; Chowdhury, Shawan; Engel, Thore; Finch, Elizabeth A.; von Goenner, Julia; Hsing, Pen-Yuan; Mikula, Peter; Rachel Oh, Rui Ying; Peters, Birte; Phartyal, Shyam S.; Pocock, Michael J. O.; Waeldchen, Jana; Bonn, Aletta</t>
  </si>
  <si>
    <t>Emerging technologies in citizen science and potential for insect monitoring</t>
  </si>
  <si>
    <t>PHILOSOPHICAL TRANSACTIONS OF THE ROYAL SOCIETY B-BIOLOGICAL SCIENCES</t>
  </si>
  <si>
    <t>biodiversity monitoring; community science; novel technologies; public participation in scientific research; insects; artificial intelligence</t>
  </si>
  <si>
    <t>RED PALM WEEVIL; DATA INTEGRATION; BEES; TERRESTRIAL; EXTINCTION; CHALLENGES; PROJECTS; MEDIA; PEST</t>
  </si>
  <si>
    <t>Emerging technologies are increasingly employed in environmental citizen science projects. This integration offers benefits and opportunities for scientists and participants alike. Citizen science can support large-scale, long-term monitoring of species occurrences, behaviour and interactions. At the same time, technologies can foster participant engagement, regardless of pre-existing taxonomic expertise or experience, and permit new types of data to be collected. Yet, technologies may also create challenges by potentially increasing financial costs, necessitating technological expertise or demanding training of participants. Technology could also reduce people's direct involvement and engagement with nature. In this perspective, we discuss how current technologies have spurred an increase in citizen science projects and how the implementation of emerging technologies in citizen science may enhance scientific impact and public engagement. We show how technology can act as (i) a facilitator of current citizen science and monitoring efforts, (ii) an enabler of new research opportunities, and (iii) a transformer of science, policy and public participation, but could also become (iv) an inhibitor of participation, equity and scientific rigour. Technology is developing fast and promises to provide many exciting opportunities for citizen science and insect monitoring, but while we seize these opportunities, we must remain vigilant against potential risks.This article is part of the theme issue 'Towards a toolkit for global insect biodiversity monitoring'.</t>
  </si>
  <si>
    <t>[Sheard, Julie Koch; Bueermann, Andrea; Chowdhury, Shawan; Engel, Thore; Finch, Elizabeth A.; von Goenner, Julia; Rachel Oh, Rui Ying; Peters, Birte; Bonn, Aletta] UFZ Helmholtz Ctr Environm Res, Dept Ecosyst Serv, Permoserstr 15, D-04318 Leipzig, Germany; [Sheard, Julie Koch; Chowdhury, Shawan; Engel, Thore; Finch, Elizabeth A.; von Goenner, Julia; Bonn, Aletta] Friedrich Schiller Univ Jena, Inst Biodivers, Dornburger Str 159, D-07743 Jena, Germany; [Sheard, Julie Koch; Bueermann, Andrea; Chowdhury, Shawan; Engel, Thore; Finch, Elizabeth A.; von Goenner, Julia; Rachel Oh, Rui Ying; Peters, Birte; Waeldchen, Jana; Bonn, Aletta] German Ctr Integrat Biodivers Res iDiv, Puschstr 4, D-04103 Leipzig, Germany; [Adriaens, Tim] Res Inst Nat &amp; Forest INBO, Havenlaan 88 Bus 73, B-1000 Brussels, Belgium; [Bowler, Diana E.; Pocock, Michael J. O.] UK Ctr Ecol &amp; Hydrol, Wallingford OX10 8BB, Oxon, England; [Callaghan, Corey T.] Univ Florida, Ft Lauderdale Res &amp; Educ Ctr, Dept Wildlife Ecol &amp; Conservat, Gainesville, FL 33314 USA; [Camprasse, Elodie C. M.] Deakin Univ, Sch Life &amp; Environm Sci, Melbourne Burwood Campus, 221 Burwood Highway, Burwood, Vic 3125, Australia; [Hsing, Pen-Yuan] Univ Bristol, Fac Life Sci, 12a Priory Rd, Bristol BS8 1TU, England; [Mikula, Peter] Tech Univ Munich, TUM Sch Life Sci, Ecoclimatol, Hans Carl von Carlowitz Pl 2, D-85354 Freising Weihenstephan, Germany; [Mikula, Peter] Tech Univ Munich, Inst Adv Study, Lichtenbergstr 2a, D-85748 Garching, Germany; [Mikula, Peter] Czech Univ Life Sci Prague, Fac Environm Sci, Kamycka 129, Prague 16500, Czech Republic; [Phartyal, Shyam S.] Nalanda Univ, Sch Ecol &amp; Environm Studies, Rajgir 803116, India; [Waeldchen, Jana] Max Planck Inst Biogeochem, Dept Biogeochem Integrat, Hans Knoll Str 10, D-07745 Jena, Germany</t>
  </si>
  <si>
    <t>Helmholtz Association; Helmholtz Center for Environmental Research (UFZ); Friedrich Schiller University of Jena; German Research Foundation (DFG); German Centre for Integrative Biodiversity Research (iDiv); Research Institute for Nature &amp; Forest; UK Centre for Ecology &amp; Hydrology (UKCEH); State University System of Florida; University of Florida; Deakin University; University of Bristol; Technical University of Munich; Technical University of Munich; Czech University of Life Sciences Prague; Max Planck Society</t>
  </si>
  <si>
    <t>Sheard, JK (corresponding author), UFZ Helmholtz Ctr Environm Res, Dept Ecosyst Serv, Permoserstr 15, D-04318 Leipzig, Germany.;Sheard, JK (corresponding author), Friedrich Schiller Univ Jena, Inst Biodivers, Dornburger Str 159, D-07743 Jena, Germany.;Sheard, JK (corresponding author), German Ctr Integrat Biodivers Res iDiv, Puschstr 4, D-04103 Leipzig, Germany.</t>
  </si>
  <si>
    <t>julie.sheard@biologie.uni-marburg.de</t>
  </si>
  <si>
    <t>von Gönner, Julia/IUP-3537-2023; Engel, Thore/AAZ-9086-2021; Sheard, Julie/ABE-7905-2020; Chowdhury, Shawan/ADT-9760-2022; Camprasse, Elodie/X-1832-2019; Pocock, Michael/A-5632-2012; Bonn, Aletta/A-2164-2013; Oh, Rui Ying Rachel/HTM-4052-2023; Hsing, Pen-Yuan/JGM-4181-2023; Büermann, Anea/OEN-3600-2025; Mikula, Peter/I-3851-2016; Aiaens, Tim/F-6936-2010; PHARTYAL, Shyam/H-4229-2019</t>
  </si>
  <si>
    <t>Engel, Thore/0000-0002-9245-4397; Sheard, Julie/0000-0002-1073-0221; Pocock, Michael/0000-0003-4375-0445; Bonn, Aletta/0000-0002-8345-4600; Oh, Rui Ying Rachel/0000-0003-2716-7727; Hsing, Pen-Yuan/0000-0002-5394-879X; Finch, Elizabeth/0000-0002-7031-5708; Büermann, Anea/0009-0003-1107-8743; Mikula, Peter/0000-0002-2731-9105; Aiaens, Tim/0000-0001-7268-4200; PHARTYAL, Shyam/0000-0003-3266-6619</t>
  </si>
  <si>
    <t>Carlsberg Foundation [CF20-0501]; German Research Foundation [DFG-FZT 118, 202548816]; German Centre for Integrative Biodiversity Research; German Research Foundation DFG [442032008]; Viel Falter Garten Projekt (Bundesprogramm Biologische Viel Falt, Bundesamt fur Naturschutz) [FZ: 3520685A01]; German Ministry of Education and Research (BMBF) [01IS20062]; Faculty of Environmental Sciences CZU Prague; Terrestrial Surveillance Development and Analysis partnership of the UK Centre for Ecology Hydrology; British Trust for Ornithology; Joint Nature Conservation Committee (JNCC); Natural Environment Research Council [NE/R016429/1]; UK-SCAPE programme delivering National Capability; Natural Environment Research Council [NE/R016429/1] Funding Source: researchfish</t>
  </si>
  <si>
    <t>Carlsberg Foundation(Carlsberg Foundation); German Research Foundation(German Research Foundation (DFG)); German Centre for Integrative Biodiversity Research; German Research Foundation DFG(German Research Foundation (DFG)); Viel Falter Garten Projekt (Bundesprogramm Biologische Viel Falt, Bundesamt fur Naturschutz); German Ministry of Education and Research (BMBF)(Federal Ministry of Education &amp; Research (BMBF)); Faculty of Environmental Sciences CZU Prague; Terrestrial Surveillance Development and Analysis partnership of the UK Centre for Ecology Hydrology; British Trust for Ornithology; Joint Nature Conservation Committee (JNCC); Natural Environment Research Council(UK Research &amp; Innovation (UKRI)Natural Environment Research Council (NERC)); UK-SCAPE programme delivering National Capability; Natural Environment Research Council(UK Research &amp; Innovation (UKRI)Natural Environment Research Council (NERC))</t>
  </si>
  <si>
    <t>J.K.S. was supported by the Carlsberg Foundation (CF20-0501). J.K.S., A. Bueermann, S.C., T.E., E.A.F., J.G., R.Y.R.O., B.P. and A. Bonn acknowledge the support of the German Research Foundation (DFG-FZT 118, 202548816) to the German Centre for Integrative Biodiversity Research, in particular the sMon project for A.Bonn and S.C. The work of A. Bonn and T.E. was further supported by the German Research Foundation DFG under the grant agreement number 442032008 (NFDI4Biodiversity). A. Bueermann, B.P. and A.Bonn were also supported by the Viel Falter Garten Projekt (Bundesprogramm Biologische Viel Falt, Bundesamt fur Naturschutz, FZ: 3520685A01). J.W. was funded by the German Ministry of Education and Research (BMBF, 01IS20062). P.M. is thankful for the support from the Faculty of Environmental Sciences CZU Prague within the framework of the Research Excellence in Environmental Sciences (Project REES; REES 003) and was supported by IASTUM-Hans Fisher Senior Fellowship. D.E.B. and M.J.O.P. were supported by the Terrestrial Surveillance Development and Analysis partnership of the UK Centre for Ecology &amp; Hydrology, British Trust for Ornithology and the Joint Nature Conservation Committee (JNCC) and by the Natural Environment Research Council award number NE/R016429/1 as part of the UK-SCAPE programme delivering National Capability.</t>
  </si>
  <si>
    <t>ROYAL SOC</t>
  </si>
  <si>
    <t>6-9 CARLTON HOUSE TERRACE, LONDON SW1Y 5AG, ENGLAND</t>
  </si>
  <si>
    <t>0962-8436</t>
  </si>
  <si>
    <t>1471-2970</t>
  </si>
  <si>
    <t>PHILOS T R SOC B</t>
  </si>
  <si>
    <t>Philos. Trans. R. Soc. B-Biol. Sci.</t>
  </si>
  <si>
    <t>JUN 24</t>
  </si>
  <si>
    <t>10.1098/rstb.2023.0106</t>
  </si>
  <si>
    <t>PN2B8</t>
  </si>
  <si>
    <t>WOS:001214680600021</t>
  </si>
  <si>
    <t>Davids, JC; Devkota, N; Pandey, A; Prajapati, R; Ertis, BA; Rutten, MM; Lyon, SW; Bogaard, TA; van de Giesen, N</t>
  </si>
  <si>
    <t>Davids, Jeffrey C.; Devkota, Nischal; Pandey, Anusha; Prajapati, Rajaram; Ertis, Brandon A.; Rutten, Martine M.; Lyon, Steve W.; Bogaard, Thom A.; van de Giesen, Nick</t>
  </si>
  <si>
    <t>Soda Bottle Science-Citizen Science Monsoon Precipitation Monitoring in Nepal</t>
  </si>
  <si>
    <t>FRONTIERS IN EARTH SCIENCE</t>
  </si>
  <si>
    <t>citizen science (CS); recruitment; motivation; performance; low-cost rain gauge; smartphones; open data kit (ODK); cost per observation</t>
  </si>
  <si>
    <t>RAIN-GAUGE; DATA SETS; KATHMANDU; VALLEY; WATER</t>
  </si>
  <si>
    <t>Citizen science, as a complement to ground-based and remotely-sensed precipitation measurements, is a promising approach for improving precipitation observations. During the 2018 monsoon (May to September), SmartPhones4Water (S4W) Nepal-a young researcher-led water monitoring network-partnered with 154 citizen scientists to generate 6,656 precipitation measurements in Nepal with low-cost (&lt; 1 USD) S4W gauges constructed from repurposed soda bottles, concrete, and rulers. Measurements were recorded with Android-based smartphones using Open Data Kit Collect and included GPS-generated coordinates, observation date and time, photographs, and observer-reported readings. A year-long S4W gauge intercomparison revealed a -2.9% error compared to the standard 203 mm (8-inch) gauge used by the Department of Hydrology and Meteorology (DHM), Nepal. We analyzed three sources of S4W gauge errors: evaporation, concrete soaking, and condensation, which were 0.5 mm day(-1) (n = 33), 0.8mm (n = 99), and 0.3 mm (n = 49), respectively. We recruited citizen scientists by leveraging personal relationships, outreach programs at schools/colleges, social media, and random site visits. We motivated ongoing participation with personal follow-ups via SMS, phone, and site visit; bulk SMS; educational workshops; opportunities to use data; lucky draws; certificates of involvement; and in certain cases, payment. The average citizen scientist took 42 measurements (min = 1, max = 148, stdev = 39). Paid citizen scientists (n = 37) took significantly more measurements per week (i.e., 54) than volunteers (i.e., 39; alpha level = 0.01). By comparing actual values (determined by photographs) with citizen science observations, we identified three categories of observational errors (n = 592; 9% of total measurements): unit (n = 50; 8% of errors; readings in centimeters instead of millimeters); meniscus (n = 346; 58% of errors; readings of capillary rise), and unknown (n = 196; 33% of errors). A cost per observation analysis revealed that measurements could be performed for as little as 0.07 and 0.30 USD for volunteers and paid citizen scientists, respectively. Our results confirm that citizen science precipitation monitoring with low-cost gauges can help fill precipitation data gaps in Nepal and other data scarce regions.</t>
  </si>
  <si>
    <t>[Davids, Jeffrey C.; Bogaard, Thom A.; van de Giesen, Nick] Deift Univ Technol, Water Management Civil Engn &amp; Geosci, Delft, Netherlands; [Davids, Jeffrey C.; Ertis, Brandon A.] SmartPhones4Water, Chico, CA 95928 USA; [Devkota, Nischal; Pandey, Anusha; Prajapati, Rajaram] SmartPhones4Water Nepal, Lalitpur, Nepal; [Rutten, Martine M.] Rotterdam Univ Appl Sci, Inst Built Environm, Water Management, Rotterdam, Netherlands; [Lyon, Steve W.] Southern New Jersey Off, Nat Conservancy, Delmont, NJ USA</t>
  </si>
  <si>
    <t>Nature Conservancy</t>
  </si>
  <si>
    <t>Davids, JC (corresponding author), Deift Univ Technol, Water Management Civil Engn &amp; Geosci, Delft, Netherlands.;Davids, JC (corresponding author), SmartPhones4Water, Chico, CA 95928 USA.</t>
  </si>
  <si>
    <t>j.c.davids@tudelft.nl</t>
  </si>
  <si>
    <t>; Devkota, Nischal/NQF-4096-2025; Lyon, Steve/AAL-9358-2021</t>
  </si>
  <si>
    <t>Bogaard, Thom/0000-0002-1325-024X; Devkota, Nischal/0000-0003-0473-0513; Prajapati, Rajaram/0000-0002-1644-9991;</t>
  </si>
  <si>
    <t>Swedish International Development Agency (SIDA) [2016-05801]; Swedish Research Council [2016-05801] Funding Source: Swedish Research Council</t>
  </si>
  <si>
    <t>Swedish International Development Agency (SIDA)(Norwegian Agency for Development Cooperation - NORAD); Swedish Research Council(Swedish Research Council)</t>
  </si>
  <si>
    <t>This work was supported by the Swedish International Development Agency (SIDA) under grant number 2016-05801 and by SmartPhones4Water (S4W).</t>
  </si>
  <si>
    <t>2296-6463</t>
  </si>
  <si>
    <t>FRONT EARTH SC-SWITZ</t>
  </si>
  <si>
    <t>Front. Earth Sci.</t>
  </si>
  <si>
    <t>MAR 22</t>
  </si>
  <si>
    <t>10.3389/feart.2019.00046</t>
  </si>
  <si>
    <t>Geosciences, Multidisciplinary</t>
  </si>
  <si>
    <t>Geology</t>
  </si>
  <si>
    <t>HX2PG</t>
  </si>
  <si>
    <t>WOS:000467233300002</t>
  </si>
  <si>
    <t>Pocock, MJO; Marzano, M; Bullas-Appleton, E; Dyke, A; de Groot, M; Shuttleworth, CM; White, R</t>
  </si>
  <si>
    <t>Pocock, Michael J. O.; Marzano, Mariella; Bullas-Appleton, Erin; Dyke, Alison; de Groot, Maarten; Shuttleworth, Craig M.; White, Rehema</t>
  </si>
  <si>
    <t>Ethical dilemmas when using citizen science for early detection of invasive tree pests and diseases</t>
  </si>
  <si>
    <t>alien species; volunteer; eradication; participatory research</t>
  </si>
  <si>
    <t>MANAGEMENT; BIODIVERSITY; PERCEPTIONS; STRATEGIES; VOLUNTEERS</t>
  </si>
  <si>
    <t>The early detection of tree health pests and disease is an important component of biosecurity to protect the aesthetic, recreational and economic importance of trees, woodlands and forestry. Citizen science is valuable in supporting the early detection of tree pests and diseases. Different stakeholders (government, business, society and individual) will vary in their opinion of the balance between costs and benefits of early detection and consequent management, partly because many costs are local whereas benefits are felt at larger scales. This can create clashes in motivations of those involved in citizen science, thus leading to ethical dilemmas about what is good and responsible conduct for the use of citizen science. We draw on our experience of tree health citizen science to exemplify five dilemmas. These dilemmas arise because: the consequences of detection may locally be severe (e.g. the destruction of trees); knowledge of these impacts could lead to refusal to make citizen science reports; citizen science reports can be made freely, but can be costly to respond to; participants may expect solutions even if these are not possible; and early detection is (by definition) a rare event. Effective engagement and dialogue across stakeholders, including public stakeholders, is important to properly address these issues. This is vital to ensure the public's long-term support for and trust in the use of citizen science for the early detection of tree pests and diseases.</t>
  </si>
  <si>
    <t>[Pocock, Michael J. O.] UK Ctr Ecol &amp; Hydrol, Wallingford OX10 8BB, Oxon, England; [Marzano, Mariella] Northern Res Stn, Forest Res, Roslin EH25 9SY, Midlothian, Scotland; [Bullas-Appleton, Erin] Canadian Food Inspect Agcy, 174 Stone Rd West, Guelph, ON N1G 4S9, Canada; [Dyke, Alison] Univ York, Stockholm Environm Inst, Dept Environm &amp; Geog, York YO10 5NG, N Yorkshire, England; [de Groot, Maarten] Slovenian Forestry Inst, Vecna Pot 2, Ljubljana 1000, Slovenia; [Shuttleworth, Craig M.] Bangor Univ, Sch Nat Sci, Bangor LL57 2UW, Gwynedd, Wales; [White, Rehema] Univ St Andrews, Sch Geog &amp; Sustainable Dev, St Andrews KY16 9AL, Fife, Scotland</t>
  </si>
  <si>
    <t>UK Centre for Ecology &amp; Hydrology (UKCEH); Canadian Food Inspection Agency; University of York - UK; Slovenian Forestry Institute; Bangor University; University of St Andrews</t>
  </si>
  <si>
    <t>Pocock, MJO (corresponding author), UK Ctr Ecol &amp; Hydrol, Wallingford OX10 8BB, Oxon, England.</t>
  </si>
  <si>
    <t>Michael.pocock@ceh.ac.uk; Manelia.marzano@forestresearch.gov.uk; erin.bulias-appleton@canada.ca; alison.dyke@york.ac.uk; maarten.degroot@gozdis.si; craig.shuttleworth@rsst.org.uk; rmw11@st-andrews.ac.uk</t>
  </si>
  <si>
    <t>de Groot, Maarten/AER-0020-2022; Pocock, Michael/A-5632-2012; White, Rehema/NES-3471-2025</t>
  </si>
  <si>
    <t>Marzano, Mariella/0000-0003-4306-5886; Pocock, Michael/0000-0003-4375-0445; White, Rehema/0000-0002-9669-0012</t>
  </si>
  <si>
    <t>project New approaches for the early detection of tree health pests and pathogens - Biotechnology and Biological Sciences Research Council; project New approaches for the early detection of tree health pests and pathogens - Department for Environment, Food and Rural Affairs; Economic and Social Research Council; Forestry Commission; Natural Environment Research Council; Scottish Government, under the Tree Health and Plant Biosecurity Initiative [BB/L012251/1]; Slovenian Research Agency [P4-0107]; BBSRC [BB/L012294/1] Funding Source: UKRI</t>
  </si>
  <si>
    <t>project New approaches for the early detection of tree health pests and pathogens - Biotechnology and Biological Sciences Research Council(UK Research &amp; Innovation (UKRI)Biotechnology and Biological Sciences Research Council (BBSRC)); project New approaches for the early detection of tree health pests and pathogens - Department for Environment, Food and Rural Affairs; Economic and Social Research Council(UK Research &amp; Innovation (UKRI)Economic &amp; Social Research Council (ESRC)); Forestry Commission; Natural Environment Research Council(UK Research &amp; Innovation (UKRI)Natural Environment Research Council (NERC)); Scottish Government, under the Tree Health and Plant Biosecurity Initiative; Slovenian Research Agency(Slovenian Research Agency - Slovenia); BBSRC(UK Research &amp; Innovation (UKRI)Biotechnology and Biological Sciences Research Council (BBSRC))</t>
  </si>
  <si>
    <t>MP, MM and RMW all received funding from the project New approaches for the early detection of tree health pests and pathogens (http://protectingtreehealth.org.uk/) that was supported by a grant funded jointly by the Biotechnology and Biological Sciences Research Council, the Department for Environment, Food and Rural Affairs, the Economic and Social Research Council, the Forestry Commission, the Natural Environment Research Council and the Scottish Government, under the Tree Health and Plant Biosecurity Initiative [grant number BB/L012251/1]. MG received funding via the project LIFE ARTEMIS and ARRS research programme Forest Ecology, biology and technology (P4-0107) that was supported by the Slovenian Research Agency.</t>
  </si>
  <si>
    <t>10.3391/mbi.2020.11.4.07</t>
  </si>
  <si>
    <t>Green Published, Green Submitted, gold</t>
  </si>
  <si>
    <t>WOS:000589799900007</t>
  </si>
  <si>
    <t>Caley, P; Welvaert, M; Barry, SC</t>
  </si>
  <si>
    <t>Caley, Peter; Welvaert, Marijke; Barry, Simon C.</t>
  </si>
  <si>
    <t>Crowd surveillance: estimating citizen science reporting probabilities for insects of biosecurity concern Implications for plant biosecurity surveillance</t>
  </si>
  <si>
    <t>JOURNAL OF PEST SCIENCE</t>
  </si>
  <si>
    <t>Citizen surveillance; General surveillance; Citizen science; Pest; Biosecurity; Hemiptera; Coleoptera</t>
  </si>
  <si>
    <t>INFORMATION</t>
  </si>
  <si>
    <t>Data streams arising from citizen reporting activities continue to grow, yet the information content within these streams remains unclear, and methods for addressing the inherent reporting biases little developed. Here, we quantify the major influence of physical insect features (colour, size, morphology, pattern) on the propensity of citizens to upload photographic sightings to online portals, and hence to contribute to biosecurity surveillance. After correcting for species availability, we show that physical features and pestiness are major predictors of reporting probability. The more distinctive the visual features, the higher the reporting probabilities-potentially providing useful surveillance should the species be an unwanted exotic. Conversely, the reporting probability for many small, nondescript high priority pest species is unlikely to be sufficient to contribute meaningfully to biosecurity surveillance, unless they are causing major harm. The lack of citizen reporting of recent incursions of small, nondescript exotic pests supports the model. By examining the types of insects of concern, industries or environmental managers can assess to what extent they can rely on citizen reporting for their surveillance needs. The citrus industry, for example, probably cannot rely on passive unstructured citizen data streams for surveillance of the Asian citrus psyllid (Diaphorina citri). In contrast, the forestry industry may consider that citizen detection and reporting of species of the large and colourful insects such as pine sawyers (Monochamus spp.) may be sufficient for their needs. Incorporating citizen surveillance into the general surveillance framework is an area for further research.</t>
  </si>
  <si>
    <t>[Caley, Peter; Welvaert, Marijke; Barry, Simon C.] CSIRO Data61, GPO Box 1700, Canberra, ACT, Australia</t>
  </si>
  <si>
    <t>Commonwealth Scientific &amp; Industrial Research Organisation (CSIRO); CSIRO Data61</t>
  </si>
  <si>
    <t>Caley, P (corresponding author), CSIRO Data61, GPO Box 1700, Canberra, ACT, Australia.</t>
  </si>
  <si>
    <t>peter.caley@csiro.au</t>
  </si>
  <si>
    <t>Welvaert, Marijke/GOE-6151-2022; Caley, Peter/D-8638-2011</t>
  </si>
  <si>
    <t>Caley, Peter/0000-0002-8077-6460</t>
  </si>
  <si>
    <t>SPRINGER HEIDELBERG</t>
  </si>
  <si>
    <t>HEIDELBERG</t>
  </si>
  <si>
    <t>TIERGARTENSTRASSE 17, D-69121 HEIDELBERG, GERMANY</t>
  </si>
  <si>
    <t>1612-4758</t>
  </si>
  <si>
    <t>1612-4766</t>
  </si>
  <si>
    <t>J PEST SCI</t>
  </si>
  <si>
    <t>J. Pest Sci.</t>
  </si>
  <si>
    <t>JAN</t>
  </si>
  <si>
    <t>10.1007/s10340-019-01115-7</t>
  </si>
  <si>
    <t>KJ2HE</t>
  </si>
  <si>
    <t>WOS:000511878000044</t>
  </si>
  <si>
    <t>Tarter, KD; Levy, CE; Yaglom, HD; Adams, LE; Plante, L; Casal, MG; Gouge, DH; Rathman, R; Stokka, D; Weiss, J; Venkat, H; Walker, KR</t>
  </si>
  <si>
    <t>Tarter, Kara D.; Levy, Craig E.; Yaglom, Hayley D.; Adams, Laura E.; Plante, Lydia; Casal, Mariana G.; Gouge, Dawn H.; Rathman, Robin; Stokka, Dawn; Weiss, Joli; Venkat, Heather; Walker, Kathleen R.</t>
  </si>
  <si>
    <t>USING CITIZEN SCIENCE TO ENHANCE SURVEILLANCE OF AEDES AEGYPTI IN ARIZONA, 2015-17</t>
  </si>
  <si>
    <t>JOURNAL OF THE AMERICAN MOSQUITO CONTROL ASSOCIATION</t>
  </si>
  <si>
    <t>Aedes aegypti; citizen science; invasive species; public health; surveillance</t>
  </si>
  <si>
    <t>MOSQUITO</t>
  </si>
  <si>
    <t>Vector surveillance is an essential component of vector-borne disease prevention, but many communities lack resources to support extensive surveillance. The Great Arizona Mosquito Hunt (GAMH) was a collaborative citizen science project conducted during 2015-17 to enhance surveillance for Aedes aegypti in Arizona. Citizen science projects engage the public in scientific research in order to further scientific knowledge while improving community understanding of a specific field of science and the scientific process. Participating schools and youth organizations across the state conducted oviposition trapping for 1-4 wk during peak Ae. aegypti season in Arizona and returned the egg sheets to collaborating entomologists for identification. During the 3-year program, 120 different schools and youth organizations participated. Few participants actually collected Aedes eggs in their traps in 2015 or 2017, but about one-third of participants collected eggs during 2016, including 3 areas that were not previously reported to have Ae. aegypti. While relatively few new areas of Ae. aegypti activity were identified, GAMH was found to be a successful method of engaging citizen scientists. Future citizen science mosquito surveillance projects might be useful to further define the ecology and risk for vector-borne diseases in Arizona.</t>
  </si>
  <si>
    <t>[Tarter, Kara D.; Yaglom, Hayley D.; Adams, Laura E.; Plante, Lydia; Casal, Mariana G.; Weiss, Joli; Venkat, Heather] Arizona Dept Hlth Serv, Phoenix, AZ 85007 USA; [Levy, Craig E.; Stokka, Dawn] Maricopa Cty Dept Publ Hlth, Phoenix, AZ 85012 USA; [Adams, Laura E.; Venkat, Heather] Ctr Dis Control &amp; Prevent, Career Epidemiol Field Officer Program, Ctr Preparedness &amp; Response, Atlanta, GA 30333 USA; [Gouge, Dawn H.; Walker, Kathleen R.] Univ Arizona, Dept Entomol, Tucson, AZ 85721 USA; [Rathman, Robin] Vail Sch Dist, Vail, AZ 85641 USA</t>
  </si>
  <si>
    <t>Arizona Department of Health Services; Centers for Disease Control &amp; Prevention - USA; University of Arizona</t>
  </si>
  <si>
    <t>Walker, KR (corresponding author), Univ Arizona, Dept Entomol, Tucson, AZ 85721 USA.</t>
  </si>
  <si>
    <t>; Gouge, Dawn/MAI-5209-2025; Plante, Lydia/GVU-1687-2022</t>
  </si>
  <si>
    <t>Casal Singletary, Mariana/0000-0001-8937-2588; Walker, Kathleen R/0000-0003-1910-0055;</t>
  </si>
  <si>
    <t>Research Corporation for Science Advancement, AZ Partners in Science [23831]</t>
  </si>
  <si>
    <t>Research Corporation for Science Advancement, AZ Partners in Science</t>
  </si>
  <si>
    <t>This work was funded in part by Research Corporation for Science Advancement, AZ Partners in Science Supplemental (Grant ID No. 23831). The authors thank Andrew Strumpf and Ken Komatsu for their expertise in helping design this project and Daniel Williamson, Joshua Arnbrister, and Ben Beal for their evaluation of returned egg sheets. The authors also thank all the teachers and students who participated in the Great Arizona Mosquito Hunt and, without whom, the project would not have occurred. The findings and conclusions in this report are those of the authors and do not necessarily represent the official position of the Centers for Disease Control and Prevention.</t>
  </si>
  <si>
    <t>AMER MOSQUITO CONTROL ASSOC</t>
  </si>
  <si>
    <t>MOUNT LAUREL</t>
  </si>
  <si>
    <t>15000 COMMERCE PARKWAY, SUITE C, MOUNT LAUREL, NJ 08054 USA</t>
  </si>
  <si>
    <t>8756-971X</t>
  </si>
  <si>
    <t>1943-6270</t>
  </si>
  <si>
    <t>J AM MOSQUITO CONTR</t>
  </si>
  <si>
    <t>J. Am. Mosq. Control Assoc.</t>
  </si>
  <si>
    <t>10.2987/18-6789.1</t>
  </si>
  <si>
    <t>IJ1VJ</t>
  </si>
  <si>
    <t>WOS:000475686700002</t>
  </si>
  <si>
    <t>Garamszegi, LZ; Kurucz, K; Soltész, Z</t>
  </si>
  <si>
    <t>Garamszegi, Laszlo Zsolt; Kurucz, Kornelia; Soltesz, Zoltan</t>
  </si>
  <si>
    <t>Validating a surveillance program of invasive mosquitoes based on citizen science in Hungary</t>
  </si>
  <si>
    <t>alien species; bias; biological invasion; emerging infectious diseases; mobile application; urbanization; vector map</t>
  </si>
  <si>
    <t>CONSEQUENCES; SPREAD</t>
  </si>
  <si>
    <t>1. Climate change, intensified tourism and trade activity have resulted in several exotic mosquito species invading the temperate zone, with considerable ecological and economic consequences, as well as threats to human health, due to the pathogen-transmitting role of these organisms. Accordingly, three invasive mosquito species (Aedes albopictus, Ae. japonicus and Ae. koreicus) have been described in the last decade in Hungary, a Central European country. It is crucial to understand how invasive species are introduced and their distribution is expanded at the country-level, for which intense surveillance programs are needed.2. We have established a citizen science program, in which we asked the public to submit reports on their observations of invasive mosquitoes. During a 3-year campaign, we collected and taxonomically validated about 3000 reports that can be arranged along both temporal and spatial scales. We aggregated these observations into 35 km(2) quadrats and examined if these can be used for reliable scientific inferences.3. We first found that the number of validated reports in a quadrat depends on the underlying sampling effort (i.e. number of total reports), but this relationship varies among species and study years. Second, after controlling for study effort, we showed that the prevalence and presence/absence of invasive mosquitoes within quadrats are significantly repeatable among years, but this consistency varies in a species-specific way. Third, we demonstrated that conclusions about the local presence/absence of focal species based on citizen reports corroborate well the results of direct field sampling with conventional trapping protocols.4. Synthesis and applications: We suggest that if the reporting intensity is appropriate (i.e. the number of reports reaches a species-specific threshold), citizen science results can be used to derive biologically meaningful conclusions about the distribution of invasive mosquitoes in a country. Distribution maps of the three invasive species in Hungary can be used to identify ecological predictors that determine such spatial patterns and also to develop a mosquito control program and assess epidemiological risk.</t>
  </si>
  <si>
    <t>[Garamszegi, Laszlo Zsolt; Soltesz, Zoltan] Ctr Ecol Res, Inst Ecol &amp; Bot, Vacratot, Hungary; [Garamszegi, Laszlo Zsolt] Ctr Ecol Res, Natl Lab Hlth Secur, Budapest, Hungary; [Kurucz, Kornelia] Univ Pecs, Inst Biol, Fac Sci, Pecs, Hungary; [Kurucz, Kornelia] Univ Pecs, Szentagotha Res Ctr, Natl Lab Virol, Pecs, Hungary</t>
  </si>
  <si>
    <t>HUN-REN; HUN-REN Centre for Ecological Research; HUN-REN; HUN-REN Centre for Ecological Research; University of Pecs; University of Pecs</t>
  </si>
  <si>
    <t>Garamszegi, LZ (corresponding author), Ctr Ecol Res, Inst Ecol &amp; Bot, Vacratot, Hungary.</t>
  </si>
  <si>
    <t>garamszegi.laszlo@ecolres.hu</t>
  </si>
  <si>
    <t>; Garazegi, Laszlo Zsolt/M-1488-2015; Soltész, Zoltán/O-9736-2019</t>
  </si>
  <si>
    <t>Kurucz, Kornélia/0000-0001-6190-1265; Garazegi, Laszlo Zsolt/0000-0001-8920-2183;</t>
  </si>
  <si>
    <t>Hungary's National Research, Development and Innovation Office [K135841, KH-130379, FK-138563, PD-135143, RRF-2.3.1-21-2022-00006]; Janos Bolyai Research Scholarship of the Hungarian Academy of Sciences; New National Excellence Program of the Ministry of Innovation and Technology [UNKP-21-5-PTE-1350]</t>
  </si>
  <si>
    <t>Hungary's National Research, Development and Innovation Office; Janos Bolyai Research Scholarship of the Hungarian Academy of Sciences(Hungarian Academy of Sciences); New National Excellence Program of the Ministry of Innovation and Technology</t>
  </si>
  <si>
    <t>We are grateful to Gergely Nagy, Edina Toeroek and Bea Ujvarosi for helping in data collection and taxonomic validation, and to Zoltan Kenyeres, ATdam Szepesszentgyoergyi and Janos Sztikler, for providing mosquito trapping data for making comparisons at the spatial level. Akos Bede-Fazekas kindly helped with the aggregation of data. Two anonymous reviewers provided constructive comments. Authors were supported by funds from the Hungary's National Research, Development and Innovation Office (K135841, KH-130379, FK-138563, PD-135143, RRF-2.3.1-21-2022-00006). Kornelia Kurucz was supported by the Janos Bolyai Research Scholarship of the Hungarian Academy of Sciences and by the UNKP-21-5-PTE-1350 New National Excellence Program of the Ministry of Innovation and Technology.</t>
  </si>
  <si>
    <t>10.1111/1365-2664.14417</t>
  </si>
  <si>
    <t>MAY 2023</t>
  </si>
  <si>
    <t>M6SO6</t>
  </si>
  <si>
    <t>WOS:000988876400001</t>
  </si>
  <si>
    <t>Sousa, LB; Fricker, SR; Doherty, SS; Webb, CE; Baldock, KL; Williams, CR</t>
  </si>
  <si>
    <t>Sousa, Larissa Braz; Fricker, Stephen R.; Doherty, Seamus S.; Webb, Cameron E.; Baldock, Katherine L.; Williams, Craig R.</t>
  </si>
  <si>
    <t>Citizen science and smartphone e-entomology enables low-cost upscaling of mosquito surveillance</t>
  </si>
  <si>
    <t>Australia; Urban; Public health; Costing; Species diversity; Community</t>
  </si>
  <si>
    <t>DIPTERA-CULICIDAE; BORNE DISEASE; ADELAIDE</t>
  </si>
  <si>
    <t>Mosquito surveillance remains a cornerstone of pest and disease control operations globally but is strongly limited in scale by resources. The use of citizen science to upscale scientific data collection is commonplace, and mosquito surveillance programs have begun to make use of citizen scientists in several countries, particularly for exotic species detection. Here we report on a proof of concept trial in southern Australia for a citizen science mosquito surveillance program characterised by fixed point trapping with BG GAT devices and remote mosquito identification through emailed images, which we term `e-entomology. In a study with 126 participants, we detected mosquito seasonality with peak abundance in mid-summer (1.78 mosquitoes per trap per day), weather correlations (positive correlation with maximum temperature, r = 0.41) and a diversity of species (15 of 22 known species in the region) in a metropolitan setting. Whilst we demonstrated that the costs of a citizen science program is only about 20% of a comparable professional surveillance program, the mosquito community sampled by citizen scientists was biased towards container-inhabiting species, particularly Aedes notoscriptus. This is the first time fixed-point mosquito trapping has been combined with citizen science e-entomology to deliver comprehensive surveillance of urban mosquitoes. (C) 2019 Elsevier B.V. All rights reserved.</t>
  </si>
  <si>
    <t>[Sousa, Larissa Braz; Fricker, Stephen R.; Doherty, Seamus S.; Baldock, Katherine L.; Williams, Craig R.] Univ South Australia, Australian Ctr Precis Hlth, Adelaide, SA, Australia; [Webb, Cameron E.] Univ Sydney, Marie Bashir Inst Infect Dis &amp; Biosecur, Sydney, NSW 2000, Australia; [Webb, Cameron E.] Westmead Hosp, ICPMR, CNSW Hlth Pathol, Level 3, Westmead, NSW 2145, Australia</t>
  </si>
  <si>
    <t>Adelaide University; University of South Australia; University of Sydney; NSW Health; Westmead Hospital; University of Sydney</t>
  </si>
  <si>
    <t>Williams, CR (corresponding author), Univ South Australia, Australian Ctr Precis Hlth, Adelaide, SA, Australia.</t>
  </si>
  <si>
    <t>Braz Sousa, Larissa/GLT-8810-2022; Baldock, Katherine L/S-8151-2019; Fricker, Stephen/J-5157-2017; Willia, Craig/AAI-6228-2021</t>
  </si>
  <si>
    <t>Braz Sousa, Larissa/0000-0003-4330-4277; Baldock, Katherine L/0000-0003-3527-1057; Doherty, Seamus/0000-0002-1826-7569; Fricker, Stephen/0000-0001-9803-269X; Willia, Craig/0000-0002-4758-1506</t>
  </si>
  <si>
    <t>University of South Australia Advancement Services office; Western Australian Health Department; Australian Technology Network LATAM postgraduate scholarship</t>
  </si>
  <si>
    <t>We thank the 153 individual donors who contributed to the crowdfunding for this project, and the University of South Australia Advancement Services office for support (especially Cassie Saunders). Prof Tanya Monro (Deputy Vice Chancellor Research and Innovation) provided additional project funds. The Western Australian Health Department are thanked for funding, and Dr Peter Neville in particular for support with project conception. James Wakefield is warmly thanked for his assistance with Tableau. This study was conducted subject to approval from the University of South Australia Human Research Ethics Committee (approval no. 201551). LBS was supported by an Australian Technology Network LATAM postgraduate scholarship. We are especially indebted to the 126 citizen scientists who emailed in mosquito observations.</t>
  </si>
  <si>
    <t>FEB 20</t>
  </si>
  <si>
    <t>10.1016/j.scitotenv.2019.135349</t>
  </si>
  <si>
    <t>JY8QK</t>
  </si>
  <si>
    <t>WOS:000504672800023</t>
  </si>
  <si>
    <t>Craig, A; Panda, N; Palapu, R; Oku, G; Lifoia, C; Tatalu, J; Kelly, G; Beebe, N; Kama, N Jr; Iro'ofa, C; Bugoro, H</t>
  </si>
  <si>
    <t>Craig, Adam; Panda, Nixon; Palapu, Rudgard; Oku, Geoffrey; Lifoia, Clement; Tatalu, Joanna; Kelly, Gerard; Beebe, Nigel; kama, Nathan; Iro'ofa, Charlie; Bugoro, Hugo</t>
  </si>
  <si>
    <t>Citizen Science for Enhanced Dengue Vector Surveillance in Solomon Islands: A Methods Paper</t>
  </si>
  <si>
    <t>Citizen science; dengue; Aedes; arboviral diseases; infectious diseases; surveillance; entomology</t>
  </si>
  <si>
    <t>EPIDEMIC SURVEILLANCE</t>
  </si>
  <si>
    <t>Arthropod-borne arboviral diseases-including dengue, Zika, and chikungunya-place a substantial burden on the health of populations, globally. Dengue alone is endemic in more than 100 countries and causes more than 96 million symptomatic cases and approximately 40,000 deaths annually. The recent surge in arboviral disease outbreaks, coupled with the World Health Organization's newly published vector control guidelines, accentuates the imperative to understand the dispersion of disease-carrying mosquitoes across diverse spatial and temporal scales. However, traditional surveillance mechanisms often fall short because of workforce limitations, logistical complexities, jurisdictional boundaries, and budgetary constraints, especially in low-and low-middle-income countries. In this article, we systematically reportthe design, implementation, and iterative enhancement of a groundbreaking school-based citizen science initiative for augmenting mosquito surveillance in the Solomon Islands. Key reflections encompass the initiative's role in supporting routine government-led disease vector monitoring, sustainability through integration and fostering participant engagement, and the amalgamation of citizen-collected data with government surveillance activities. The article also discusses the impact of the citizen science initiative with regard to the Solomon Islands' pursuit of the Sustainable Development Goals. Our findings underscore the potential of citizen science methods to support and extend public health surveillance activities and to serve as a community-engagement-for-behaviour-change tool in resource-constrained contexts.</t>
  </si>
  <si>
    <t>[Craig, Adam] Univ Queensland, Ctr Clin Res, Brisbane, Australia; [Panda, Nixon; Palapu, Rudgard; Kelly, Gerard; Beebe, Nigel] Solomon Isl Natl Univ, Sch Publ Hlth, Honiara, Solomon Islands; [Tatalu, Joanna] Solomon Isl Red Cross, Honiara, Solomon Islands; [Kelly, Gerard] Univ Queensland, Sch Environm, Brisbane, Australia; [kama, Nathan; Iro'ofa, Charlie] Solomon Isl Minist Hlth &amp; Med Serv, Vector Borne Dis Control Program, Honiara, Solomon Islands; [Bugoro, Hugo] Solomon Isl Natl Univ, Off Res &amp; Postgrad Studies, Honiara, Solomon Islands</t>
  </si>
  <si>
    <t>University of Queensland; University of Queensland</t>
  </si>
  <si>
    <t>Craig, A (corresponding author), Univ Queensland, Ctr Clin Res, Brisbane, Australia.</t>
  </si>
  <si>
    <t>adam.craig@uq.edu.au</t>
  </si>
  <si>
    <t>Craig, Adam/KQV-2193-2024</t>
  </si>
  <si>
    <t>Craig, Adam/0000-0002-9287-8755; Panda, Nixon/0000-0002-4628-1659</t>
  </si>
  <si>
    <t>WHO/TDR [884822-0]</t>
  </si>
  <si>
    <t>WHO/TDR(World Health Organization)</t>
  </si>
  <si>
    <t>The pilot phase of the EMS program received funding from WHO/TDR (Reference 884822-0) . The Australian Government-supported PacMOSSI project continues to provide technical support for the implementation of the initiative.</t>
  </si>
  <si>
    <t>10.5334/cstp.679</t>
  </si>
  <si>
    <t>6ZV8L</t>
  </si>
  <si>
    <t>WOS:001565963600009</t>
  </si>
  <si>
    <t>Sgroi, G; D'Alessio, N; Vada, R; Ferroglio, E; Vicente, J; Veneziano, V</t>
  </si>
  <si>
    <t>Sgroi, Giovanni; D'Alessio, Nicola; Vada, Rachele; Ferroglio, Ezio; Vicente, Joaquin; Veneziano, Vincenzo</t>
  </si>
  <si>
    <t>The contribution of citizen science in the surveillance of wildlife and related arthropods</t>
  </si>
  <si>
    <t>PARASITOLOGY</t>
  </si>
  <si>
    <t>arthropod; census; citizen science; parasite; vector-borne pathogens; wildlife</t>
  </si>
  <si>
    <t>WHITE-TAILED DEER; DISEASE; CONFLICT; IXODIDAE</t>
  </si>
  <si>
    <t>Environmental and anthropogenic factors may significantly affect the diffusion of wild animals, enhancing the interface of human-wildlife interactions and driving the spread of pathogens and vector-borne diseases between animals and humans. However, in the last decade, the involvement of citizens in scientific research (the so-called citizen science approach, henceforth abbreviated as CS) provided a network of large-scale and cost-effective surveillance programmes of wildlife populations and their related arthropod species. Therefore, this review aims to illustrate different methods and tools used in CS studies, by arguing the main advantages and considering the limitations of this approach. The CS approach has proven to be an effective method for establishing density and distribution of several wild animal species, in urban, peri-urban and rural environments, as well a source of information regarding vector-host associations between arthropods and wildlife. Extensive efforts are recommended to motivate citizens to be involved in scientific projects to improve both their and our knowledge of the ecology and diseases of wildlife. Following the One Health paradigm, collaborative and multidisciplinary models for the surveillance of wildlife and related arthropod species should be further developed by harnessing the potentiality of the CS approach.</t>
  </si>
  <si>
    <t>[Sgroi, Giovanni; D'Alessio, Nicola] Expt Zooprophylact Inst Southern Italy, Dept Anim Hlth, Portici, Italy; [D'Alessio, Nicola; Veneziano, Vincenzo] Osservatorio Faunist Venatorio, Naples, Italy; [Vada, Rachele; Ferroglio, Ezio] Univ Turin, Dept Vet Sci, Turin, Italy; [Vicente, Joaquin] Univ Castilla La Mancha, Inst Invest Recursos Cineget, Ciudad Real, Spain; [Veneziano, Vincenzo] Univ Naples Federico II, Dept Vet Med &amp; Anim Prod, Naples, Italy</t>
  </si>
  <si>
    <t>University of Turin; Consejo Superior de Investigaciones Cientificas (CSIC); CSIC - Instituto de Investigacion en Recursos Cinegeticos (IREC); Universidad de Castilla-La Mancha; University of Naples Federico II</t>
  </si>
  <si>
    <t>Sgroi, G (corresponding author), Expt Zooprophylact Inst Southern Italy, Dept Anim Hlth, Portici, Italy.</t>
  </si>
  <si>
    <t>giovanni.sgroi@izsmportici.it</t>
  </si>
  <si>
    <t>Vicente, Joaquin/K-7822-2013; VENEZIANO, Vincenzo/ABC-5774-2020; Sgroi, Giovanni/KEI-1509-2024</t>
  </si>
  <si>
    <t>Vicente, Joaquin/0000-0001-8416-3672; D'Alessio, Nicola/0000-0001-6266-998X; VENEZIANO, Vincenzo/0000-0003-2496-4034; Sgroi, Giovanni/0000-0002-5809-448X</t>
  </si>
  <si>
    <t>0031-1820</t>
  </si>
  <si>
    <t>1469-8161</t>
  </si>
  <si>
    <t>Parasitology</t>
  </si>
  <si>
    <t>10.1017/S0031182023001038</t>
  </si>
  <si>
    <t>NOV 2023</t>
  </si>
  <si>
    <t>DB2A9</t>
  </si>
  <si>
    <t>WOS:001109062400001</t>
  </si>
  <si>
    <t>Branchini, S; Meschini, M; Covi, C; Piccinetti, C; Zaccanti, F; Goffredo, S</t>
  </si>
  <si>
    <t>Branchini, Simone; Meschini, Marta; Covi, Claudia; Piccinetti, Corrado; Zaccanti, Francesco; Goffredo, Stefano</t>
  </si>
  <si>
    <t>Participating in a Citizen Science Monitoring Program: Implications for Environmental Education</t>
  </si>
  <si>
    <t>PLOS ONE</t>
  </si>
  <si>
    <t>EGYPTIAN RED-SEA; CORAL-REEFS; COASTAL TOURISM; DIVING IMPACTS; SCUBA-DIVERS; MANAGEMENT; BRIEFINGS; DAMAGE; FORCE; AREAS</t>
  </si>
  <si>
    <t>Tourism is of growing economical importance to many nations, in particular for developing countries. Although tourism is an important economic vehicle for the host country, its continued growth has led to on-going concerns about its environmental sustainability. Coastal and marine tourism can directly affect the environment through direct and indirect tourist activities. For these reasons tourism sector needs practical actions of sustainability. Several studies have shown how education minimizes the impact on and is proactive for, preserving the natural resources. This paper evaluates the effectiveness of a citizen science program to improve the environmental education of the volunteers, by means of questionnaires provided to participants to a volunteer-based Red Sea coral reef monitoring program (STEproject). Fifteen multiple-choice questions evaluated the level of knowledge on the basic coral reef biology and ecology and the awareness on the impact of human behaviour on the environment. Volunteers filled in questionnaires twice, once at the beginning, before being involved in the project and again at the end of their stay, after several days participation in the program. We found that the participation in STEproject significantly increased both the knowledge of coral reef biology and ecology and the awareness of human behavioural impacts on the environment, but was more effective on the former. We also detected that tourists with a higher education level have a higher initial level of environmental education than less educated people and that the project was more effective on divers than snorkelers. This study has emphasized that citizen science projects have an important and effective educational value and has suggested that tourism and diving stakeholders should increase their commitment and efforts to these programs</t>
  </si>
  <si>
    <t>[Branchini, Simone; Meschini, Marta; Covi, Claudia; Zaccanti, Francesco; Goffredo, Stefano] Univ Bologna, Biol Sect, Dept Biol Geol &amp; Environm Sci, Marine Sci Grp,Citizen Sci Lab, I-40126 Bologna, Italy; [Piccinetti, Corrado] Univ Bologna, Lab Fisheries &amp; Marine Biol Fano, I-61032 Fano, PU, Italy</t>
  </si>
  <si>
    <t>University of Bologna; University of Bologna</t>
  </si>
  <si>
    <t>Goffredo, S (corresponding author), Univ Bologna, Biol Sect, Dept Biol Geol &amp; Environm Sci, Marine Sci Grp,Citizen Sci Lab, Via F Selmi 3, I-40126 Bologna, Italy.</t>
  </si>
  <si>
    <t>s.goffredo@unibo.it</t>
  </si>
  <si>
    <t>; Meschini, Marta/AAM-3264-2020</t>
  </si>
  <si>
    <t>BRANCHINI, SIMONE/0000-0001-6374-8161; Meschini, Marta/0000-0001-6575-6384; goffredo, stefano/0000-0002-5022-9503</t>
  </si>
  <si>
    <t>Italian Government (Ministry of the Education, University and Research); Egyptian Government (Ministry of Tourism of the Arab Republic of Egypt, Egyptian Tourist Authority); tour operator Settemari; diving agency SNSI, Scuba Nitrox Safety International; diving centers Viaggio nel Blu; Project Aware Foundation</t>
  </si>
  <si>
    <t>STE: Scuba Tourism for the Environment was funded by the Italian Government (Ministry of the Education, University and Research; www.istruzione.it), the Egyptian Government (Ministry of Tourism of the Arab Republic of Egypt, Egyptian Tourist Authority; www.egypt.travel), the tour operator Settemari (www.settemari.it), the diving agency SNSI, Scuba Nitrox Safety International (www.scubasnsi.com), the diving centers Viaggio nel Blu (www.viaggionelblu.org) and the Project Aware Foundation (www.projectaware.org). In-kind support was provided by the airline Neos (www.neosair.it), the diving center Holiday Service (www.holidaydiving.org), the diving agency SSI, Scuba School International (www.divessi.com) and the association Underwater Life Project (www.underwaterlifeproject.it). The project has also had the patronage of the Ministry of the Environment and Land and Sea Protection (www.minambiente.it) and of the ASTOI (Association of Italian Tour Operators; www.astoi.com). The funders had no role in study design, data collection and analysis, decision to publish, or preparation of the manuscript.</t>
  </si>
  <si>
    <t>PUBLIC LIBRARY SCIENCE</t>
  </si>
  <si>
    <t>SAN FRANCISCO</t>
  </si>
  <si>
    <t>1160 BATTERY STREET, STE 100, SAN FRANCISCO, CA 94111 USA</t>
  </si>
  <si>
    <t>1932-6203</t>
  </si>
  <si>
    <t>PLoS One</t>
  </si>
  <si>
    <t>JUL 22</t>
  </si>
  <si>
    <t>e0131812</t>
  </si>
  <si>
    <t>10.1371/journal.pone.0131812</t>
  </si>
  <si>
    <t>CN7EO</t>
  </si>
  <si>
    <t>WOS:000358597100020</t>
  </si>
  <si>
    <t>Golumbic, YN; Fishbain, B; Baram-Tsabari, A</t>
  </si>
  <si>
    <t>Golumbic, Yaela N.; Fishbain, Barak; Baram-Tsabari, Ayelet</t>
  </si>
  <si>
    <t>User centered design of a citizen science air-quality monitoring project</t>
  </si>
  <si>
    <t>INTERNATIONAL JOURNAL OF SCIENCE EDUCATION PART B-COMMUNICATION AND PUBLIC ENGAGEMENT</t>
  </si>
  <si>
    <t>User centered design; citizen science; public engagement with science; air quality</t>
  </si>
  <si>
    <t>PARTICIPATORY DESIGN; IMPACT; TECHNOLOGY; SCIENTISTS; STATE; TOOL</t>
  </si>
  <si>
    <t>Technological developments, social networking and the emergence of sensory micro-computation platforms have facilitated the recent growth of citizen science-public participation in scientific research. Citizen science provides lay audiences platforms for data collection and classification alongside access to large scientific databases. Although these platforms are intended for non-experts, they are often designed by scientists, who may not fully appreciate their importance. This may result in platforms that are incompatible with users' needs and thus underused . This article describes the use of Human Computer Interactions (HCI) in a citizen science project for monitoring air-quality in the local environment. Using interviews, focus groups, questionnaires and log data from the project website (n = 138), in a three-phase iterative process, we identified public requirments from an online data presentation platform. The findings suggest participants were interested in real time, local, easy to understand information, which is practical, ready-to-use and presented in the context. These insights were implemented in the design of a new platform, constructed as a simple three-layer information display with representations of air-quality standards and practical recommendations. We examine participants' use of the platform and discuss motivations and impediments to participation in the future design of citizen science projects for enhancing public engagement in science.</t>
  </si>
  <si>
    <t>[Golumbic, Yaela N.; Baram-Tsabari, Ayelet] Technion Israel Inst Technol, Fac Educ Sci &amp; Technol, Haifa, Israel; [Golumbic, Yaela N.; Fishbain, Barak] Technion Israel Inst Technol, Fac Civil &amp; Environm Engn, Haifa, Israel</t>
  </si>
  <si>
    <t>Technion Israel Institute of Technology; Technion Israel Institute of Technology</t>
  </si>
  <si>
    <t>Golumbic, YN (corresponding author), Technion Israel Inst Technol, Fac Educ Sci &amp; Technol, Haifa, Israel.;Golumbic, YN (corresponding author), Technion Israel Inst Technol, Fac Civil &amp; Environm Engn, Haifa, Israel.</t>
  </si>
  <si>
    <t>yaelago@technion.ac.il</t>
  </si>
  <si>
    <t>; Golumbic, Yaela/GYD-3906-2022; Fishbain, Barak/N-1787-2018</t>
  </si>
  <si>
    <t>Baram-Tsabari, Ayelet/0000-0002-8123-5519; Golumbic, Yaela/0000-0002-8523-5153; Fishbain, Barak/0000-0003-4211-7445</t>
  </si>
  <si>
    <t>CITI-SENSE of the EU FP7-ENV-2012 [308524]; I-CORE Program of the Planning and Budgeting Committee; Israel Science Foundation [1716/12]</t>
  </si>
  <si>
    <t>CITI-SENSE of the EU FP7-ENV-2012(European Union (EU)Marie Curie Actions); I-CORE Program of the Planning and Budgeting Committee; Israel Science Foundation(Israel Science Foundation)</t>
  </si>
  <si>
    <t>This research was supported by CITI-SENSE under grant agreement no. 308524 of the EU FP7-ENV-2012 and by the I-CORE Program of the Planning and Budgeting Committee and the Israel Science Foundation (1716/12).</t>
  </si>
  <si>
    <t>ROUTLEDGE JOURNALS, TAYLOR &amp; FRANCIS LTD</t>
  </si>
  <si>
    <t>ABINGDON</t>
  </si>
  <si>
    <t>2-4 PARK SQUARE, MILTON PARK, ABINGDON OX14 4RN, OXON, ENGLAND</t>
  </si>
  <si>
    <t>2154-8455</t>
  </si>
  <si>
    <t>2154-8463</t>
  </si>
  <si>
    <t>INT J SCI EDUC PART</t>
  </si>
  <si>
    <t>Int. J. Sci. Educ. Part B-Commun. Public Engagem.</t>
  </si>
  <si>
    <t>JUL 3</t>
  </si>
  <si>
    <t>10.1080/21548455.2019.1597314</t>
  </si>
  <si>
    <t>MAR 2019</t>
  </si>
  <si>
    <t>Education &amp; Educational Research</t>
  </si>
  <si>
    <t>IR9XD</t>
  </si>
  <si>
    <t>WOS:000465695300001</t>
  </si>
  <si>
    <t>Yu, BZ; Huang, XQ; Sharif, MZ; Di, NY; Liu, FL</t>
  </si>
  <si>
    <t>Yu, Baizhong; Huang, Xinqiu; Sharif, Muhammad Zahid; Di, Nayan; Liu, Fanglin</t>
  </si>
  <si>
    <t>A citizen science platform to sample beehive sounds for monitoring ANSP</t>
  </si>
  <si>
    <t>JOURNAL OF ENVIRONMENTAL MANAGEMENT</t>
  </si>
  <si>
    <t>Beehive sound; Citizen science; Agricultural nonpoint source pollution; Machine learning</t>
  </si>
  <si>
    <t>POLLUTION; HONEYBEES; HEALTH</t>
  </si>
  <si>
    <t>Honey bees usually produce particular sound when they are exposed to air pollution. Based on this principle, we create a citizen science platform to monitor Agricultural Nonpoint Source Pollution (ANSP) based on beehive sounds. Here we show the basic functions of the platform, and illustrate its workflow: sampling and uploading data by beekeepers, automated detection of target compounds from beehive sound recordings, and the outcome of which can be analysed with respect to the motivating management objective. With such a comprehensive platform for moving from raw data collection to analysis, ANSP monitoring programs will be greatly improved in to systematically characterize ecological processes and inform management decisions. Future endeavors will concentrate on fostering collaboration between public participants and scientists to facilitate automated detection of target compounds.</t>
  </si>
  <si>
    <t>[Yu, Baizhong; Sharif, Muhammad Zahid; Di, Nayan; Liu, Fanglin] Chinese Acad Sci, Anhui Inst Opt &amp; Fine Mech, Hefei Inst Phys Sci, Hefei 230031, Peoples R China; [Yu, Baizhong; Sharif, Muhammad Zahid; Di, Nayan; Liu, Fanglin] Univ Sci &amp; Technol China, Hefei 230027, Peoples R China; [Huang, Xinqiu] Yunnan Acad Agr Sci, Sericulture &amp; Apiculture Res Inst, Mengzi 661100, Peoples R China</t>
  </si>
  <si>
    <t>Chinese Academy of Sciences; Hefei Institutes of Physical Science, CAS; Anhui Institute of Optics &amp; Fine Mechanics (AIOFM), CAS; Chinese Academy of Sciences; University of Science &amp; Technology of China, CAS; Yunnan Academy of Agricultural Sciences</t>
  </si>
  <si>
    <t>Liu, FL (corresponding author), Chinese Acad Sci, 350 Shushanhu, Hefei 230031, Anhui, Peoples R China.</t>
  </si>
  <si>
    <t>flliu@ipp.ac.cn</t>
  </si>
  <si>
    <t>; Sharif, Muhammad Zahid/AAX-1491-2021; Huang, Xinqiu/MNO-5008-2025; Baizhong, Yu/OPN-9194-2025</t>
  </si>
  <si>
    <t>Yu, Baizhong/0000-0003-4234-949X; Sharif, Muhammad Zahid/0000-0002-8980-8713; Huang, Xinqiu/0000-0002-9360-5409; Di, Nayan/0000-0002-0403-2021;</t>
  </si>
  <si>
    <t>Anhui Institute of Optics and Fine Mechanics, Hefei Institutes of Physical Science, the Chinese Academy of Sciences</t>
  </si>
  <si>
    <t>This work was financially supported by the Anhui Institute of Optics and Fine Mechanics, Hefei Institutes of Physical Science, the Chinese Academy of Sciences.</t>
  </si>
  <si>
    <t>ACADEMIC PRESS LTD- ELSEVIER SCIENCE LTD</t>
  </si>
  <si>
    <t>24-28 OVAL RD, LONDON NW1 7DX, ENGLAND</t>
  </si>
  <si>
    <t>0301-4797</t>
  </si>
  <si>
    <t>1095-8630</t>
  </si>
  <si>
    <t>J ENVIRON MANAGE</t>
  </si>
  <si>
    <t>J. Environ. Manage.</t>
  </si>
  <si>
    <t>10.1016/j.jenvman.2025.124247</t>
  </si>
  <si>
    <t>JAN 2025</t>
  </si>
  <si>
    <t>U5M5O</t>
  </si>
  <si>
    <t>WOS:001412234300001</t>
  </si>
  <si>
    <t>Vukelic, M; Mancini, F; Vukelic, D; Carere, C</t>
  </si>
  <si>
    <t>Vukelic, Milos; Mancini, Francesca; Vukelic, Djordje; Carere, Claudio</t>
  </si>
  <si>
    <t>A cetacean monitoring system that integrates citizen science and satellite imagery</t>
  </si>
  <si>
    <t>RENDICONTI LINCEI-SCIENZE FISICHE E NATURALI</t>
  </si>
  <si>
    <t>Citizen science; Cetaceans; Monitoring; Satellite monitoring; Machine learning; Conservation; Validation</t>
  </si>
  <si>
    <t>DISTURBANCE</t>
  </si>
  <si>
    <t>Various methods have been adopted for monitoring marine megafauna and cetaceans in particular. Most of them rely on direct observation and have strong limitations: they are expensive and time-consuming; they allow monitoring only at small spatial and temporal scales; they require specialised technical staff. Satellite imagery to detect and count marine mammals from the space has become feasible. In the last years, the spectral, spatial and temporal accuracy of very high resolution satellites have improved, allowing to conduct censuses and to produce valid population estimates for some species. With the appearance of Web 2.0, ubiquitous computing and the related technological advancements, the different networks enable the general public to contribute, disseminate and exchange information. The use of data collected by citizen science projects is now ubiquitous, but still presents some challenges that need to be addressed. A major issue is that data collected by the public must be validated. We present a model for real-time monitoring of cetaceans by combining the citizen science and satellite image processing with the main link defined as location-time.</t>
  </si>
  <si>
    <t>[Vukelic, Milos] Singidunum Univ, Contemporary Informat Technol, Belgrade, Serbia; [Mancini, Francesca] Univ Aberdeen, Sch Biol Sci, Aberdeen, Scotland; [Vukelic, Djordje] iPro Solut Ltd, Dept Software Dev, Valletta, Malta; [Carere, Claudio] Univ Tuscia, Ichthyogen Expt Marine Ctr CISMAR, Dept Ecol &amp; Biol Sci, Viterbo, VT, Italy</t>
  </si>
  <si>
    <t>University of Aberdeen; Tuscia University</t>
  </si>
  <si>
    <t>Carere, C (corresponding author), Univ Tuscia, Ichthyogen Expt Marine Ctr CISMAR, Dept Ecol &amp; Biol Sci, Viterbo, VT, Italy.</t>
  </si>
  <si>
    <t>claudiocarere@unitus.it</t>
  </si>
  <si>
    <t>Mancini, Francesca/F-3443-2019; Vukelic, Djordje/A-6832-2010; Carere, Claudio/AAC-7830-2020</t>
  </si>
  <si>
    <t>Mancini, Francesca/0000-0003-4085-4978; Vukelic, Djordje/0000-0003-2420-6778; Carere, Claudio/0000-0003-1644-2113</t>
  </si>
  <si>
    <t>SPRINGER-VERLAG ITALIA SRL</t>
  </si>
  <si>
    <t>MILAN</t>
  </si>
  <si>
    <t>VIA DECEMBRIO, 28, MILAN, 20137, ITALY</t>
  </si>
  <si>
    <t>2037-4631</t>
  </si>
  <si>
    <t>1720-0776</t>
  </si>
  <si>
    <t>REND LINCEI-SCI FIS</t>
  </si>
  <si>
    <t>Rend. Lincei.-Sci. Fis. Nat.</t>
  </si>
  <si>
    <t>10.1007/s12210-017-0657-4</t>
  </si>
  <si>
    <t>FY8KH</t>
  </si>
  <si>
    <t>WOS:000427112700006</t>
  </si>
  <si>
    <t>Maillard, O; Michme, G; Azurduy, H; Vides-Almonacid, R</t>
  </si>
  <si>
    <t>Maillard, Oswaldo; Michme, Gilka; Azurduy, Huascar; Vides-Almonacid, Roberto</t>
  </si>
  <si>
    <t>Citizen Science for Environmental Monitoring in the Eastern Region of Bolivia</t>
  </si>
  <si>
    <t>SUSTAINABILITY</t>
  </si>
  <si>
    <t>deforestation; wildfires; water resources; biodiversity; protected areas</t>
  </si>
  <si>
    <t>The eastern region of Bolivia is of high conservation interest due to the presence of the Chiquitano Dry Forest, Dry Chaco, Pantanal and Cerrado ecoregions. However, this region is under high pressure from various anthropogenic threats, which requires continuous monitoring. An alternative for this monitoring is the use of mobile applications designed under the concept of citizen science, in which local stakeholders are part of the process of obtaining information and finding solutions to environmental problems in their territories. The main objective of this study was to evaluate the information obtained during environmental monitoring with a citizen science approach in the eastern region of Bolivia. We developed a public electronic form for the ArcGIS Survey123 mobile application to capture spatial data of nine thematic variables. Between 2021 and 2023, we conducted 16 training courses in 12 population centers, with attendees from 98 communities in 6 municipalities in the region. A total of 360 volunteers from different sectors participated in the training, including technicians from public and private institutions, park rangers, community representatives and citizens. We obtained a total of 379 records, of which 70.4% were recorded near communities and the rest within protected areas. The results were reclassified and grouped into three clusters: human activities, water resources and biodiversity. In the human activities cluster, the categories with the highest number of records were wildfires and deforestation. In the water resources cluster, the categories with the most records were cattle waterholes and streams, but one of the most notable records was the reduction of wetlands in a sector of the Bolivian Pantanal. In the biodiversity cluster, the main reports were for mammals, and among the most notable records obtained were the footprints of the jaguar (Panthera onca). This monitoring tool made it possible to generate and use high-quality information in different sites in the eastern region in almost real time, which could help strengthen the interactions and relationship with users in environmental dialogue and governance processes.</t>
  </si>
  <si>
    <t>[Maillard, Oswaldo; Michme, Gilka; Azurduy, Huascar; Vides-Almonacid, Roberto] Fdn Conservac Bosque Chiquitano FCBC, Av Iber Calle 6 Oeste 95, Santa Cruz, Bolivia</t>
  </si>
  <si>
    <t>Maillard, O (corresponding author), Fdn Conservac Bosque Chiquitano FCBC, Av Iber Calle 6 Oeste 95, Santa Cruz, Bolivia.</t>
  </si>
  <si>
    <t>omaillard@fcbc.org.bo; hazurduy@fcbc.org.bo; robertovides@fcbc.org.bo</t>
  </si>
  <si>
    <t>Maillard, Oswaldo/KBC-7978-2024</t>
  </si>
  <si>
    <t>Maillard, Oswaldo/0000-0002-8833-2004</t>
  </si>
  <si>
    <t>Swiss Embassy in Bolivia; Solidar Switzerland; European Union; Bolivia Watch project; Agua Sustentable; Swedish International Development Cooperation Agency (SIDA); Knowledge Bases for Restoration project - Government of Canada; Government of Canada</t>
  </si>
  <si>
    <t>Swiss Embassy in Bolivia; Solidar Switzerland; European Union(European Union (EU)); Bolivia Watch project; Agua Sustentable; Swedish International Development Cooperation Agency (SIDA)(Norwegian Agency for Development Cooperation - NORAD); Knowledge Bases for Restoration project - Government of Canada; Government of Canada(CGIAR)</t>
  </si>
  <si>
    <t>We would like to extend special thanks to the Swiss Embassy in Bolivia and Solidar Switzerland for their financial support for the development of the mobile application within the framework of the Dialogue and Collaborative Support (DAC) project. The training for the use of Ecodatos was conducted during the ECCOS (Ecorregiones Conectadas Conservadas Sostenibles) project funded by the European Union, the Bolivia Watch project coordinated by the Stockholm Environment Institute (SEI) and Agua Sustentable with funding from the Swedish International Development Cooperation Agency (SIDA) and the Knowledge Bases for Restoration project funded by the Government of Canada and coordinated by the Fundacion para la Conservacion del Bosque Chiquitano (Foundation for the Conservation of the Chiquitano Forest). Also, the publication of the research has been made possible thanks to the financial support of the Government of Canada.</t>
  </si>
  <si>
    <t>2071-1050</t>
  </si>
  <si>
    <t>SUSTAINABILITY-BASEL</t>
  </si>
  <si>
    <t>Sustainability</t>
  </si>
  <si>
    <t>10.3390/su16062333</t>
  </si>
  <si>
    <t>MI1L0</t>
  </si>
  <si>
    <t>WOS:001192901100001</t>
  </si>
  <si>
    <t>Kelling, S; Johnston, A; Bonn, A; Fink, D; Ruiz-Gutierrez, V; Bonney, R; Fernandez, M; Hochachka, WM; Julliard, R; Kraemer, R; Guralnick, R</t>
  </si>
  <si>
    <t>Kelling, Steve; Johnston, Alison; Bonn, Aletta; Fink, Daniel; Ruiz-Gutierrez, Viviana; Bonney, Rick; Fernandez, Miguel; Hochachka, Wesley M.; Julliard, Romain; Kraemer, Roland; Guralnick, Robert</t>
  </si>
  <si>
    <t>Using Semistructured Surveys to Improve Citizen Science Data for Monitoring Biodiversity</t>
  </si>
  <si>
    <t>citizen science; biodiversity monitoring; species distributions; citizen; science survey design</t>
  </si>
  <si>
    <t>MODELS; CONSERVATION; EBIRD; BIAS</t>
  </si>
  <si>
    <t>Biodiversity is being lost at an unprecedented rate, and monitoring is crucial for understanding the causal drivers and assessing solutions. Most biodiversity monitoring data are collected by volunteers through citizen science projects, and often crucial information is lacking to account for the inevitable biases that observers introduce during data collection. We contend that citizen science projects intended to support biodiversity monitoring must gather information about the observation process as well as species occurrence. We illustrate this using eBird, a global citizen science project that collects information on bird occurrences as well as vital contextual information on the observation process while maintaining broad participation. Our fundamental argument is that regardless of what species are being monitored, when citizen science projects collect a small set of basic information about how participants make their observations, the scientific value of the data collected will be dramatically improved.</t>
  </si>
  <si>
    <t>[Kelling, Steve; Fink, Daniel; Ruiz-Gutierrez, Viviana; Bonney, Rick; Hochachka, Wesley M.] Cornell Univ, Cornell Lab Ornithol, Ithaca, NY 14850 USA; [Johnston, Alison] Univ Cambridge, Cornell Lab Ornithol, Cambridge, England; [Johnston, Alison] Univ Cambridge, Dept Zool, Cambridge, England; [Bonn, Aletta] UFZ Helmholtz Ctr Environm Res, Dept Ecosyst Serv, Leipzig, Germany; [Bonn, Aletta] Friedrich Schiller Univ Jena, Inst Biodivers, Jena, Germany; [Bonn, Aletta; Fernandez, Miguel; Kraemer, Roland] German Ctr Integrat Biodivers Res iDiv, Leipzig, Germany; [Fernandez, Miguel] NatureServe, Arlington, VA USA; [Fernandez, Miguel] George Mason Univ, Environm Sci &amp; Policy Dept, Fairfax, VA 22030 USA; [Julliard, Romain] Sorbonne Univ, Museum Natl Hist Nat, CNRS, Ctr Ecol &amp; Conservat Sci UMR CESCO, Paris, France; [Kraemer, Roland] UFZ Helmholtz Ctr Environm Res, Leipzig, Germany; [Kraemer, Roland] Humboldt Univ, Inst Geog, Berlin, Germany; [Guralnick, Robert] Florida Museum Nat Hist, Dept Nat Hist, Gainesville, FL USA; [Guralnick, Robert] Univ Florida, Biodivers &amp; Genet Inst, Gainesville, FL USA</t>
  </si>
  <si>
    <t>Cornell University; University of Cambridge; University of Cambridge; Helmholtz Association; Helmholtz Center for Environmental Research (UFZ); Friedrich Schiller University of Jena; German Research Foundation (DFG); German Centre for Integrative Biodiversity Research (iDiv); Nature Conservancy; George Mason University; Museum National d'Histoire Naturelle (MNHN); Sorbonne Universite; Centre National de la Recherche Scientifique (CNRS); Helmholtz Association; Helmholtz Center for Environmental Research (UFZ); Humboldt University of Berlin; State University System of Florida; University of Florida</t>
  </si>
  <si>
    <t>Kelling, S (corresponding author), Cornell Univ, Cornell Lab Ornithol, Ithaca, NY 14850 USA.</t>
  </si>
  <si>
    <t>stk2@cornell.edu</t>
  </si>
  <si>
    <t>Bonney, Rick/HHS-0679-2022; Bonn, Aletta/A-2164-2013; Hochachka, Wesley/J-9768-2012; Kraemer, Roland/D-5369-2015; Johnston, Alison/N-4820-2016</t>
  </si>
  <si>
    <t>Bonn, Aletta/0000-0002-8345-4600; Hochachka, Wesley/0000-0002-0595-7827; Kraemer, Roland/0000-0001-7115-833X; Johnston, Alison/0000-0001-8221-013X; Fernandez, Miguel/0000-0002-8301-1340</t>
  </si>
  <si>
    <t>Synthesis Centre of the German Centre for Integrative Biodiversity Research (iDiv) Halle-Jena-Leipzig - German Research Foundation [FZT 118]; Wolf Creek Foundation; Leon Levy Foundation; Packard Foundation; National Science Foundation [ITR-0427914, DBI-0542868, IIS-0612031, ABI-1356308, IIS-0920869, CISE-0832782, ABI-1262600, ABI-1458527]</t>
  </si>
  <si>
    <t>Synthesis Centre of the German Centre for Integrative Biodiversity Research (iDiv) Halle-Jena-Leipzig - German Research Foundation; Wolf Creek Foundation; Leon Levy Foundation; Packard Foundation(The David &amp; Lucile Packard Foundation); National Science Foundation(National Science Foundation (NSF))</t>
  </si>
  <si>
    <t>This work has its origin in a Future Earth supported meeting 6-10 March 2016 at Monte Verita, Switzerland entitled Global Biodiversity Assessment and Monitoring-Science, Data and Infrastructure Needs for IPBES and Beyond. A follow-up meeting was supported by the Synthesis Centre of the German Centre for Integrative Biodiversity Research (iDiv) Halle-Jena-Leipzig, funded by the German Research Foundation (FZT 118). Additional funding for this work came from the Wolf Creek Foundation, The Leon Levy Foundation, The Packard Foundation, and the National Science Foundation (grants no. ITR-0427914, no. DBI-0542868, no. IIS-0612031, and no. ABI-1356308 to S. Kelling; no. IIS-0920869 to D. Fink; no. CISE-0832782, no. ABI-1262600, and no. ABI-1458527 to R. Guralnick). We thank Matt Strimas-Mackey and Will Morris for assistance with the figures. We thank Brian Sullivan and three anonymous reviewers whose comments improved the manuscript.</t>
  </si>
  <si>
    <t>10.1093/biosci/biz010</t>
  </si>
  <si>
    <t>HQ7QJ</t>
  </si>
  <si>
    <t>WOS:000462615500005</t>
  </si>
  <si>
    <t>Baalbaki, R; Ahmad, SH; Kays, W; Talhouk, SN; Saliba, NA; Al-Hindi, M</t>
  </si>
  <si>
    <t>Baalbaki, Rima; Ahmad, Serine Haidar; Kays, Wassim; Talhouk, Salma N.; Saliba, Najat A.; Al-Hindi, Mahmoud</t>
  </si>
  <si>
    <t>Citizen science in Lebanona - a case study for groundwater quality monitoring</t>
  </si>
  <si>
    <t>ROYAL SOCIETY OPEN SCIENCE</t>
  </si>
  <si>
    <t>citizen science; water quality; total coliforms; community-based monitoring</t>
  </si>
  <si>
    <t>WATER-QUALITY; MANAGEMENT</t>
  </si>
  <si>
    <t>Over the past decade, several citizen science projects have been launched, with a smaller subset addressing citizen scientists' involvement in water quality monitoring. Most of these projects were conducted in developed countries and focused on qualitative assessment and measurements of a limited number of water quality parameters. Moreover, data generated by citizen scientists were mainly for monitoring purposes and rarely resulted in remedial measures. In this work, a collaborative citizen science approach involving local citizens and university researchers was applied to assess the groundwater quality in a Lebanese village. Using a mobile laboratory, winter and summer sampling campaigns were conducted and 12 physical, chemical and biological water quality parameters were tested. Results indicated that the data generated by the citizen scientists were comparable with those generated by university researchers for the majority of physical and chemical water quality parameters. However, the bacteriological test results showed a marked difference and may be attributed to the complexity of the testing procedure and quality of testing material. The collaborative and participatory approach resulted in building local capacity and knowledge and in the formation of a locally elected water committee which will be responsible for continuous monitoring of the groundwater resources.</t>
  </si>
  <si>
    <t>[Baalbaki, Rima; Saliba, Najat A.] Amer Univ Beirut, Dept Chem, Fac Arts &amp; Sci, Beirut, Lebanon; [Ahmad, Serine Haidar; Al-Hindi, Mahmoud] Amer Univ Beirut, Dept Chem Engn, Fac Engn &amp; Architecture, Beirut, Lebanon; [Kays, Wassim] Amer Univ Beirut, Nat Conservat Ctr, Fac Agr &amp; Food Sci, Beirut, Lebanon; [Talhouk, Salma N.] Amer Univ Beirut, Fac Agr &amp; Food Sci, Dept Landscape &amp; Ecosyst Management, Beirut, Lebanon</t>
  </si>
  <si>
    <t>American University of Beirut; American University of Beirut; American University of Beirut; American University of Beirut</t>
  </si>
  <si>
    <t>Saliba, NA (corresponding author), Amer Univ Beirut, Dept Chem, Fac Arts &amp; Sci, Beirut, Lebanon.;Al-Hindi, M (corresponding author), Amer Univ Beirut, Dept Chem Engn, Fac Engn &amp; Architecture, Beirut, Lebanon.</t>
  </si>
  <si>
    <t>ns30@aub.edu.lb; ma211@aub.edu.lb</t>
  </si>
  <si>
    <t>Al-Hindi, Mahmoud/R-2019-2019; Baalbaki, Rima/B-9124-2019</t>
  </si>
  <si>
    <t>Al-Hindi, Mahmoud/0000-0001-6837-2132; Baalbaki, Rima/0000-0002-4480-2107; Saliba, Najat/0000-0002-4276-1524</t>
  </si>
  <si>
    <t>OCSDnet - DFID; IDRC [107650-001]</t>
  </si>
  <si>
    <t>OCSDnet - DFID; IDRC(International Development Research Centre - IDRC)</t>
  </si>
  <si>
    <t>Funding from OCSDnet, supported by DFID and IDRC, Project #107650-001.</t>
  </si>
  <si>
    <t>2054-5703</t>
  </si>
  <si>
    <t>ROY SOC OPEN SCI</t>
  </si>
  <si>
    <t>R. Soc. Open Sci.</t>
  </si>
  <si>
    <t>10.1098/rsos.181871</t>
  </si>
  <si>
    <t>HU7AG</t>
  </si>
  <si>
    <t>WOS:000465432900048</t>
  </si>
  <si>
    <t>Ho, SYF; Xu, SJL; Lee, FWF</t>
  </si>
  <si>
    <t>Ho, Simon Yat-Fan; Xu, Steven Jingliang; Lee, Fred Wang-Fat</t>
  </si>
  <si>
    <t>Citizen science: An alternative way for water monitoring in Hong Kong</t>
  </si>
  <si>
    <t>QUALITY; POLLUTION</t>
  </si>
  <si>
    <t>Nowadays, citizen science has become increasingly popular, especially in Western countries. In Hong Kong, citizen science projects are mostly used for public education, while utilizing citizen scientists in published scientific research is very rare. On the other hand, with the increasing threats to global water security, Hong Kong requires new adaptation and strategy in facing the impairment of local freshwater systems. However, unfortunately, the number of full-scale urban river research appears to be declining. In this regard, citizen science can offer an alternative option as one of the new integrated water management strategies in Hong Kong. In this study, the water quality of seven rivers and streams in Hong Kong was studied monthly for two years by a group of citizen scientists. The main goal is to examine the reliability of data collected by citizen scientists by comparing it with the official data from the Environmental Protection Department of Hong Kong (EPD). Results show that the water temperature and conductivity data acquired by the citizen scientists were highly comparable to the official data. Also, moderate to strong correlations in water pH, turbidity, and dissolved oxygen levels were found between citizen scientists and official data. Since the citizen science data remained as high as 70% of relevance to the official data, we believe that this may serve as a supplement to the lacking official or professional water quality monitoring data in Hong Kong. Even though the use of volunteer data in water quality monitoring unavoidably exists with errors and bias, this study demonstrates a successful outcome of utilizing citizen science programme in urban river monitoring in Hong Kong.</t>
  </si>
  <si>
    <t>[Ho, Simon Yat-Fan; Xu, Steven Jingliang; Lee, Fred Wang-Fat] Open Univ Hong Kong, Sch Sci &amp; Technol, Dept Sci, Hong Kong, Peoples R China</t>
  </si>
  <si>
    <t>Hong Kong Metropolitan University</t>
  </si>
  <si>
    <t>Xu, SJL; Lee, FWF (corresponding author), Open Univ Hong Kong, Sch Sci &amp; Technol, Dept Sci, Hong Kong, Peoples R China.</t>
  </si>
  <si>
    <t>silxu@ouhx.edu.hk; wflee@ouhx.edu.hk</t>
  </si>
  <si>
    <t>XU, Steven Jingliang/KIE-6984-2024</t>
  </si>
  <si>
    <t>XU, Steven Jingliang/0000-0001-9199-7165</t>
  </si>
  <si>
    <t>HSBC Bank Hong Kong</t>
  </si>
  <si>
    <t>This work belongs to one of the regional studies of Freshwater Watch which is under the scope of HSBC Water Programme. We thank HSBC Bank Hong Kong for their essential sponsorship of the whole project, and our collaborator Earthwatch Institute for implementing the key elements of citizen science into our research and providing all the necessary supports in volunteer training and organization. The funders were majorly responsible for the coordination part in this work. The study design, data collection and analysis, decision to publish, and preparation of the manuscript were done by the three authors.</t>
  </si>
  <si>
    <t>SEP 8</t>
  </si>
  <si>
    <t>e0238349</t>
  </si>
  <si>
    <t>10.1371/journal.pone.0238349</t>
  </si>
  <si>
    <t>NQ6EE</t>
  </si>
  <si>
    <t>WOS:000570962500040</t>
  </si>
  <si>
    <t>Dickson, A; Belmer, N; Denshire, A; Garland, I; Lennox, S; Ruming, S; Lawler, D; Wethered, A</t>
  </si>
  <si>
    <t>Dickson, Adrian; Belmer, Nakia; Denshire, Amy; Garland, Ingrid; Lennox, Sue; Ruming, Shane; Lawler, Dominic; Wethered, Adam</t>
  </si>
  <si>
    <t>Can citizen science inform science? Evaluating the results of the Bellingen Riverwatch citizen science program and a complimentary government monitoring program</t>
  </si>
  <si>
    <t>citizen science; water quality monitoring; river health; Bellingen Riverwatch; transdisciplinary research; community-based monitoring; data validation</t>
  </si>
  <si>
    <t>MANAGEMENT</t>
  </si>
  <si>
    <t>In 2015, the sudden decline in the only known population of Myuchelys georgesi (the Bellinger River snapping turtle) triggered a strong community response, and a link between turtle mortality and poor water quality in the Bellinger River was suggested. A multi-agency investigation later attributed the mortalities of M. georgesi to a novel virus (the Bellinger River virus) and not a direct effect of poor water quality. However, a lack of consistent water quality or river health data in the catchment limited the research of factors that may have heightened susceptibility to the virus or exacerbated its symptoms. Community consultation identified strong connections with the riverine environment and highlighted the cultural, social, economic, and environmental values of the Bellinger River catchment. In 2017 OzGREEN, a not-for-profit environmental education charity based in Bellingen, built upon their existing citizen science water quality monitoring program in collaboration with the Saving our Species (SoS) team in the New South Wales (NSW) Department of Planning and Environment (DPE), who provided funding and equipment and solicited the involvement of NSW Waterwatch, Western Sydney University and Taronga Zoo. Now known as Bellingen Riverwatch (Riverwatch), the program has become a long-term citizen science program that aims to assist the recovery of M. georgesi, now a critically endangered species, through the delivery of monthly water quality data covering the Bellinger River and its tributaries. SoS also engaged the DPE Estuaries and Catchments Team to commence the Bellinger River Health Program (BRHP), focusing on water quality and aquatic macroinvertebrates to assess river health, with the aim of providing scientifically rigorous data to support the management and recovery of M. georgesi. This case study compares and evaluates the Riverwatch citizen science and the BRHP professional science, examining methods and results to compare the accuracy of the citizen science data and assess its reliability for informing ongoing river management. The results demonstrate that Bellingen Riverwatch is a well-managed citizen science program and generally provides valid, accurate, and representative results that can be confidently used to enhance the spatial and temporal coverage of the professional science monitoring program.</t>
  </si>
  <si>
    <t>[Dickson, Adrian; Belmer, Nakia; Lawler, Dominic; Wethered, Adam] EES Labs, Dept Planning &amp; Environm, Lidcombe, NSW, Australia; [Denshire, Amy; Lennox, Sue] OzGREEN, Bellingen, NSW, Australia; [Garland, Ingrid] EnviroComm Connect, Hunter Valley (Whittingham), Whittingham, NSW, Australia; [Ruming, Shane] North East Biodivers &amp; Conservat, Dept Planning &amp; Environm, Coffs Harbour, NSW, Australia</t>
  </si>
  <si>
    <t>Dickson, A (corresponding author), EES Labs, Dept Planning &amp; Environm, Lidcombe, NSW, Australia.</t>
  </si>
  <si>
    <t>adrian.dickson@environment.nsw.gov.au</t>
  </si>
  <si>
    <t>NSW Department of Planning and Environment; (NSW Office of Environment Heritage); Saving our Species, Local Land Services and Biodiversity and Conservation</t>
  </si>
  <si>
    <t>This project was funded by the NSW Department of Planning and Environment (formerly the NSW Department of Planning Industry and Environment and the NSW Office of Environment &amp; Heritage), Saving our Species, Local Land Services and Biodiversity and Conservation.r This project was funded by the NSW Department of Planning and Environment (formerly the NSW Department of Planning Industry and Environment and the NSW Office of Environment &amp; Heritage), Saving our Species, Local Land Services and Biodiversity and Conservation.</t>
  </si>
  <si>
    <t>JAN 4</t>
  </si>
  <si>
    <t>10.3389/fenvs.2023.1237580</t>
  </si>
  <si>
    <t>FC3L5</t>
  </si>
  <si>
    <t>WOS:001143510100001</t>
  </si>
  <si>
    <t>Cakmak, EK; Ugurlu, A; Anbaroglu, B</t>
  </si>
  <si>
    <t>Cakmak, Ece Kendir; Ugurlu, Aysenur; Anbaroglu, Berk</t>
  </si>
  <si>
    <t>Adopting citizen science approach for water quality monitoring in Uzungol, Turkey</t>
  </si>
  <si>
    <t>ENVIRONMENTAL MONITORING AND ASSESSMENT</t>
  </si>
  <si>
    <t>Water quality; Lake; Citizen science; Monitoring; Mobile application</t>
  </si>
  <si>
    <t>PARTICIPATION; SCIENTISTS; BARRIERS</t>
  </si>
  <si>
    <t>In the present study, adopting of citizen science approach for monitoring water quality of a lake (Uzungol, Turkey) was investigated. The study consisted of selection of sampling points and water quality parameters, training of volunteers, sampling and analysis by volunteers, and development of a mobile application for data collection and storage. In the scope of the study, four measurement points around the lake were selected and elementary school students were trained both theoretically and practically to collect water quality data. During the project (June-December, 2018), volunteers collected water samples and measured temperature, pH, nitrate, and phosphate with the given test kits. The mobile application was developed using open source code and used to collect and store the volunteer data. According to the volunteer data, temperature values were between 8.5 and 15.5 degrees C, pH values were between 2 and 8.5, nitrate values were between 0.5 and 2.5 mg/L, and phosphate values were between 0.5 and 5 mg/L in the lake. Most of the pH and temperature results were compatible with field measurements done by research group during field visits. The motivation of the volunteers and mobile application development were the achievements of the project. Low number of the data and its reliability were the main limitations. Therefore, this study showed that citizen science has both capabilities and constraints for collection of water quality data, however; outstanding potential of citizen science is obvious.</t>
  </si>
  <si>
    <t>[Cakmak, Ece Kendir; Ugurlu, Aysenur] Hacettepe Univ, Dept Environm Engn, Ankara, Turkey; [Anbaroglu, Berk] Hacettepe Univ, Dept Geomat Engn, Ankara, Turkey</t>
  </si>
  <si>
    <t>Hacettepe University; Hacettepe University</t>
  </si>
  <si>
    <t>Cakmak, EK (corresponding author), Hacettepe Univ, Dept Environm Engn, Ankara, Turkey.</t>
  </si>
  <si>
    <t>ecekendir@hacettepe.edu.tr</t>
  </si>
  <si>
    <t>; kendir Cakmak, ece/AAK-4367-2020</t>
  </si>
  <si>
    <t>UGURLU, AYSENUR/0000-0002-2322-7190; kendir Cakmak, ece/0000-0001-8022-6322</t>
  </si>
  <si>
    <t>Hacettepe University Scientific Projects Coordination Unit [FKA-2017-12840]</t>
  </si>
  <si>
    <t>Hacettepe University Scientific Projects Coordination Unit(Hacettepe University)</t>
  </si>
  <si>
    <t>This study was supported by Hacettepe University Scientific Projects Coordination Unit (Project No: FKA-2017-12840).</t>
  </si>
  <si>
    <t>0167-6369</t>
  </si>
  <si>
    <t>1573-2959</t>
  </si>
  <si>
    <t>ENVIRON MONIT ASSESS</t>
  </si>
  <si>
    <t>Environ. Monit. Assess.</t>
  </si>
  <si>
    <t>10.1007/s10661-021-09395-2</t>
  </si>
  <si>
    <t>UJ0BO</t>
  </si>
  <si>
    <t>WOS:000690960800003</t>
  </si>
  <si>
    <t>Zhang, LY; Kang, JF; Kubo, T</t>
  </si>
  <si>
    <t>Zhang, Linying; Kang, Jiefeng; Kubo, Takahiro</t>
  </si>
  <si>
    <t>Long-term monitoring of citizen science: driving factors and pandemic impacts</t>
  </si>
  <si>
    <t>INTERNATIONAL JOURNAL OF SUSTAINABLE DEVELOPMENT AND WORLD ECOLOGY</t>
  </si>
  <si>
    <t>Citizen science; biodiversity; LMDI; iNaturalist; COVID-19</t>
  </si>
  <si>
    <t>ENERGY-CONSUMPTION; DECOMPOSITION; COVID-19</t>
  </si>
  <si>
    <t>In recent years, the importance of citizen science in biodiversity monitoring has become increasingly evident. Citizen science provides valuable data to understand the dynamic changes in biodiversity across different cities. Although long-term monitoring is crucial for understanding these dynamic changes, previous research has primarily focused on short-term data analysis. Therefore, this study analysed data from the iNaturalist platform for 11 Japanese cities from 2016 to 2023, focusing on the driving factors of observation changes and the impact of the COVID-19 pandemic using the Logarithmic Mean Divisia Index (LMDI) method. The results revealed that the population (total number of active users) metric had the greatest impact, followed by intensity (the number of observations per active day), frequency (active days per active user), and structure (proportion of regular users). To ensure data continuity and reliability, optimizing user structure by increasing the proportion of regular users is essential. Although observation volumes fluctuated during the pandemic, they rebounded significantly post-pandemic, demonstrating the resilience, and adaptability of citizen science projects. The iNaturalist platform provides a stable foundation for long-term data collection, aiding in the comprehensive understanding of biodiversity dynamics. Our study also highlighted differences in citizen science participation and biodiversity monitoring across cities, indicating the need for tailored biodiversity conservation policies. To effectively address similar crises in the future, developing contingency plans is recommended to provide continuous support for biodiversity conservation and public engagement in environmental management.</t>
  </si>
  <si>
    <t>[Zhang, Linying] Nanjing Tech Univ, Coll Architecture, Nanjing, Peoples R China; [Kang, Jiefeng] Sophia Univ, Grad Sch Global Environm Studies, 7-1 Kioi Cho,Chiyoda Ku, Tokyo 1028554, Japan; [Kubo, Takahiro] Natl Inst Environm Studies, Biodivers Div, Tsukuba, Japan; [Kubo, Takahiro] Univ Oxford, Wildlife Conservat Res Unit, Oxford, England</t>
  </si>
  <si>
    <t>Nanjing Tech University; Sophia University; National Institute for Environmental Studies - Japan; University of Oxford</t>
  </si>
  <si>
    <t>Kang, JF (corresponding author), Sophia Univ, Grad Sch Global Environm Studies, 7-1 Kioi Cho,Chiyoda Ku, Tokyo 1028554, Japan.</t>
  </si>
  <si>
    <t>kangjiefeng37@gmail.com</t>
  </si>
  <si>
    <t>; Kubo, Takahiro/E-1243-2012</t>
  </si>
  <si>
    <t>zhang, linying/0000-0003-4437-0495; Kubo, Takahiro/0000-0002-4832-5539; Kang, Jiefeng/0000-0003-3269-5997</t>
  </si>
  <si>
    <t>Nanjing Municipal Human Resources and Social Security Bureau [51211039]; Sophia University Young Researchers (PJPD) Research Fund (project title: Application of citizen science data in conservation and utility of national parks); Environment Research and Technology Development Fund [JP-MEERF20224003]</t>
  </si>
  <si>
    <t>Nanjing Municipal Human Resources and Social Security Bureau; Sophia University Young Researchers (PJPD) Research Fund (project title: Application of citizen science data in conservation and utility of national parks); Environment Research and Technology Development Fund</t>
  </si>
  <si>
    <t>This work was supported by the Nanjing Municipal Human Resources and Social Security Bureau [grant number: 51211039], the Sophia University Young Researchers (PJPD) Research Fund (project title: Application of citizen science data in conservation and utility of national parks), and the Environment Research and Technology Development Fund [grant number: JP-MEERF20224003].</t>
  </si>
  <si>
    <t>TAYLOR &amp; FRANCIS INC</t>
  </si>
  <si>
    <t>PHILADELPHIA</t>
  </si>
  <si>
    <t>530 WALNUT STREET, STE 850, PHILADELPHIA, PA 19106 USA</t>
  </si>
  <si>
    <t>1350-4509</t>
  </si>
  <si>
    <t>1745-2627</t>
  </si>
  <si>
    <t>INT J SUST DEV WORLD</t>
  </si>
  <si>
    <t>Int. J. Sustain. Dev. World Ecol.</t>
  </si>
  <si>
    <t>FEB 17</t>
  </si>
  <si>
    <t>10.1080/13504509.2024.2423085</t>
  </si>
  <si>
    <t>NOV 2024</t>
  </si>
  <si>
    <t>Green &amp; Sustainable Science &amp; Technology; Ecology</t>
  </si>
  <si>
    <t>Y7S5H</t>
  </si>
  <si>
    <t>WOS:001349343900001</t>
  </si>
  <si>
    <t>Herrero, JJ; Simes, DC; Abecasis, R; Relvas, P; Garel, E; Martins, PV; Santos, R</t>
  </si>
  <si>
    <t>Herrero, Javier Jimenez; Simes, Dina Costa; Abecasis, Rita; Relvas, Paulo; Garel, Erwan; Martins, Paula Ventura; Santos, Rui</t>
  </si>
  <si>
    <t>Monitoring invasive macroalgae in southern Portugal: drivers and citizen science contribution</t>
  </si>
  <si>
    <t>beach-cast; citizen science; environmental factors; invasive macroalgae; monitoring; coast of Portugal</t>
  </si>
  <si>
    <t>ASPARAGOPSIS-ARMATA; GREEN-TIDE; TEMPERATURE; GROWTH; BLOOMS; SALINITY; PATTERNS; COAST; PHAEOPHYCEAE; CHLOROPHYTA</t>
  </si>
  <si>
    <t>Under certain environmental and oceanographic conditions, macroalgae can overgrow and accumulate in massive quantities on beaches, causing serious ecological and economic impacts. To address this problem, a citizen science monitoring platform was created to determine the spatial and temporal distribution of macroalgae accumulations along the beaches of Algarve in southern Portugal, with the aim to assess the extent of beach-cast events and their relationship with abiotic factors. A Redundancy Analysis (RDA) and a permutational analysis of variance (PERMANOVA) were carried out to explore the relationship between macroalgae accumulation level and the abiotic variables: sea surface temperature, wind speed, wind direction, currents, maximum sea level, significant wave height, salinity, nitrate, ammonium, phosphate, precipitation and radiation. The citizen science campaign showed great participation, resulting in 404 submissions between July 2021 and September 2023. The campaign revealed that three species of macroalgae accumulated on the beaches of Algarve, Ulva sp. (with the presence of Ectocarpales and Dyctiotales) along the sandy eastern coast, and the invasive species Asparagopsis armata and Rugulopteryx okamurae in the rocky central and western beaches, respectively. The accumulations of R. okamurae increased from 2021 to 2023, were registered throughout the year and were more abundant than those of Ulva sp. and A. armata, which were only observed in spring and summer. The highest levels of R. okamurae beach-cast depositions were related to strong wave conditions, and high sea surface temperature and salinity. The accumulation of Ulva sp. was related to high sea surface temperature and salinity whereas A. armata was also correlated with winds parallel to the shore (NW-W). PERMANOVA analysis revealed that sea surface temperature and wave conditions had a significant effect on the overall abundance of macroalgae beach-cast accumulations. Overall, our citizen science campaign effectively involved the public, leading to the collection of important data on monitoring macroalgae accumulations. Through these findings, we were able to pinpoint the environmental, atmospheric, and hydrodynamic factors that contribute to their development, movement, and buildup along the Algarve coastlines.</t>
  </si>
  <si>
    <t>[Herrero, Javier Jimenez; Simes, Dina Costa; Abecasis, Rita; Relvas, Paulo; Santos, Rui] Univ Algarve, Ctr Marine Sci CCMAR, Faro, Portugal; [Simes, Dina Costa] Univ Algarve, Ctr Marine Sci CCMAR, GenoGla Diagnost, Faro, Portugal; [Garel, Erwan] Univ Algarve, Ctr Marine &amp; Environm Res CIMA, Faro, Portugal; [Martins, Paula Ventura] Univ Algarve, Res Ctr Tourism Sustainabil &amp; Wellbeing, CinTurs, Faro, Portugal</t>
  </si>
  <si>
    <t>Universidade do Algarve; Universidade do Algarve; Universidade do Algarve; Universidade do Algarve</t>
  </si>
  <si>
    <t>Herrero, JJ (corresponding author), Univ Algarve, Ctr Marine Sci CCMAR, Faro, Portugal.</t>
  </si>
  <si>
    <t>jjherrero@ualg.pt</t>
  </si>
  <si>
    <t>Ventura Martins, Paula/F-6824-2011; Simes, Dina/N-2789-2014; Relvas, Paulo/B-1257-2008; Santos, Rui/B-4168-2008; Garel, Erwan/N-9811-2014; Abecasis, Rita/OYF-0999-2025</t>
  </si>
  <si>
    <t>Ventura Martins, Paula/0000-0002-3199-4517; Simes, Dina/0000-0002-5145-4753; Santos, Rui/0000-0002-7861-4366; Jiménez Herrero, Javier/0000-0002-5459-1139</t>
  </si>
  <si>
    <t>FCT-Foundation for Science and Technology [41/ALG/2020, 072583-NUTRISAFE]; [UIDB/04326/2020]; [UIDP/04326/2020]; [LA/P/0101/2020]</t>
  </si>
  <si>
    <t>FCT-Foundation for Science and Technology(Fundacao para a Ciencia e a Tecnologia (FCT)); ; ;</t>
  </si>
  <si>
    <t>The authors greatly appreciate all participants and citizens for their contribution to data collection on the Algas na praia platform. EG acknowledge the support of the Portuguese Foundation for Science and Technology (FCT) through the grant UID/MAR/00350/2020 attributed to CIMA, University of Algarve.r The author(s) declare financial support was received for the research, authorship, and/or publication of this article. This study received funding from the NUTRISAFE project (AAC No. 41/ALG/2020-Project No. 072583-NUTRISAFE), and from FCT-Foundation for Science and Technology, through projects UIDB/04326/2020, UIDP/04326/2020 and LA/P/0101/2020.</t>
  </si>
  <si>
    <t>NOV 27</t>
  </si>
  <si>
    <t>10.3389/fenvs.2023.1324600</t>
  </si>
  <si>
    <t>AL3E8</t>
  </si>
  <si>
    <t>WOS:001118573500001</t>
  </si>
  <si>
    <t>Jollymore, A; Haines, MJ; Satterfield, T; Johnson, MS</t>
  </si>
  <si>
    <t>Jollymore, Ashlee; Haines, Morgan J.; Satterfield, Terre; Johnson, Mark S.</t>
  </si>
  <si>
    <t>Citizen science for water quality monitoring: Data implications of citizen perspectives</t>
  </si>
  <si>
    <t>Citizen science; Science communication; Water quality monitoring; Dissolved organic carbon (DOC)</t>
  </si>
  <si>
    <t>KNOWLEDGE; PARTICIPATION; CONSERVATION; VALIDATION; EBIRD</t>
  </si>
  <si>
    <t>Citizen science, where citizens play an active role in the scientific process, is increasingly used to expand the reach and scope of scientific research while also achieving engagement and educational goals. Despite the emergence of studies exploring data outcomes of citizen science, the process and experience of engaging with citizens and citizen-lead groups through participatory science is less explored. This includes how citizen perspectives alter data outcomes, a critical upshot given prevalent mistrust of citizen versus scientist data. This study uses a citizen science campaign investigating watershed impacts on water quality to interrogate the nature and implications of citizen involvement in producing scientifically and societally relevant data. Data representing scientific outcomes are presented alongside a series of vignettes that offer context regarding how, why, and where citizens engaged with the project. From these vignettes, six specific lessons are examined towards understanding how integration of citizen participation alters data outcomes relative to 'professional' science. In particular, elements of participant social identity (e.g., their motivation for participation), and contextual knowledge (e.g., of the research program itself) can shape participation and resulting data outcomes. Such scientific outcomes are particularly relevant given continued concerns regarding the quality of citizen data, which could hinder scientific acceptance of citizen sciences. Importantly, the potential for meaningful engagement with citizen and participants within citizen groups - given significant capacity within the community - represents a substantial and under-realized opportunity. (C) 2017 Elsevier Ltd. All rights reserved.</t>
  </si>
  <si>
    <t>[Jollymore, Ashlee; Haines, Morgan J.; Satterfield, Terre; Johnson, Mark S.] Univ British Columbia, Inst Resources Environm &amp; Sustainabil, AERL 4th Floor,2202 Main Mall, Vancouver, BC V6T 1Z4, Canada; [Johnson, Mark S.] Univ British Columbia, Dept Earth Ocean &amp; Atmospher Sci, 2020-2207 Main Mall, Vancouver, BC V6T 1Z4, Canada</t>
  </si>
  <si>
    <t>University of British Columbia; University of British Columbia</t>
  </si>
  <si>
    <t>Jollymore, A (corresponding author), Univ British Columbia, Inst Resources Environm &amp; Sustainabil, AERL 4th Floor,2202 Main Mall, Vancouver, BC V6T 1Z4, Canada.</t>
  </si>
  <si>
    <t>ashlee.jollymore@gmail.com; morgan.haines@alumni.ubc.ca; terre.satterfield@ires.ubc.ca; mark.johnson@ubc.ca</t>
  </si>
  <si>
    <t>; Johnson, Mark/B-4445-2008</t>
  </si>
  <si>
    <t>Jollymore, Ashlee/0000-0002-2363-815X; Haines, Morgan/0000-0002-7680-5521; Johnson, Mark/0000-0001-5070-7539</t>
  </si>
  <si>
    <t>CFI [LOF-22390]; NSERC [RGPIN-2014-05065]; NSERC PGSD; USRA</t>
  </si>
  <si>
    <t>CFI(Canada Foundation for Innovation); NSERC(Natural Sciences and Engineering Research Council of Canada (NSERC)); NSERC PGSD(Natural Sciences and Engineering Research Council of Canada (NSERC)); USRA</t>
  </si>
  <si>
    <t>We gratefully acknowledge the participation of many community organizations and municipalities around the Metro Vancouver and Sea-to-Sky region. We thank Sam McKay, David Guan, and Spencer Gould for technical assistance. The project was funded through CFI (Grant no. LOF-22390) and NSERC (Grant no. RGPIN-2014-05065) grants to MSJ. AJ and MH were funded through NSERC PGSD and USRA programs, respectively.</t>
  </si>
  <si>
    <t>SEP 15</t>
  </si>
  <si>
    <t>10.1016/j.jenvman.2017.05.083</t>
  </si>
  <si>
    <t>FC0YK</t>
  </si>
  <si>
    <t>WOS:000406564400045</t>
  </si>
  <si>
    <t>Buytaert, W; Dewulf, A; De Bièvre, B; Clark, J; Hannah, DM</t>
  </si>
  <si>
    <t>Buytaert, Wouter; Dewulf, Art; De Bievre, Bert; Clark, Julian; Hannah, David M.</t>
  </si>
  <si>
    <t>Citizen Science for Water Resources Management: Toward Polycentric Monitoring and Governance?</t>
  </si>
  <si>
    <t>JOURNAL OF WATER RESOURCES PLANNING AND MANAGEMENT</t>
  </si>
  <si>
    <t>[Buytaert, Wouter] Univ London Imperial Coll Sci Technol &amp; Med, Grantham Inst Climate Change &amp; Environm, Dept Civil &amp; Environm Engn, Skempton Bldg, London SW7 2AZ, England; [Dewulf, Art] Wageningen Univ, Publ Adm &amp; Policy Grp, POB 8130, NL-6700 EW Wageningen, Netherlands; [De Bievre, Bert] FONAG, Quito, Ecuador; [De Bievre, Bert] Consortium Sustainable Dev Andean Ecoreg CONDESAN, Lima, Peru; [Clark, Julian; Hannah, David M.] Univ Birmingham, Sch Geog Earth &amp; Environm Sci, Birmingham B15 2TT, W Midlands, England</t>
  </si>
  <si>
    <t>Imperial College London; Wageningen University &amp; Research; University of Birmingham</t>
  </si>
  <si>
    <t>Buytaert, W (corresponding author), Univ London Imperial Coll Sci Technol &amp; Med, Grantham Inst Climate Change &amp; Environm, Dept Civil &amp; Environm Engn, Skempton Bldg, London SW7 2AZ, England.</t>
  </si>
  <si>
    <t>w.buytaert@imperial.ac.uk</t>
  </si>
  <si>
    <t>Dewulf, Art/C-1271-2010; Buytaert, Wouter/D-9912-2011; De Bièvre, Bert/AFU-3957-2022; Hannah, David/B-9221-2015</t>
  </si>
  <si>
    <t>Dewulf, Art/0000-0002-4171-7644; Hannah, David/0000-0003-1714-1240; Clark, Julian/0000-0002-9439-4375</t>
  </si>
  <si>
    <t>Natural Environment Research Council [NE/K010182/1, NE/K010123/1, NE/K010239/1, NE/K010204/1] Funding Source: researchfish; NERC [NE/K010204/1, NE/K010123/1, NE/K010182/1, NE/K010239/1] Funding Source: UKRI</t>
  </si>
  <si>
    <t>ASCE-AMER SOC CIVIL ENGINEERS</t>
  </si>
  <si>
    <t>RESTON</t>
  </si>
  <si>
    <t>1801 ALEXANDER BELL DR, RESTON, VA 20191-4400 USA</t>
  </si>
  <si>
    <t>0733-9496</t>
  </si>
  <si>
    <t>1943-5452</t>
  </si>
  <si>
    <t>J WATER RES PLAN MAN</t>
  </si>
  <si>
    <t>J. Water Resour. Plan. Manage.-ASCE</t>
  </si>
  <si>
    <t>APR</t>
  </si>
  <si>
    <t>10.1061/(ASCE)WR.1943-5452.0000641</t>
  </si>
  <si>
    <t>Engineering, Civil; Water Resources</t>
  </si>
  <si>
    <t>Engineering; Water Resources</t>
  </si>
  <si>
    <t>DH5DD</t>
  </si>
  <si>
    <t>WOS:000372804500010</t>
  </si>
  <si>
    <t>Paul, JD; Cieslik, K; Sah, N; Shakya, P; Parajuli, BP; Paudel, S; Dewulf, A; Buytaert, W</t>
  </si>
  <si>
    <t>Paul, Jonathan D.; Cieslik, Katarzyna; Sah, Neeraj; Shakya, Puja; Parajuli, Binod Prasad; Paudel, Saugat; Dewulf, Art; Buytaert, Wouter</t>
  </si>
  <si>
    <t>Applying Citizen Science for Sustainable Development: Rainfall Monitoring in Western Nepal</t>
  </si>
  <si>
    <t>FRONTIERS IN WATER</t>
  </si>
  <si>
    <t>sustainable development; secondary education; precipitation; participatory monitoring; citizen science</t>
  </si>
  <si>
    <t>CONSERVATION; ENGAGEMENT; STUDENTS</t>
  </si>
  <si>
    <t>We introduce a case-study agnostic framework for the application of citizen science in a sustainable development context. This framework is tested against an activity in two secondary schools in western Nepal. While the purpose of this activity is to generate locally relevant knowledge on the physical processes behind natural hazards, we concentrate here on its implementation, i.e., to obtain a better understanding of the dynamic of the activity and to learn how it should be implemented. We determined the social capital of secondary schools as a gateway to the local community: they provide a unique setting to bring different stakeholders together. We find that co-designing a teaching programme is an effective means of both complementing local curricula and ensuring continued buy-in of local stakeholders (i.e., teachers). Student engagement depends on the local relevance of teaching materials, with more holistic or global concepts, such as climate change of lesser importance. Our activity focused on rainfall, including student-led data collection. These rainfall data provide a very good fit to co-located rain gauge data, with an average difference on weekly readings of 11.8%, reducing to 8.3% when averaged over all student readings. The autonomous development of student-organized science clubs suggested that our original framework underestimated students' capacity to apply knowledge elsewhere creatively. These clubs may be used to obtain participant feedback to improve and tailor future activities. Quantitative assessment of long-term sustainability remains challenging, due in part to high levels of student turnover. We suggest that integrating scientists wherever possible within a school or local community has a direct and positive result on participant retention.</t>
  </si>
  <si>
    <t>[Paul, Jonathan D.; Sah, Neeraj; Buytaert, Wouter] Imperial Coll London, Dept Civil &amp; Environm Engn, London, England; [Paul, Jonathan D.] Royal Holloway Univ London, Dept Earth Sci, London, England; [Cieslik, Katarzyna] Univ Cambridge, Dept Geog, Cambridge, England; [Shakya, Puja; Parajuli, Binod Prasad] Pract Act Consulting South Asia, Kathmandu, Nepal; [Paudel, Saugat] United Nations Educ Sci &amp; Cultural Org UNESCO, Paris, France; [Dewulf, Art] Wageningen Univ &amp; Res, Dept Social Sci, Publ Adm &amp; Policy, Wageningen, Netherlands</t>
  </si>
  <si>
    <t>Imperial College London; University of London; Royal Holloway University London; University of Cambridge; Wageningen University &amp; Research</t>
  </si>
  <si>
    <t>Paul, JD (corresponding author), Imperial Coll London, Dept Civil &amp; Environm Engn, London, England.;Paul, JD (corresponding author), Royal Holloway Univ London, Dept Earth Sci, London, England.</t>
  </si>
  <si>
    <t>jonathan.paul@rhul.ac.uk</t>
  </si>
  <si>
    <t>Cieslik, Katarzyna/GXF-9020-2022; Buytaert, Wouter/D-9912-2011; Dewulf, Art/C-1271-2010</t>
  </si>
  <si>
    <t>Cieslik, Katarzyna/0000-0002-8240-0117;</t>
  </si>
  <si>
    <t>UK Natural Environment Research Council (NERC); Department for International Development (DfID) [NE/P000452/1]; NERC [NE/P000452/1, 2104361] Funding Source: UKRI; Natural Environment Research Council [NE/P000452/1] Funding Source: researchfish</t>
  </si>
  <si>
    <t>UK Natural Environment Research Council (NERC)(UK Research &amp; Innovation (UKRI)Natural Environment Research Council (NERC)); Department for International Development (DfID); NERC(UK Research &amp; Innovation (UKRI)Natural Environment Research Council (NERC)); Natural Environment Research Council(UK Research &amp; Innovation (UKRI)Natural Environment Research Council (NERC))</t>
  </si>
  <si>
    <t>We acknowledge funding from the UK Natural Environment Research Council (NERC) and Department for International Development (DfID) under contract NE/P000452/1 (Landslide EVO project).</t>
  </si>
  <si>
    <t>2624-9375</t>
  </si>
  <si>
    <t>FRONT WATER</t>
  </si>
  <si>
    <t>Front. Water</t>
  </si>
  <si>
    <t>DEC 7</t>
  </si>
  <si>
    <t>10.3389/frwa.2020.581375</t>
  </si>
  <si>
    <t>Water Resources</t>
  </si>
  <si>
    <t>SP1SB</t>
  </si>
  <si>
    <t>WOS:000659451300001</t>
  </si>
  <si>
    <t>Vercayie, D; Herremans, M</t>
  </si>
  <si>
    <t>Vercayie, Diemer; Herremans, Marc</t>
  </si>
  <si>
    <t>Citizen science and smartphones take roadkill monitoring to the next level</t>
  </si>
  <si>
    <t>NATURE CONSERVATION-BULGARIA</t>
  </si>
  <si>
    <t>IENE International Conference on Ecology and Transportation</t>
  </si>
  <si>
    <t>SEP 16-19, 2014</t>
  </si>
  <si>
    <t>Malmo Univ, Malmo, SWEDEN</t>
  </si>
  <si>
    <t>IENE,Swedish Transport Adm,Swedish Univ Agr Sci,Danish Road Directorate,Calluna AB</t>
  </si>
  <si>
    <t>Citizen science; roadkill; monitoring; hotspots; road ecology</t>
  </si>
  <si>
    <t>DETECT; ROADS; TOOL</t>
  </si>
  <si>
    <t>Road networks, even in industrialized countries, become denser year after year and traffic volumes continue to increase at a steady pace. It is imperative that we monitor the impact of this trend on wildlife, but monitoring roads for flattened fauna is a time consuming effort and roadkill monitoring projects conducted up till now have been relatively small scale both in terms of time and space. This hampers the progress of road ecology analyses at the population level and at larger landscape extents. We demonstrate that citizen science projects in combination with smartphones and other new technologies allow analysis at this level and extent, and simultaneously offer more complete data for safer transportation and mitigation of roadkill hotspots. Monitoring roadkill with citizen scientists poses certain challenges regarding data quality and people management, but we show that these challenges can be addressed, which allows researchers to benefit from the many other advantages and possible applications of monitoring roadkill with citizen scientists, including raising public awareness on the matter.</t>
  </si>
  <si>
    <t>[Vercayie, Diemer] Diemer Vercayie, Nat Punt Studie, B-2800 Mechelen, Belgium; [Herremans, Marc] Dr Marc Herremans, Nat Punt Studie, B-2800 Mechelen, Belgium</t>
  </si>
  <si>
    <t>Vercayie, D (corresponding author), Diemer Vercayie, Nat Punt Studie, Coxiestr 11, B-2800 Mechelen, Belgium.</t>
  </si>
  <si>
    <t>Diemer.Vercayie@natuurpunt.be</t>
  </si>
  <si>
    <t>Herremans, Marc/AAC-6643-2020</t>
  </si>
  <si>
    <t>PENSOFT PUBLISHERS</t>
  </si>
  <si>
    <t>SOFIA</t>
  </si>
  <si>
    <t>12 PROF GEORGI ZLATARSKI ST, SOFIA, 1700, BULGARIA</t>
  </si>
  <si>
    <t>1314-6947</t>
  </si>
  <si>
    <t>1314-3301</t>
  </si>
  <si>
    <t>NAT CONSERV-BULGARIA</t>
  </si>
  <si>
    <t>Nat. Conserv.-Bulgaria</t>
  </si>
  <si>
    <t>10.3897/natureconservation.11.4439</t>
  </si>
  <si>
    <t>CO8VB</t>
  </si>
  <si>
    <t>WOS:000359449200004</t>
  </si>
  <si>
    <t>Wolcott, TG; Dean, AG; Sichitiu, ML</t>
  </si>
  <si>
    <t>Wolcott, T. G.; Dean, A. G.; Sichitiu, M. L.</t>
  </si>
  <si>
    <t>A networked Citizen Science monitoring system for estuarine environment and biota.</t>
  </si>
  <si>
    <t>INTEGRATIVE AND COMPARATIVE BIOLOGY</t>
  </si>
  <si>
    <t>Annual Meeting of the Society-for-Integrative-and-Comparative-Biology (SICB)</t>
  </si>
  <si>
    <t>JAN 03-07, 2013</t>
  </si>
  <si>
    <t>San Francisco, CA</t>
  </si>
  <si>
    <t>Soc Integrat &amp; Comparat Biol (SICB)</t>
  </si>
  <si>
    <t>[Wolcott, T. G.; Dean, A. G.; Sichitiu, M. L.] NC State Univ, Raleigh, NC USA</t>
  </si>
  <si>
    <t>North Carolina State University</t>
  </si>
  <si>
    <t>tom.wolcott1@gmail.com</t>
  </si>
  <si>
    <t>1540-7063</t>
  </si>
  <si>
    <t>INTEGR COMP BIOL</t>
  </si>
  <si>
    <t>Integr. Comp. Biol.</t>
  </si>
  <si>
    <t>E230</t>
  </si>
  <si>
    <t>117ZG</t>
  </si>
  <si>
    <t>WOS:000316991401454</t>
  </si>
  <si>
    <t>George, E; Smith, A; O'Rourke, C; Cherry, N; Sfalcin, A; Houser, C</t>
  </si>
  <si>
    <t>George, Elizabeth; Smith, Alex; O'Rourke, Cooper; Cherry, Nathan; Sfalcin, Amelie; Houser, Chris</t>
  </si>
  <si>
    <t>Citizen science monitoring of beach and dune erosion during Hurricane Fiona</t>
  </si>
  <si>
    <t>PHYSICAL GEOGRAPHY</t>
  </si>
  <si>
    <t>Citizen science; CoastSnap; Hurricane Fiona; beach-dune erosion</t>
  </si>
  <si>
    <t>BARRIER-ISLAND RESPONSE; POST-STORM BEACH; CLIMATE-CHANGE; RECOVERY; GULF; VARIABILITY; TRANSPORT; FOREDUNE; IMPACTS; SCALE</t>
  </si>
  <si>
    <t>Hurricane Fiona made landfall as an extra-tropical storm along the north shore of Prince Edward Island (PEI), Canada, in October 2022. The state of the beach and dune immediately before and after the storm was captured through the Coastie citizen science beach and dune photo monitoring initiative, as part of the global CoastSnap Community Beach Monitoring program. Coastie monitoring sites within Prince Edward Island National Park (PEINP) revealed extensive dune scarping, capturing a 12-17 m retreat of the foredune at Brackley and Cavendish Beaches. Using foredune scarp and post-storm shoreline positions, volumetric losses between 28 and 76 m3 m-1 are estimated from profiles located within the first 150 m of the stations. The average horizontal position of the projected foredune scarp position was within 2.8 m of the position identified from high accuracy unoccupied aerial system (UAS) surveys, corresponding to a mean absolute difference of 15.3 m3 m-1 or 45.3% for dune volume changes estimated from the images. Continued monitoring will yield further improvements to the volume loss estimation methodology, and insight on the timing and mechanisms of beach and dune recovery.</t>
  </si>
  <si>
    <t>[George, Elizabeth; Smith, Alex; O'Rourke, Cooper; Cherry, Nathan; Sfalcin, Amelie; Houser, Chris] Univ Windsor, Sch Environm, Windsor, ON, Canada; [Houser, Chris] Univ Waterloo, Dept Earth &amp; Environm Sci, Waterloo, ON, Canada; [George, Elizabeth] Univ Windsor, Sch Environm, 490 Greendale Dr, Windsor, ON N8S 4A6, Canada</t>
  </si>
  <si>
    <t>University of Windsor; University of Waterloo; University of Windsor</t>
  </si>
  <si>
    <t>George, E (corresponding author), Univ Windsor, Sch Environm, 490 Greendale Dr, Windsor, ON N8S 4A6, Canada.</t>
  </si>
  <si>
    <t>george21@uwindsor.ca</t>
  </si>
  <si>
    <t>George, Elizabeth/AAK-6859-2021; Smith, Alex/HHC-7083-2022</t>
  </si>
  <si>
    <t>George, Elizabeth/0000-0003-2053-263X;</t>
  </si>
  <si>
    <t>Natural Sciences and Engineering Research Council of Canada; NSERC Discovery Grant</t>
  </si>
  <si>
    <t>Natural Sciences and Engineering Research Council of Canada(Natural Sciences and Engineering Research Council of Canada (NSERC)CGIAR); NSERC Discovery Grant(Natural Sciences and Engineering Research Council of Canada (NSERC))</t>
  </si>
  <si>
    <t>The University of Windsor Coastal Research Group would like to acknowledge the continuing assistance and in-kind partnership with Parks Canada, including access to aerial LiDAR topo-bathy data and logistical support provided by Climate Change Specialists Garrett Mombourquette and Louis Charron at PEINP. The group would also like to recognize and thank Mitchell Harley at the University of New South Wales, who developed the original international CoastSnap platform and designed the georectification monitoring program. Funding was provided to CH through an NSERC Discovery Grant.</t>
  </si>
  <si>
    <t>TAYLOR &amp; FRANCIS LTD</t>
  </si>
  <si>
    <t>2-4 PARK SQUARE, MILTON PARK, ABINGDON OR14 4RN, OXON, ENGLAND</t>
  </si>
  <si>
    <t>0272-3646</t>
  </si>
  <si>
    <t>1930-0557</t>
  </si>
  <si>
    <t>PHYS GEOGR</t>
  </si>
  <si>
    <t>Phys. Geogr.</t>
  </si>
  <si>
    <t>10.1080/02723646.2024.2324516</t>
  </si>
  <si>
    <t>Environmental Sciences; Geography, Physical; Geosciences, Multidisciplinary; Meteorology &amp; Atmospheric Sciences</t>
  </si>
  <si>
    <t>Environmental Sciences &amp; Ecology; Physical Geography; Geology; Meteorology &amp; Atmospheric Sciences</t>
  </si>
  <si>
    <t>YJ9A5</t>
  </si>
  <si>
    <t>WOS:001181115800001</t>
  </si>
  <si>
    <t>Kirschke, S; Bennett, C; Ghazani, AB; Franke, C; Kirschke, D; Lee, Y; Khouzani, STL; Nath, S</t>
  </si>
  <si>
    <t>Kirschke, Sabrina; Bennett, Christy; Ghazani, Armin Bigham; Franke, Christian; Kirschke, Dieter; Lee, Yeongju; Khouzani, Seyed Taha Loghmani; Nath, Shuvojit</t>
  </si>
  <si>
    <t>Citizen science projects in freshwater monitoring. From individual design to clusters?</t>
  </si>
  <si>
    <t>Citizen science; Community-based monitoring; Global survey; Multivariate analysis; Voluntary monitoring; Water; Water monitoring; Water quality</t>
  </si>
  <si>
    <t>FEEDBACK; QUALITY</t>
  </si>
  <si>
    <t>Citizen science projects spring up in freshwater monitoring, with an increasing number of projects in river, lake, and groundwater monitoring around the globe. Citizen science scholars assume that these projects have different designs, including diverse characteristics of citizens, institutions, and forms of interactions, potentially affecting the outcomes of these projects. Given the strong focus on case studies or reviews in the field, there is, however, little comparative evidence of the different types of citizen science projects in freshwater monitoring. Based on a global survey, this study provides a systematic comparative analysis of the design of 85 citizen science projects in the field of freshwater monitoring. Descriptive statistics reveal how projects differ along 45 literature-based design variables raised in the survey. Factor analysis based on 31 of these variables yields ten key design factors, and cluster analysis, based on these design factors, allows to identify seven distinguished clusters of citizen science projects. While these clusters are rather heterogeneous, they reveal differences between groups of projects regarding institutional motivation, citizen characteristics, and interaction forms. These results significantly add to a systematic comparison of citizen science projects in freshwater monitoring and enable a more effective involvement of citizens in environmental management.</t>
  </si>
  <si>
    <t>[Kirschke, Sabrina; Lee, Yeongju; Khouzani, Seyed Taha Loghmani; Nath, Shuvojit] United Nations Univ Inst Integrated Management Ma, Dresden, Germany; [Bennett, Christy; Ghazani, Armin Bigham] Tech Univ Dresden, Dresden, Germany; [Franke, Christian; Kirschke, Dieter] Humboldt Univ, Berlin, Germany</t>
  </si>
  <si>
    <t>Technische Universitat Dresden; Humboldt University of Berlin</t>
  </si>
  <si>
    <t>Kirschke, S (corresponding author), United Nations Univ Inst Integrated Management Ma, Dresden, Germany.</t>
  </si>
  <si>
    <t>kirschke@unu.edu</t>
  </si>
  <si>
    <t>; Nath, Shuvojit/HZK-7589-2023; Loghmani Khouzani, Seyed Taha/HKM-7449-2023</t>
  </si>
  <si>
    <t>Bennett, Christy/0000-0003-3006-7196; Nath, Shuvojit/0000-0002-0021-1575; Loghmani Khouzani, Seyed Taha/0000-0001-6877-6671; Kirschke, Sabrina/0000-0003-1036-3756</t>
  </si>
  <si>
    <t>MAY 1</t>
  </si>
  <si>
    <t>10.1016/j.jenvman.2022.114714</t>
  </si>
  <si>
    <t>FEB 2022</t>
  </si>
  <si>
    <t>2R2UV</t>
  </si>
  <si>
    <t>WOS:000820967200004</t>
  </si>
  <si>
    <t>Weiser, EL; Diffendorfer, JE; Lopez-Hoffman, L; Semmens, D; Thogmartin, WE</t>
  </si>
  <si>
    <t>Weiser, Emily L.; Diffendorfer, Jay E.; Lopez-Hoffman, Laura; Semmens, Darius; Thogmartin, Wayne E.</t>
  </si>
  <si>
    <t>Challenges for leveraging citizen science to support statistically robust monitoring programs</t>
  </si>
  <si>
    <t>Bias; Citizen science; Community science; Long-term monitoring; Sampling design; Population trend; Monarch butterfly; Danaus plexippus; Milkweed; Asclepias</t>
  </si>
  <si>
    <t>MONARCH BUTTERFLIES; PROBABILITY SAMPLE; POPULATION; MODEL; EXTINCTION; ABUNDANCE</t>
  </si>
  <si>
    <t>Large samples and long time series are often needed for effective broad-scale monitoring of status and trends in wild populations. Obtaining those sample sizes can be more feasible when volunteers contribute to the dataset, but volunteer-selected sites are not always representative of a population. Previous work to account for biased site selection has relied on knowledge of covariates to explain differences between site types, but such knowledge is often unavailable. For cases where relevant covariates have not been defined, we used a simulation study to identify the consequences of including non-probabilistically selected sites (NP sites) in addition to sites selected from a probability-based design (P sites), test modeling frameworks that might correct for biases, and evaluate whether those frameworks could allow NP sites to reduce the sampling requirement for P sites and potentially reduce costs of monitoring. We informed the simulation with pilot data from surveys of monarch butterflies and their obligate larval host plant, milkweed. We found strong biases in NP sites versus P sites in density and trends of monarchs and milkweed. Modeling frameworks that accounted for site type with a group effect or that strongly downweighted NP sites successfully produced unbiased estimates. However, sampling more NP sites typically did not improve accuracy or precision, and adding NP sites sometimes required also adding P sites to prevent biases. Further work on novel modeling frameworks would be useful to allow citizen-science data to contribute useful information to conservation.</t>
  </si>
  <si>
    <t>[Weiser, Emily L.; Thogmartin, Wayne E.] US Geol Survey, Upper Midwest Environm Sci Ctr, La Crosse, WI USA; [Diffendorfer, Jay E.; Semmens, Darius] US Geol Survey, Geosci &amp; Environm Change Sci Ctr, Box 25046, Denver, CO 80225 USA; [Lopez-Hoffman, Laura] Univ Arizona, Sch Nat Resources &amp; Environm, Tucson, AZ USA; [Lopez-Hoffman, Laura] Univ Arizona, Udall Ctr Studies Publ Policy, Tucson, AZ USA</t>
  </si>
  <si>
    <t>United States Department of the Interior; United States Geological Survey; United States Department of the Interior; United States Geological Survey; University of Arizona; University of Arizona</t>
  </si>
  <si>
    <t>Weiser, EL (corresponding author), US Geol Survey, Alaska Sci Ctr, 4210 Univ Dr, Anchorage, AK 99508 USA.</t>
  </si>
  <si>
    <t>eweiser@usgs.gov</t>
  </si>
  <si>
    <t>; Thogmartin, Wayne/A-4461-2008</t>
  </si>
  <si>
    <t>Semmens, Darius/0000-0001-7924-6529; Diffendorfer, Jay/0000-0003-1093-6948; Thogmartin, Wayne/0000-0002-2384-4279</t>
  </si>
  <si>
    <t>USGS John Wesley Powell Center for Analysis and Synthesis</t>
  </si>
  <si>
    <t>Salary support for ELW, JED, DS, and WET was provided by the U.S. Geological Survey (USGS) Status and Trends Program, Land Change Science Program, and Ecosystems Mission Area. Initial conception of the need for a continental-scale monitoring program was developed by scientists in the Monarch Conservation Science Partnership Working Group through meetings supported by the USGS John Wesley Powell Center for Analysis and Synthesis. The funding streams that supported this work were not directly involved in designing the study; collecting, analyzing, or interpreting data; writing the manuscript; or deciding when or where to submit the paper for publication.</t>
  </si>
  <si>
    <t>10.1016/j.biocon.2020.108411</t>
  </si>
  <si>
    <t>KR8GX</t>
  </si>
  <si>
    <t>WOS:000517855100007</t>
  </si>
  <si>
    <t>Hyder, K; Wright, S; Kirby, M; Brant, J</t>
  </si>
  <si>
    <t>Hyder, Kieran; Wright, Serena; Kirby, Mark; Brant, Jan</t>
  </si>
  <si>
    <t>The role of citizen science in monitoring small-scale pollution events</t>
  </si>
  <si>
    <t>MARINE POLLUTION BULLETIN</t>
  </si>
  <si>
    <t>Small-scale pollution events; Citizen science; Monitoring</t>
  </si>
  <si>
    <t>BRAER OIL-SPILL; PRINCE-WILLIAM-SOUND; BEACHED BIRD SURVEYS; ECOLOGICAL RESEARCH; SEA OTTERS; MARINE; IMPACT; VOLUNTEER; RECOVERY; PROGRAM</t>
  </si>
  <si>
    <t>Small-scale pollution events involve the release of potentially harmful substances into the marine environment. These events can affect all levels of the ecosystem, with damage to both fauna and flora. Numerous reporting structures are currently available to document spills, however there is a lack of information on small-scale events due to their magnitude and patchy distribution. To this end, volunteers may provide a useful tool in filling this data gap, especially for coastal environments with a high usage by members of the public. The potential for citizen scientists to record small-scale pollution events is explored using the UK as an example, with a focus on highlighting methods and issues associated with using this data source. An integrated monitoring system is proposed which combines citizen science and traditional reporting approaches.</t>
  </si>
  <si>
    <t>[Hyder, Kieran; Wright, Serena; Kirby, Mark; Brant, Jan] Ceroxe Environm Fisheries &amp; Aquaculture Sci Cefas, Lowestoft Lab, Pakefield Rd, Lowestoft NR33 OHT, Suffolk, England</t>
  </si>
  <si>
    <t>Hyder, K (corresponding author), Ceroxe Environm Fisheries &amp; Aquaculture Sci Cefas, Lowestoft Lab, Pakefield Rd, Lowestoft NR33 OHT, Suffolk, England.</t>
  </si>
  <si>
    <t>kieran.hyder@cefas.co.uk</t>
  </si>
  <si>
    <t>Kirby, Mark/LNR-2596-2024; Brant, Jan/E-7215-2013</t>
  </si>
  <si>
    <t>Wright, Serena/0000-0003-4912-1455; Hyder, Kieran/0000-0003-1428-5679</t>
  </si>
  <si>
    <t>Department for Environment, Food and Rural Affairs (Defra) [ME1314]; Defra [MF1230]</t>
  </si>
  <si>
    <t>Department for Environment, Food and Rural Affairs (Defra)(Department for Environment, Food &amp; Rural Affairs (DEFRA)); Defra(Department for Environment, Food &amp; Rural Affairs (DEFRA))</t>
  </si>
  <si>
    <t>This study was funded by the Department for Environment, Food and Rural Affairs (Defra) as a technology transfer works package under Marine Emergency Response Research [ME1314] and supported by ideas developed within Defra project Citizen Science Investigations empowering the public through the use of novel technologies to collect policy-relevant marine data [MF1230].</t>
  </si>
  <si>
    <t>0025-326X</t>
  </si>
  <si>
    <t>1879-3363</t>
  </si>
  <si>
    <t>MAR POLLUT BULL</t>
  </si>
  <si>
    <t>Mar. Pollut. Bull.</t>
  </si>
  <si>
    <t>JUL 15</t>
  </si>
  <si>
    <t>1-2</t>
  </si>
  <si>
    <t>10.1016/j.marpolbul.2017.04.038</t>
  </si>
  <si>
    <t>Environmental Sciences; Marine &amp; Freshwater Biology</t>
  </si>
  <si>
    <t>Environmental Sciences &amp; Ecology; Marine &amp; Freshwater Biology</t>
  </si>
  <si>
    <t>FD4YY</t>
  </si>
  <si>
    <t>WOS:000407539300017</t>
  </si>
  <si>
    <t>Weeser, B; Kroese, JS; Jacobs, SR; Njue, N; Kemboi, Z; Ran, A; Rufino, MC; Breuer, L</t>
  </si>
  <si>
    <t>Weeser, B.; Kroese, J. Stenfert; Jacobs, S. R.; Njue, N.; Kemboi, Z.; Ran, A.; Rufino, M. C.; Breuer, L.</t>
  </si>
  <si>
    <t>Citizen science pioneers in Kenya - A crowdsourced approach for hydrological monitoring</t>
  </si>
  <si>
    <t>Water resources management; Hydrology; Water level; East Africa; Sondu catchment; Text message; Kenya</t>
  </si>
  <si>
    <t>LEVEL OBSERVATIONS; WATER</t>
  </si>
  <si>
    <t>Although water is involved in many ecosystem services, the absence of monitoring data restricts the development of effective water management strategies especially in remote regions. Traditional monitoring networks can be expensive, with unaffordable costs in many low-income countries. Involving citizens in monitoring through crowdsourcing has the potential to reduce these costs but remains uncommon in hydrology. This study evaluates the quality and quantity of data generated by citizens in a remote Kenyan basin and assesses whether crowdsourcing is a suitable method to overcome data scarcity. We installed thirteen water level gauges equipped with signboards explaining the monitoring process to passers-by. Results were sent via a text-message-based data collection framework that included an immediate feedback to citizens. A public web interface was used to visualize the data. Within the first year, 124 citizens reported 1175 valid measurements. We identified thirteen citizens as active observers providing more than ten measurements, whereas 57% only sent one record. A comparison between the crowdsourced water level data and an automatic gauging station revealed high data quality. The results of this study indicate that citizens can provide water level data of sufficient quality and with high temporal resolution. (C) 2018 Elsevier B.V. All rights reserved.</t>
  </si>
  <si>
    <t>[Weeser, B.; Jacobs, S. R.; Njue, N.; Breuer, L.] Justus Liebig Univ Giessen, Inst Landscape Ecol &amp; Resources Management ILR, Res Ctr BioSyst Land Use &amp; Nutr IFZ, Heinrich Buff Ring 26, D-35392 Giessen, Germany; [Weeser, B.; Jacobs, S. R.; Breuer, L.] Justus Liebig Univ Giessen, Ctr Int Dev &amp; Environm Res, Senckenbergstr 3, D-35390 Giessen, Germany; [Weeser, B.; Kroese, J. Stenfert; Jacobs, S. R.; Njue, N.] World Agroforestry Ctr, Ctr Int Forestry Res CIFOR, United Nations Ave,POB 30677, Nairobi 00100, Kenya; [Jacobs, S. R.] Karlsruhe Inst Technol, Inst Meteorol &amp; Climate Res Atmospher Environm Re, Kreuzeckbahnstr 19, D-82467 Garmisch Partenkirchen, Germany; [Kemboi, Z.; Ran, A.] Deutsch Gesell Int Zusammenarbeit GIZ GmbH, Int Water Stewardship Programme, Ngong Rd,POB 19512, Nairobi 00202, Kenya; [Kroese, J. Stenfert; Rufino, M. C.] Univ Lancaster, Lancaster Environm Ctr, Lancaster LA1 4YQ, England</t>
  </si>
  <si>
    <t>Justus Liebig University Giessen; Justus Liebig University Giessen; CGIAR; Center for International Forestry Research (CIFOR); World Agroforestry (ICRAF); Helmholtz Association; Karlsruhe Institute of Technology; Lancaster University</t>
  </si>
  <si>
    <t>Weeser, B (corresponding author), Justus Liebig Univ Giessen, Inst Landscape Ecol &amp; Resources Management ILR, Res Ctr BioSyst Land Use &amp; Nutr IFZ, Heinrich Buff Ring 26, D-35392 Giessen, Germany.</t>
  </si>
  <si>
    <t>bjoern.weeser@umwelt.uni-giessen.de</t>
  </si>
  <si>
    <t>Rufino, Mariana/D-8380-2013; Breuer, Lutz/C-6652-2013; Jacobs, Suzanne/GQP-6323-2022</t>
  </si>
  <si>
    <t>Rufino, Mariana/0000-0003-4293-3290; Breuer, Lutz/0000-0001-9720-1076; Weeser, Björn/0000-0001-7400-319X</t>
  </si>
  <si>
    <t>Water Resources Authority (WRA) of Kenya; Deutsche Forschungsgemeinschaft DFG [BR2238/23-1]; Deutsche Gesellschaft fur Internationale Zusammenarbeit GIZ, German Federal Ministry for Economic Cooperation and Development [81195001, 81206682]</t>
  </si>
  <si>
    <t>Water Resources Authority (WRA) of Kenya; Deutsche Forschungsgemeinschaft DFG(German Research Foundation (DFG)); Deutsche Gesellschaft fur Internationale Zusammenarbeit GIZ, German Federal Ministry for Economic Cooperation and Development</t>
  </si>
  <si>
    <t>We would like to thank the citizens of the Sondu-Miriu River basin who participate in our programme, and the Water Resources Authority (WRA) of Kenya for supporting the research team to conduct this research. We also thank the Deutsche Forschungsgemeinschaft DFG (BR2238/23-1), and the Deutsche Gesellschaft fur Internationale Zusammenarbeit GIZ, German Federal Ministry for Economic Cooperation and Development (Grants 81195001 Low Cost methods for monitoring water quality to inform upscaling of sustainable water management in forested landscapes in Kenya and Grant 81206682 The Water Towers of East Africa: policies and practices for enhancing co-benefits from joint forest and water conservation) for generously providing financial support.</t>
  </si>
  <si>
    <t>631-632</t>
  </si>
  <si>
    <t>10.1016/j.scitotenv.2018.03.130</t>
  </si>
  <si>
    <t>GG1UC</t>
  </si>
  <si>
    <t>WOS:000432471900158</t>
  </si>
  <si>
    <t>Mira, AF; Hortal, J; Portela, AP; Albertos, B; Estébanez, B; Branquinho, C; Vieira, C; Hespanhol, H; Draper, I; Marques, J; Monteiro, J; Leo, M; Hurtado, P; Ochoa-Hueso, R; Varela, Z; Medina, NG</t>
  </si>
  <si>
    <t>Mira, Andre F.; Hortal, Joaquin; Portela, Ana Paula; Albertos, Belen; Estebanez, Belen; Branquinho, Cristina; Vieira, Cristiana; Hespanhol, Helena; Draper, Isabel; Marques, Joana; Monteiro, Juliana; Leo, Maria; Hurtado, Pilar; Ochoa-Hueso, Raul; Varela, Zulema; Medina, Nagore G.</t>
  </si>
  <si>
    <t>eBryoSoil: a citizen science application to monitor changes in soil ecosystems</t>
  </si>
  <si>
    <t>Biological soil covers (BSCs); Citizen science; Climate change; Iberian Peninsula; Soil communities; eBryoSoil</t>
  </si>
  <si>
    <t>VASCULAR PLANTS; TENGGER DESERT; CLIMATE-CHANGE; CRUSTS; BRYOPHYTES; LICHENS; TEMPERATURE; RESPONSES; BIODIVERSITY; PHOTOSYNTHESIS</t>
  </si>
  <si>
    <t>Biological soil covers (BSCs) play a pivotal role in ecosystem functioning by enhancing soil stability, mediating nutrient cycling, and influencing soil hydrology. Recognized as ecosystem engineers, they can physically modify, maintain, or create habitats, facilitating plant community development. Through these intricate interactions, BSCs contribute significantly to ecological processes, highlighting their importance in the overall health and functionality of the ecosystems of the Iberian Peninsula. Here we present the results obtained from the contributions of the citizen scientists uploaded from November 2019 to January 2021 with eBryoSoil, an app that allows citizens to participate in mapping the BSC communities across the Iberian Peninsula. Here, we emphasize the importance of habitats and consequently, their interaction with climatic variables for the persistence of BSCs (lichens and bryophytes). Conservation efforts targeted at preserving diverse habitats are essential to ensure the continued presence of lichen and bryophyte communities. Despite challenges posed by the SARS-CoV-2 outbreak, this citizen science project demonstrated success in utilizing a specifically tailored app to gather valuable information on BSC communities, providing insights into their vulnerability to climate change. This program serves as an illustrative example of how citizen science can effectively identify and study vulnerable habitats, offering a blueprint for future studies focused on understudied organisms.</t>
  </si>
  <si>
    <t>[Mira, Andre F.; Hortal, Joaquin] CSIC, Dept Biogeog &amp; Global Change, Museo Nacl Ciencias Nat MNCN, Madrid 28006, Spain; [Mira, Andre F.; Estebanez, Belen; Draper, Isabel; Medina, Nagore G.] Univ Autonoma Madrid, Dept Biol, Madrid 28049, Spain; [Mira, Andre F.] Univ Rey Juan Carlos, Programa Doctorado Conservac Recursos Nat, Madrid 28933, Spain; [Hortal, Joaquin; Branquinho, Cristina; Monteiro, Juliana] Univ Lisbon, cE3c &amp; Global Change &amp; Sustainabil Inst CHANGE, Ctr Ecol Evolut &amp; Environm Changes cE3c, P-1749016 Lisbon, Portugal; [Hortal, Joaquin; Branquinho, Cristina; Monteiro, Juliana] Univ Lisbon, Global Change &amp; Sustainabil Inst CHANGE, Fac Ciencias, P-1749016 Lisbon, Portugal; [Portela, Ana Paula; Hespanhol, Helena; Marques, Joana] Univ Porto, Ctr Invest Biodiversidade &amp; Recursos Genet, InBIO Lab Associado, CIBIO, Vairao, Portugal; [Portela, Ana Paula] Univ Porto, Fac Ciencias, Dept Biol, Porto, Portugal; [Portela, Ana Paula; Hespanhol, Helena; Marques, Joana] CIBIO, BIOPOLIS Program Genom Biodivers &amp; Land Planning, P-4485661 Vairao, Portugal; [Albertos, Belen] Univ Valencia, Dept Bot &amp; Geol, Burjassot 46100, Spain; [Vieira, Cristiana] Univ Porto, Museu Hist Nat &amp; Ciencia, UPorto, PRISC, P-4099002 Porto, Portugal; [Draper, Isabel; Medina, Nagore G.] Univ Autonoma Madrid, Ctr Invest Biodivers &amp; Cambio Global, Madrid 28049, Spain; [Leo, Maria] CSIC, Dept Soil Plant &amp; Environm Qual, Inst Ciencias Agr, Madrid 28006, Spain; [Hurtado, Pilar] Univ Rey Juan Carlos, Area Biodivers &amp; Conservat, Madrid, Spain; [Hurtado, Pilar] Univ Genoa, DIFAR, I-16148 Genoa, Italy; [Ochoa-Hueso, Raul] Univ Cadiz, Dept Biol, IVAGRO, Campus Int Agri Food Excellence ceiA3, Cadiz 11510, Spain; [Varela, Zulema] Univ Santiago de Compostela, Dept Funct Biol, Ecol Unit, CRETUS, Santiago De Compostela 15872, Spain</t>
  </si>
  <si>
    <t>Consejo Superior de Investigaciones Cientificas (CSIC); CSIC - Museo Nacional de Ciencias Naturales (MNCN); Autonomous University of Madrid; Universidad Rey Juan Carlos; Universidade de Lisboa; Universidade de Lisboa; Universidade do Porto; Universidade do Porto; Universidade do Porto; University of Valencia; Universidade do Porto; Autonomous University of Madrid; Consejo Superior de Investigaciones Cientificas (CSIC); CSIC - Instituto de Ciencias Agrarias (ICA); Universidad Rey Juan Carlos; University of Genoa; Universidad de Cadiz; Universidade de Santiago de Compostela</t>
  </si>
  <si>
    <t>Mira, AF (corresponding author), CSIC, Dept Biogeog &amp; Global Change, Museo Nacl Ciencias Nat MNCN, Madrid 28006, Spain.;Mira, AF (corresponding author), Univ Autonoma Madrid, Dept Biol, Madrid 28049, Spain.;Mira, AF (corresponding author), Univ Rey Juan Carlos, Programa Doctorado Conservac Recursos Nat, Madrid 28933, Spain.</t>
  </si>
  <si>
    <t>andrelfmira94@gmail.com</t>
  </si>
  <si>
    <t>Branquinho, Cristina/B-3670-2008; Medina, Nagore/M-1117-2018; Monteiro, Juliana/ABG-1824-2020; Marques, Joana/KUG-8002-2024; Draper, Isabel/G-1753-2016; Hortal, Joaquín/A-1531-2008; Portela, Ana Paula/HLP-5805-2023; Vieira, Cristiana/L-7471-2013; Ochoa-Hueso, Raúl/K-1113-2016; Albertos, Belén/JCO-4227-2023; Marques, Joana/L-7872-2013; Hespanhol, Helena/L-7301-2013; Varela, Zulema/A-4025-2017</t>
  </si>
  <si>
    <t>Hortal, Joaquín/0000-0002-8370-8877; Portela, Ana Paula/0000-0002-1296-7708; Vieira, Cristiana/0000-0003-4252-8498; Ochoa-Hueso, Raúl/0000-0002-1839-6926; Albertos, Belén/0000-0002-2116-5600; Marques, Joana/0000-0003-3702-9782; Hespanhol, Helena/0000-0002-8109-8112; Varela, Zulema/0000-0002-4751-7686; Estebanez Perez, Belen/0000-0002-5567-0234</t>
  </si>
  <si>
    <t>Ministerio de Ciencia e Innovacion [PRE2020-091793, PID2019-106840GA-C22, PID2022-140985NB-C22]; Xunta de Galicia (Spain); Maria Zambrano program of the Spanish Ministry of Universities; National Funds through FCT-Fundacao para a Ciencia e a Tecnologia [UIDP/50027/2020]; Fundacion Espanola para la Ciencia y la Tecnologia [FCT-2018-13511]</t>
  </si>
  <si>
    <t>Ministerio de Ciencia e Innovacion(Instituto de Salud Carlos IIISpanish Government); Xunta de Galicia (Spain)(Xunta de Galicia); Maria Zambrano program of the Spanish Ministry of Universities; National Funds through FCT-Fundacao para a Ciencia e a Tecnologia(Fundacao para a Ciencia e a Tecnologia (FCT)); Fundacion Espanola para la Ciencia y la Tecnologia(Spanish Government)</t>
  </si>
  <si>
    <t>A. F. Mira work was funded by the PhD grant (PRE2020-091793) awarded from Ministerio de Ciencia e Innovacion.Z. Varela collaborated in this study with a postdoctoral research grant awarded by the Xunta de Galicia (Spain; Modalidade B-2019) but is currently supported by the Maria Zambrano program of the Spanish Ministry of Universities. H. Hespanhol research is funded by National Funds through FCT-Fundacao para a Ciencia e a Tecnologia in the scope of the project UIDP/50027/2020.The work was supported by Fundacion Espanola para la Ciencia y la Tecnologia, project FCT-2018-13511 and Ministerio de Ciencia e Innovacion, Project SCENIC PID2019-106840GA-C22 and Project Niced PID2022-140985NB-C22.</t>
  </si>
  <si>
    <t>OCT 19</t>
  </si>
  <si>
    <t>10.1038/s41598-024-74464-8</t>
  </si>
  <si>
    <t>J8N6N</t>
  </si>
  <si>
    <t>WOS:001339577900055</t>
  </si>
  <si>
    <t>Kyba, CCM; Wagner, JM; Kuechly, HU; Walker, CE; Elvidge, CD; Falchi, F; Ruhtz, T; Fischer, J; Hölker, F</t>
  </si>
  <si>
    <t>Kyba, Christopher C. M.; Wagner, Janna M.; Kuechly, Helga U.; Walker, Constance E.; Elvidge, Christopher D.; Falchi, Fabio; Ruhtz, Thomas; Fischer, Juergen; Hoelker, Franz</t>
  </si>
  <si>
    <t>Citizen Science Provides Valuable Data for Monitoring Global Night Sky Luminance</t>
  </si>
  <si>
    <t>LIGHT-POLLUTION; DARK SIDE; WORLD; PROPAGATION; BRIGHTNESS</t>
  </si>
  <si>
    <t>The skyglow produced by artificial lights at night is one of the most dramatic anthropogenic modifications of Earth's biosphere. The GLOBE at Night citizen science project allows individual observers to quantify skyglow using star maps showing different levels of light pollution. We show that aggregated GLOBE at Night data depend strongly on artificial skyglow, and could be used to track lighting changes worldwide. Naked eye time series can be expected to be very stable, due to the slow pace of human eye evolution. The standard deviation of an individual GLOBE at Night observation is found to be 1.2 stellar magnitudes. Zenith skyglow estimates from the First World Atlas of Artificial Night Sky Brightness are tested using a subset of the GLOBE at Night data. Although we find the World Atlas overestimates sky brightness in the very center of large cities, its predictions for Milky Way visibility are accurate.</t>
  </si>
  <si>
    <t>[Kyba, Christopher C. M.; Ruhtz, Thomas; Fischer, Juergen] Free Univ Berlin, Inst Space Sci, Berlin, Germany; [Kyba, Christopher C. M.; Wagner, Janna M.; Kuechly, Helga U.; Hoelker, Franz] Leibniz Inst Freshwater Ecol &amp; Inland Fisheries, Berlin, Germany; [Walker, Constance E.] Natl Opt Astron Observ, Tucson, AZ 85726 USA; [Elvidge, Christopher D.] NOAA, Boulder, CO USA; [Falchi, Fabio] Light Pollut Sci &amp; Technol Inst ISTIL, Thiene, Italy</t>
  </si>
  <si>
    <t>Free University of Berlin; Leibniz Association; Leibniz Institut fur Gewasserokologie und Binnenfischerei (IGB); National Optical Astronomy Observatory; National Oceanic Atmospheric Admin (NOAA) - USA</t>
  </si>
  <si>
    <t>Kyba, CCM (corresponding author), Free Univ Berlin, Inst Space Sci, Berlin, Germany.</t>
  </si>
  <si>
    <t>christopher.kyba@wew.fu-berlin.de</t>
  </si>
  <si>
    <t>Hölker, Franz/A-5683-2009; Kyba, Christopher/I-2014-2012; Ruhtz, Thomas/Z-5496-2019; Falchi, Fabio/JDW-8929-2023; Elvidge, Christopher/C-3012-2009</t>
  </si>
  <si>
    <t>Hölker, Franz/0000-0001-5932-266X; Kyba, Christopher/0000-0001-7014-1843; Ruhtz, Thomas/0000-0003-4646-3791; Kuechly, Helga/0000-0001-6449-1644; Falchi, Fabio/0000-0002-3706-5639;</t>
  </si>
  <si>
    <t>Verlust der Nacht project; Federal Ministry of Education and Research, Germany [BMBF-033L038A]; project (IFV) Lichtimmissionen im offentlichen Raum; Berlin Senate Department for Economics, Technology and Research, Germany</t>
  </si>
  <si>
    <t>Verlust der Nacht project; Federal Ministry of Education and Research, Germany(Federal Ministry of Education &amp; Research (BMBF)); project (IFV) Lichtimmissionen im offentlichen Raum; Berlin Senate Department for Economics, Technology and Research, Germany</t>
  </si>
  <si>
    <t>We thank Ania Wisniewska for her visit to Berlin under the Erasmus student exchange program, during which the idea for this manuscript was conceived. We also thank Paul Marchant for reviewing an early version of the manuscript. This work was supported by the Verlust der Nacht project (funded by the Federal Ministry of Education and Research, Germany, BMBF-033L038A) and the project (IFV) Lichtimmissionen im offentlichen Raum (funded by the Berlin Senate Department for Economics, Technology and Research, Germany).</t>
  </si>
  <si>
    <t>MAY 16</t>
  </si>
  <si>
    <t>10.1038/srep01835</t>
  </si>
  <si>
    <t>144TZ</t>
  </si>
  <si>
    <t>WOS:000318964600001</t>
  </si>
  <si>
    <t>Setälä, O; Tirroniemi, J; Lehtiniemi, M</t>
  </si>
  <si>
    <t>Setala, Outi; Tirroniemi, Jyri; Lehtiniemi, Maiju</t>
  </si>
  <si>
    <t>Testing citizen science as a tool for monitoring surface water microplastics</t>
  </si>
  <si>
    <t>Manta trawl; Volunteer monitoring; Surface water; Spatial coverage; Sailing</t>
  </si>
  <si>
    <t>BALTIC SEA; MICROLITTER; ARCHIPELAGO; INGESTION; ABUNDANCE; PLASTICS; DEBRIS; TRAWL; GULF</t>
  </si>
  <si>
    <t>The use of citizen science in the collection of surface water marine microplastics (MP) samples with manta trawl was tested in the Baltic Sea, where the collection of surface water samples is often hampered by environmental conditions. Sampling was carried out at 7 locations around the Baltic Sea with a custom-made manta trawl which was operated onboard a sailing boat. The total concentrations of &gt;= 0.3 mm MP in the samples ranged from 0.45 to 1.98 MP m(-3). Based on the results and experiences from this study, citizen science could be introduced into the toolbox of monitoring large MP. When the common basic constraints of surface water sampling within a regional sea are defined and agreed upon, citizen science could be used for strengthening the power of assessments on the state of the marine environment by increasing the spatial coverage of the monitored area.</t>
  </si>
  <si>
    <t>[Setala, Outi; Tirroniemi, Jyri; Lehtiniemi, Maiju] Finnish Environm Inst, Ctr Marine Res, Latokartanonkaari 11, Helsinki 00790, Finland</t>
  </si>
  <si>
    <t>Finnish Environment Institute</t>
  </si>
  <si>
    <t>Setälä, O (corresponding author), Finnish Environm Inst, Ctr Marine Res, Latokartanonkaari 11, Helsinki 00790, Finland.</t>
  </si>
  <si>
    <t>outi.setala@syke.fi</t>
  </si>
  <si>
    <t>Lehtiniemi, Maiju/AAN-6012-2020</t>
  </si>
  <si>
    <t>Finnish Environment Institute (SYKE); Academy of Finland (MIF) [296169]; Finnish Operational Program for the European Maritime and Fisheries Fund (EMFF); Academy of Finland (AKA) [296169] Funding Source: Academy of Finland (AKA)</t>
  </si>
  <si>
    <t>Finnish Environment Institute (SYKE); Academy of Finland (MIF); Finnish Operational Program for the European Maritime and Fisheries Fund (EMFF); Academy of Finland (AKA)(Research Council of Finland)</t>
  </si>
  <si>
    <t>Open access funding provided by Finnish Environment Institute (SYKE). This work was partially supported by The Academy of Finland (MIF, no 296169) and the Finnish Operational Program for the European Maritime and Fisheries Fund (EMFF). The authors have no financial or proprietary interests in any material discussed in this article.</t>
  </si>
  <si>
    <t>10.1007/s10661-022-10487-w</t>
  </si>
  <si>
    <t>5D0TW</t>
  </si>
  <si>
    <t>WOS:000864664700003</t>
  </si>
  <si>
    <t>Wolff, E; French, M; Ilhamsyah, N; Sawailau, MJ; Ramírez-Lovering, D</t>
  </si>
  <si>
    <t>Wolff, Erich; French, Matthew; Ilhamsyah, Noor; Sawailau, Mere Jane; Ramirez-Lovering, Diego</t>
  </si>
  <si>
    <t>Collaborating With Communities: Citizen Science Flood Monitoring in Urban Informal Settlements</t>
  </si>
  <si>
    <t>URBAN PLANNING</t>
  </si>
  <si>
    <t>citizen science; climate change; community-based methods; Fiji; flood monitoring; Indonesia; informal settlements</t>
  </si>
  <si>
    <t>DISASTER RISK REDUCTION; SYSTEMS; NEED</t>
  </si>
  <si>
    <t>Concerns regarding the impacts of climate change on marginalised communities in the Global South have led to calls for affected communities to be more active as agents in the process of planning for climate change. While the value of involving communities in risk management is increasingly accepted, the development of appropriate tools to support community engagement in flood risk management projects remains nascent. Using the Revitalising Informal Settlements and their Environments Program as a case study, the article interrogates the potential of citizen science to include disadvantaged urban communities in project-level flood risk reduction planning processes. This project collected more than 5,000 photos taken by 26 community members living in 13 informal settlements in Fiji and Indonesia between 2018 and 2020. The case study documents the method used as well as the results achieved within this two-year project. It discusses the method developed and implemented, outlines the main results, and provides lessons learned for others embarking on citizen science environmental-monitoring projects. The case study indicates that the engagement model and the technology used were key to the success of the flood-monitoring project. The experiences with the practice of monitoring floods in collaboration with communities in Fiji and Indonesia provide insights into how similar projects could advance more participatory risk management practices. The article identifies how this kind of approach can collect valuable flood data while also promoting opportunities for local communities to be heard in the arena of risk reduction and climate change adaptation.</t>
  </si>
  <si>
    <t>[Wolff, Erich; Ramirez-Lovering, Diego] Monash Univ, Fac Art Design &amp; Architecture, Clayton, Vic, Australia; [French, Matthew] Monash Univ, Monash Sustainable Dev Inst, Clayton, Vic, Australia; [Ilhamsyah, Noor] Revitalising Informal Settlements &amp; Their Environ, Bandung, Indonesia; [Sawailau, Mere Jane] Revitalising Informal Settlements &amp; Their Environ, Suva, Fiji</t>
  </si>
  <si>
    <t>Monash University; Monash University</t>
  </si>
  <si>
    <t>Wolff, E (corresponding author), Monash Univ, Fac Art Design &amp; Architecture, Clayton, Vic, Australia.</t>
  </si>
  <si>
    <t>erich.wolff@monash.edu; matthew.french@monash.edu; noorilhamsyah.rise@gmail.com; merejane.sawailau@livelearn.org; diego.ramirez@monash.edu</t>
  </si>
  <si>
    <t>Wolff, Erich/GOE-4190-2022</t>
  </si>
  <si>
    <t>Wolff, Erich/0000-0001-7420-3546</t>
  </si>
  <si>
    <t>Wellcome Trust (OPOH) [205222/Z/16/Z]; New Zealand Ministry of Foreign Affairs and Trade; Australian Department of Foreign Affairs and Trade; Asian Development Bank; Government of Fiji; City of Makassar; Monash University; Wellcome Trust [205222/Z/16/Z] Funding Source: Wellcome Trust</t>
  </si>
  <si>
    <t>Wellcome Trust (OPOH)(Wellcome Trust); New Zealand Ministry of Foreign Affairs and Trade; Australian Department of Foreign Affairs and Trade(Australian Government); Asian Development Bank; Government of Fiji; City of Makassar; Monash University(Monash University); Wellcome Trust(Wellcome Trust)</t>
  </si>
  <si>
    <t>The authors acknowledge the contributions of the colleagues within the RISE consortium, particularly the researchers and staff members involved in the flood-monitoring project in Fiji and Indonesia, including Isoa Vakarewa, Alex Wilson, Mosese Walesi, and Intan Putri, without which the flood-monitoring program here discussed would not have been possible. We would also like to thank the contribution of all residents that participated in this project. The RISE program is funded by the Wellcome Trust (OPOH Grant No. 205222/Z/16/Z), the New Zealand Ministry of Foreign Affairs and Trade, the Australian Department of Foreign Affairs and Trade, the Asian Development Bank, the Government of Fiji, the City of Makassar, and Monash University, and involves partnerships and in-kind contributions from the Cooperative Research Centre for Water Sensitive Cities, Fiji National University, Hasanuddin University, Southeast Water, Melbourne Water, Live and Learn Environmental Education, UN-Habitat, UNU-IIGH, WaterAid International, and Oxfam. Ethics review and approval was secured by the Monash University Human Research Ethics Committee, the Ministry of Research, Technology and Higher Education Ethics Committee of Medical Research at Universitas Hasanuddin (Makassar, Indonesia), and Fiji National University Ethics Committee. The RISE trial is registered on the Australian New Zealand Clinical Trials Registry (Trial ID: ACTRN12618000633280). All study settlements, households, and caregivers/respondents provided informed consent.</t>
  </si>
  <si>
    <t>COGITATIO PRESS</t>
  </si>
  <si>
    <t>LISBON</t>
  </si>
  <si>
    <t>RUA FIALHO ALMEIDA 14, 2 ESQ, LISBON, 1070-129, PORTUGAL</t>
  </si>
  <si>
    <t>2183-7635</t>
  </si>
  <si>
    <t>URBAN PLAN</t>
  </si>
  <si>
    <t>Urban Plan.</t>
  </si>
  <si>
    <t>10.17645/up.v6i4.4648</t>
  </si>
  <si>
    <t>Urban Studies</t>
  </si>
  <si>
    <t>YH7RW</t>
  </si>
  <si>
    <t>WOS:000743361500014</t>
  </si>
  <si>
    <t>Lloyd, TJ; Fuller, RA; Oliver, JL; Tulloch, A; Barnes, M; Steven, R</t>
  </si>
  <si>
    <t>Lloyd, Thomas J.; Fuller, Richard A.; Oliver, Jessica L.; Tulloch, Ayesha, I; Barnes, Megan; Steven, Rochelle</t>
  </si>
  <si>
    <t>Estimating the spatial coverage of citizen science for monitoring threatened species</t>
  </si>
  <si>
    <t>GLOBAL ECOLOGY AND CONSERVATION</t>
  </si>
  <si>
    <t>Endangered species; Biodiversity; Conservation; Biodiversity monitoring; Volunteer monitoring</t>
  </si>
  <si>
    <t>CONSERVATION</t>
  </si>
  <si>
    <t>Monitoring threatened species is vital for effective conservation, and citizen science can fill information gaps where professionally derived monitoring data are unavailable or guide where further survey efforts may be warranted. Yet the geographic and taxonomic coverage of citizen science projects is poorly understood. Using a snapshot in time approach, we reviewed citizen science monitoring and survey projects in Australia in 2017 and identified 133 projects contributing to threatened species monitoring or conservation action in both terrestrial and marine environments. Most projects (61%) are relevant for 10 or fewer threatened species. Relevant citizen science projects tend to be concentrated along the more densely populated eastern and south-western coasts, while relatively few projects occur in northern regions of Australia. Our findings show a high convergence between citizen science project densities and threatened species richness in many terrestrial areas, although they also highlight areas with potential to expand citizen science, and indicate areas where professional monitoring is unlikely to be augmented by citizen science. (C) 2020 Published by Elsevier B.V.</t>
  </si>
  <si>
    <t>[Lloyd, Thomas J.; Fuller, Richard A.; Steven, Rochelle] Univ Queensland, Sch Biol Sci, St Lucia, Qld 4072, Australia; [Lloyd, Thomas J.; Fuller, Richard A.; Tulloch, Ayesha, I; Steven, Rochelle] Univ Queensland, Ctr Biodivers &amp; Conservat Sci, St Lucia, Qld 4072, Australia; [Oliver, Jessica L.] Queensland Univ Technol, Sch Elect Engn &amp; Comp Sci, Brisbane, Qld 4000, Australia; [Tulloch, Ayesha, I] Univ Sydney, Sch Life &amp; Environm Sci, Camperdown, NSW 2006, Australia; [Tulloch, Ayesha, I; Steven, Rochelle] Univ Queensland, Natl Environm Sci Programme Threatened Species Hu, St Lucia, Qld 4072, Australia; [Barnes, Megan] Keiran McNamara Conservat Sci Ctr, Dept Biodivers Conservat &amp; Attract, Biodivers &amp; Conservat Sci, 17 Dick Perry Ave, Kensington, WA 6151, Australia</t>
  </si>
  <si>
    <t>University of Queensland; University of Queensland; Queensland University of Technology (QUT); University of Sydney; University of Queensland</t>
  </si>
  <si>
    <t>Steven, R (corresponding author), Univ Queensland, Sch Biol Sci, St Lucia, Qld 4072, Australia.</t>
  </si>
  <si>
    <t>thomas.lloyd@uq.edu.au; r.fuller@uq.edu.au; jessie.l.oliver@gmail.com; megan.barnes@dbca.wa.gov.au; rochellelovesbirds@gmail.com</t>
  </si>
  <si>
    <t>Tulloch, Ayesha/KCY-9059-2024; Lloyd, Thomas/LTE-5900-2024; Fuller, Richard/B-7971-2008; Oliver, Jessica/ABD-8539-2020; Steven, Rochelle/AAD-5898-2020</t>
  </si>
  <si>
    <t>Tulloch, Ayesha/0000-0002-5866-1923; Fuller, Richard/0000-0001-9468-9678; Oliver, Jessica/0000-0002-3464-0247; Steven, Rochelle/0000-0002-3474-6818; Lloyd, Tom/0000-0001-9940-8767</t>
  </si>
  <si>
    <t>Australian Government's National Environmental Science Program through the Threatened Species Recovery Hub; Australian Research Council [DE170100599]; Australian Government; Australian Research Council [DE170100599] Funding Source: Australian Research Council</t>
  </si>
  <si>
    <t>Australian Government's National Environmental Science Program through the Threatened Species Recovery Hub(Australian Government); Australian Research Council(Australian Research Council); Australian Government(Australian Government); Australian Research Council(Australian Research Council)</t>
  </si>
  <si>
    <t>We thank the numerous volunteers that give their time to the various projects reviewed in this study. This research received support from the Australian Government's National Environmental Science Program through the Threatened Species Recovery Hub. Ayesha Tulloch receives funding from the Australian Research Council, Australian Government. Ayesha Tulloch was supported by an Australian Research Council Discovery Early Career Researcher Award DE170100599.Thomas Lloyd is a research assistant at the University of Queensland, Richard Fuller is a professor at the University of Queensland, Jessica Oliver is a PhD candidate at the Queensland University of Technology, Megan Barnes is a research scientist at the Department of Biodiversity, Conservation and Attractions (Western Australia), Ayesha Tulloch is an ARC DECRA Fellow at the University of Sydney, Rochelle Steven is a postdoctoral researcher with the Threatened Species Recovery Hub at the University of Queensland. This research received support from the Australian Government's National Environmental Science Program through the Threatened Species Recovery Hub and Australian Research Council, Australian Government.</t>
  </si>
  <si>
    <t>2351-9894</t>
  </si>
  <si>
    <t>GLOB ECOL CONSERV</t>
  </si>
  <si>
    <t>Glob. Ecol. Conserv.</t>
  </si>
  <si>
    <t>e01048</t>
  </si>
  <si>
    <t>10.1016/j.gecco.2020.e01048</t>
  </si>
  <si>
    <t>NN3TH</t>
  </si>
  <si>
    <t>WOS:000568713200001</t>
  </si>
  <si>
    <t>Pitt, AN; Schultz, CA</t>
  </si>
  <si>
    <t>Pitt, Aleksandra N.; Schultz, Courtney A.</t>
  </si>
  <si>
    <t>Youth-Based Citizen Science Monitoring: Case Studies from Three National Forests</t>
  </si>
  <si>
    <t>JOURNAL OF FORESTRY</t>
  </si>
  <si>
    <t>citizen science; monitoring; US Forest Service</t>
  </si>
  <si>
    <t>The Forest Service is integrating citizen science programs and data into the management of national forests. We selected three Forest Service citizen science programs that involve secondary school students in field collection of ecological monitoring data and investigated the following: their design, content, and objectives; whether and how the Forest Service is meeting their objectives; and what have been the key lessons learned. We conducted semi-structured interviews with the program leads, teachers, and students. Program leads and students said programs produced reliable data and met monitoring and other Forest Service stewardship objectives. Although these programs varied significantly in design and objectives, they all offered students opportunities to explore careers with the Forest Service and to better understand public lands management. We suggest that objectives have a significant influence on student outcomes and should be designed with the collection of useful data as an objective from the outset. We also found that committed external partners and participation from multiple internal staff members support success.</t>
  </si>
  <si>
    <t>[Pitt, Aleksandra N.] Colorado State Univ, Dept Forest &amp; Rangeland Stewardship, Ft Collins, CO 80523 USA; [Schultz, Courtney A.] Colorado State Univ, Ft Collins, CO 80523 USA</t>
  </si>
  <si>
    <t>Colorado State University System; Colorado State University Fort Collins; Colorado State University System; Colorado State University Fort Collins</t>
  </si>
  <si>
    <t>Pitt, AN (corresponding author), Colorado State Univ, Dept Forest &amp; Rangeland Stewardship, Ft Collins, CO 80523 USA.</t>
  </si>
  <si>
    <t>aleks.pitt@gmail.com; courtney.schultz@colostate.edu</t>
  </si>
  <si>
    <t>0022-1201</t>
  </si>
  <si>
    <t>1938-3746</t>
  </si>
  <si>
    <t>J FOREST</t>
  </si>
  <si>
    <t>J. For.</t>
  </si>
  <si>
    <t>10.1093/jofore/fvx008</t>
  </si>
  <si>
    <t>GE6FQ</t>
  </si>
  <si>
    <t>WOS:000431320800002</t>
  </si>
  <si>
    <t>Rubinoff, BG; Grason, EW; McDonald, PS; Watkins, L</t>
  </si>
  <si>
    <t>Rubinoff, Benjamin G.; Grason, Emily W.; McDonald, P. Sean; Watkins, Lisa</t>
  </si>
  <si>
    <t>High-resolution monitoring of Salish Sea estuarine communities through participatory science</t>
  </si>
  <si>
    <t>Salish Sea; nearshore; global change; participatory science; biodiversity; heatwaves</t>
  </si>
  <si>
    <t>EUROPEAN GREEN CRAB; CITIZEN SCIENCE; GLOBAL CHANGE; EUTROPHICATION; DISTURBANCE; DYNAMICS; STATE</t>
  </si>
  <si>
    <t>Agents of global change, such as climate disruptions, habitat loss, and biological invasions, affect nearshore and intertidal ecological communities in acute and chronic ways. Biological monitoring aims to track the changes in ecological communities over time, yet temporal mismatches between sampling regimes, environmental stressors, and corresponding ecological responses of interest often limit the utility of monitoring data for testing hypotheses related to these changes. Participatory science, alternatively citizen science, can increase the geographic and temporal scale of monitoring and can be a tool to address this limitation. By improving statistical power through higher resolution and a larger scale of data, participatory science programs can detect how global change alters highly dynamic ecological communities. In this study, we evaluate insights from a participatory science dataset (Washington Sea Grant Crab Team) on nearshore mobile epifaunal communities in the Salish Sea, how they differ across habitat types and over time and how they responded to an atmospheric heatwave. Nearshore communities varied across channel, lagoon, and tideflat habitat types, with community metrics and species identities aligning with the environmental characteristics of each habitat type. Though these communities experience high seasonal variability, habitat type differences were consistent over the seven years of data collected. While some sites did experience extreme excursions of water temperature as a result of the 2021 atmospheric heatwave, neither short- nor long-term impacts were detected in the ecological communities monitored at the regional scale. Two factors are likely important in this conclusion: 1. We monitored mobile epifauna, which may be able to migrate to mitigate extreme events and 2. Water temperatures during the heatwave rarely exceeded those experienced at the sites during other times of year. The seasonal variability of the ecological communities observed in these dynamic environments suggests avoiding snapshot sampling in favor of an approach that offers high temporal resolution, as some participatory science programs can, to be able to accurately disentangle effects of acute stressors from the noise of natural variability.</t>
  </si>
  <si>
    <t>[Rubinoff, Benjamin G.; Grason, Emily W.; Watkins, Lisa] Washington Sea Grant, Seattle, WA 98105 USA; [Rubinoff, Benjamin G.; McDonald, P. Sean] Univ Washington, Program Environm, Seattle, WA 98195 USA; [McDonald, P. Sean] Univ Washington, Sch Aquat &amp; Fishery Sci, Seattle, WA USA</t>
  </si>
  <si>
    <t>University of Washington; University of Washington Seattle; University of Washington; University of Washington Seattle</t>
  </si>
  <si>
    <t>Rubinoff, BG (corresponding author), Washington Sea Grant, Seattle, WA 98105 USA.;Rubinoff, BG (corresponding author), Univ Washington, Program Environm, Seattle, WA 98195 USA.</t>
  </si>
  <si>
    <t>benjamin.rubinoff@dfw.wa.gov</t>
  </si>
  <si>
    <t>Washington Department of Fish and Wildlife [17-09728, 19-13737, 20-15421, 23-24088]; U.S. Environmental Protection Agency [PC 00J29801, PC-00J90701, PC-01J22301]; Division of Ocean Sciences</t>
  </si>
  <si>
    <t>Washington Department of Fish and Wildlife; U.S. Environmental Protection Agency(United States Environmental Protection Agency); Division of Ocean Sciences(National Science Foundation (NSF)NSF - Directorate for Geosciences (GEO))</t>
  </si>
  <si>
    <t>The author(s) declare financial support was received for the research and/or publication of this article. United States Environmental Protection Agency assistance agreements PC 00J29801, PC-00J90701, PC-01J22301. The Washington Department of Fish and Wildlife contracts 17-09728, 19-13737, 20-15421, 23-24088. The National Science Foundation Division of Ocean Sciences award #1850945. The contents of this document do not necessarily reflect the views and policies of the Environmental Protection Agency, the Washington Department of Fish and Wildlife, or the National Science Foundation, nor does mention of trade names or commercial products constitute endorsement or recommendation for use.</t>
  </si>
  <si>
    <t>OCT 17</t>
  </si>
  <si>
    <t>10.3389/fmars.2025.1584193</t>
  </si>
  <si>
    <t>9FM8Y</t>
  </si>
  <si>
    <t>WOS:001605122000001</t>
  </si>
  <si>
    <t>Ryan, SF; Lombaert, E; Espeset, A; Vila, R; Talavera, G; Dinca, V; Doellman, MM; Renshaw, MA; Eng, MW; Hornett, EA; Li, YY; Pfrender, ME; Shoemaker, D</t>
  </si>
  <si>
    <t>Ryan, Sean F.; Lombaert, Eric; Espeset, Anne; Vila, Roger; Talavera, Gerard; Dinca, Vlad; Doellman, Meredith M.; Renshaw, Mark A.; Eng, Matthew W.; Hornett, Emily A.; Li, Yiyuan; Pfrender, Michael E.; Shoemaker, DeWayne</t>
  </si>
  <si>
    <t>Global invasion history of the agricultural pest butterfly Pieris rapae revealed with genomics and citizen science</t>
  </si>
  <si>
    <t>PROCEEDINGS OF THE NATIONAL ACADEMY OF SCIENCES OF THE UNITED STATES OF AMERICA</t>
  </si>
  <si>
    <t>invasive; agricultural pest; genomics; citizen science; approximate Bayesian computation</t>
  </si>
  <si>
    <t>APPROXIMATE BAYESIAN COMPUTATION; BRASSICA-OLERACEA L.; POPULATION DIVERGENCE; R-PACKAGE; DOMESTICATION; EVOLUTION; LEPIDOPTERA; INFERENCES; DIVERSITY; FRAMEWORK</t>
  </si>
  <si>
    <t>The small cabbage white butterfly, Pieris rapae, is a major agricultural pest of cruciferous crops and has been introduced to every continent except South America and Antarctica as a result of human activities. In an effort to reconstruct the near-global invasion history of P. rapae, we developed a citizen science project, the Pieris Project, and successfully amassed thousands of specimens from 32 countries worldwide. We then generated and analyzed nuclear (double-digest restriction site-associated DNA fragment procedure [ddRAD]) and mitochondrial DNA sequence data for these samples to reconstruct and compare different global invasion history scenarios. Our results bolster historical accounts of the global spread and timing of P. rapae introductions. We provide molecular evidence supporting the hypothesis that the ongoing divergence of the European and Asian subspecies of P. rapae (similar to 1,200 y B.P.) coincides with the diversification of brassicaceous crops and the development of human trade routes such as the Silk Route (Silk Road). The further spread of P. rapae over the last similar to 160 y was facilitated by human movement and trade, resulting in an almost linear series of at least 4 founding events, with each introduced population going through a severe bottleneck and serving as the source for the next introduction. Management efforts of this agricultural pest may need to consider the current existence of multiple genetically distinct populations. Finally, the international success of the Pieris Project demonstrates the power of the public to aid scientists in collections-based research addressing important questions in invasion biology, and in ecology and evolutionary biology more broadly.</t>
  </si>
  <si>
    <t>[Ryan, Sean F.; Shoemaker, DeWayne] Univ Tennessee, Dept Entomol &amp; Plant Pathol, Knoxville, TN 37996 USA; [Ryan, Sean F.] Exponent Inc, Ecol &amp; Biol Sci Practice, Menlo Pk, CA 94025 USA; [Lombaert, Eric] Univ Cote Azur, Ctr Rech Sophia Antipolis, Inst Sophia Agrobiotech, Inst Natl Rech Agron,CNRS, F-06903 Sophia Antipolis, France; [Espeset, Anne] Univ Nevada, Dept Biol, Reno, NV 89557 USA; [Vila, Roger; Talavera, Gerard] CSIC, Inst Biol Evolut, Dept Anim Biodivers &amp; Evolut, Barcelona 08003, Spain; [Vila, Roger; Talavera, Gerard] Univ Pompeu Fabra, Barcelona 08003, Spain; [Talavera, Gerard] Harvard Univ, Dept Organism &amp; Evolutionary Biol, Cambridge, MA 02138 USA; [Talavera, Gerard] Harvard Univ, Museum Comparat Zool, Cambridge, MA 02138 USA; [Dinca, Vlad] Univ Oulu, Dept Ecol &amp; Genet, Oulu 90014, Finland; [Doellman, Meredith M.] Univ Notre Dame, Dept Biol Sci, Notre Dame, IN 46556 USA; [Renshaw, Mark A.] Hawaii Pacific Univ, Ocean Inst, Shrimp Dept, Waimanalo, HI 96795 USA; [Hornett, Emily A.] Univ Liverpool, Dept Evolut Ecol &amp; Behav, Liverpool L69 7ZB, Merseyside, England; [Eng, Matthew W.; Hornett, Emily A.; Li, Yiyuan; Pfrender, Michael E.] Univ Liverpool Liverpool Sch Trop Med, Dept Vector Biol, Liverpool L3 5QA, Merseyside, England; [Pfrender, Michael E.] Univ Notre Dame, Environm Change Initiat, South Bend, IN 46556 USA</t>
  </si>
  <si>
    <t>University of Tennessee System; University of Tennessee Knoxville; UT Institute of Agriculture; Exponent; INRAE; Universite Cote d'Azur; Centre National de la Recherche Scientifique (CNRS); Nevada System of Higher Education (NSHE); University of Nevada Reno; Consejo Superior de Investigaciones Cientificas (CSIC); CSIC-UPF - Institut de Biologia Evolutiva (IBE); Pompeu Fabra University; Harvard University; Harvard University; University of Oulu; University of Notre Dame; Hawaii Pacific University; University of Liverpool; Liverpool School of Tropical Medicine; University of Notre Dame</t>
  </si>
  <si>
    <t>Ryan, SF; Shoemaker, D (corresponding author), Univ Tennessee, Dept Entomol &amp; Plant Pathol, Knoxville, TN 37996 USA.;Ryan, SF (corresponding author), Exponent Inc, Ecol &amp; Biol Sci Practice, Menlo Pk, CA 94025 USA.</t>
  </si>
  <si>
    <t>citscisean@gmail.com; dewayne.shoemaker@utk.edu</t>
  </si>
  <si>
    <t>Li, Yiyuan/I-8414-2019; Pfrender, Micheal/C-5065-2019; Dinca, Vlad Eugen/O-3879-2014; Ryan, Sean/P-8763-2016; Vila, Roger/A-1817-2012; Talavera, Gerard/A-2982-2012</t>
  </si>
  <si>
    <t>Lombaert, Eric/0000-0003-0949-6690; Dinca, Vlad Eugen/0000-0003-1791-2148; Doellman, Meredith/0000-0002-0903-6590; Ryan, Sean/0000-0002-3105-7582; Vila, Roger/0000-0002-2447-4388; Talavera, Gerard/0000-0003-1112-1345</t>
  </si>
  <si>
    <t>US Department of Agriculture-National Institute of Food and Agriculture Postdoctoral Fellowship [2017-67012-26999]; National Science Foundation [NSF-1447692]; Spanish Agencia Estatal de Investigacion [CGL2016-76322-P]; European Union; Ministerio de Economia y Competitividad Programme [IJCI-2016-29083]; National Geographic Society [WW1-300R-18]; Marie Curie Actions International Outgoing Fellowship [330136]</t>
  </si>
  <si>
    <t>US Department of Agriculture-National Institute of Food and Agriculture Postdoctoral Fellowship; National Science Foundation(National Science Foundation (NSF)); Spanish Agencia Estatal de Investigacion(Spanish Government); European Union(European Union (EU)); Ministerio de Economia y Competitividad Programme; National Geographic Society(National Geographic Society); Marie Curie Actions International Outgoing Fellowship(Marie Curie Actions)</t>
  </si>
  <si>
    <t>We thank all the participants in the Pieris Project; without their help, this research would not have been possible. We also thank Arthur Shapiro for his extraordinary insights into this system and the many researchers who contributed specimens, including Brent Sinclair, Jantina Toxopeus, Dmitry Musolin, Tatsuro Konagaya, John Peters, Chuan-Kai Ho, Michael Braby, Siobhan Leachman, and many more. We thank Sang-guy Park for donating specimens from his private collection and Robert Cullenbine for his support of this research. We also thank Jacqueline Lopez and Melissa Stephens in the Notre Dame Genomics &amp; Bioinformatics Core Facility for ddRADseq library preparations. This research was funded by US Department of Agriculture-National Institute of Food and Agriculture Postdoctoral Fellowship Grant 2017-67012-26999 (to S.F.R.). A.E. is supported by a National Science Foundation Graduate Research Fellowship under Grant NSF-1447692. R.V. was supported by project CGL2016-76322-P (Spanish Agencia Estatal de Investigacion and European Union Regional Development Fund). G.T. is supported by Ministerio de Economia y Competitividad Programme IJCI-2016-29083 and by the National Geographic Society (Grant WW1-300R-18). E.A.H. was supported by Marie Curie Actions International Outgoing Fellowship 330136.</t>
  </si>
  <si>
    <t>NATL ACAD SCIENCES</t>
  </si>
  <si>
    <t>2101 CONSTITUTION AVE NW, WASHINGTON, DC 20418 USA</t>
  </si>
  <si>
    <t>0027-8424</t>
  </si>
  <si>
    <t>1091-6490</t>
  </si>
  <si>
    <t>P NATL ACAD SCI USA</t>
  </si>
  <si>
    <t>Proc. Natl. Acad. Sci. U. S. A.</t>
  </si>
  <si>
    <t>OCT 1</t>
  </si>
  <si>
    <t>10.1073/pnas.1907492116</t>
  </si>
  <si>
    <t>JB8NR</t>
  </si>
  <si>
    <t>WOS:000488828000044</t>
  </si>
  <si>
    <t>Froeling, F; Gignac, F; Hoek, G; Vermeulen, R; Nieuwenhuijsen, M; Ficorilli, A; De Marchi, B; Biggeri, A; Kocman, D; Robinson, JA; Grazuleviciene, R; Andrusaityte, S; Righi, V; Basagaña, X</t>
  </si>
  <si>
    <t>Froeling, Frederique; Gignac, Florence; Hoek, Gerard; Vermeulen, Roel; Nieuwenhuijsen, Mark; Ficorilli, Antonella; De Marchi, Bruna; Biggeri, Annibale; Kocman, David; Robinson, Johanna Amalia; Grazuleviciene, Regina; Andrusaityte, Sandra; Righi, Valeria; Basagana, Xavier</t>
  </si>
  <si>
    <t>Narrative review of citizen science in environmental epidemiology: Setting the stage for co-created research projects in environmental epidemiology</t>
  </si>
  <si>
    <t>ENVIRONMENT INTERNATIONAL</t>
  </si>
  <si>
    <t>Citizen science; Environmental epidemiology; Environmental health; Participatory research; Co-creation</t>
  </si>
  <si>
    <t>PARTICIPATORY RESEARCH; HEALTH; POLLUTION; AIR; REPRESENTATIVENESS; COMMUNITIES; MOTIVATIONS; ENGAGEMENT; FRAMEWORK; SYMPTOMS</t>
  </si>
  <si>
    <t>Several citizen science (CS) initiatives have been adopted in environmental science to monitor air and noise pollution, and water quality related to civic concerns. Nevertheless, CS projects in environmental epidemiology remain scarce. This is because little attention has been paid to evaluate associations of environmental exposures with health effects directly. This narrative review aims to promote the understanding and application of CS in environmental epidemiology. There are many commonalities between CS and other participatory approaches in environmental epidemiology. Yet, CS can foster the democratization of scientific governance and enhance the sustainability of research projects more effectively than other existing participatory approaches. This is especially the case in projects where citizens are invited to participate, engage and become involved throughout all the phases of a research project (co-created projects). This paper identifies various challenges and opportunities specific to the implementation of co-created CS projects in environmental epidemiology. The development of more locally relevant research designs, using local knowledge, obtaining medical ethical clearance, and coanalysing the association between exposure and health, are examples of opportunities and challenges that require epidemiologists to go beyond the traditional research framework and include more outreach activities. Continued efforts, particularly the sharing of information about projects? collaborative processes, are needed to make CS a more concrete and cohesive approach in environmental epidemiology.</t>
  </si>
  <si>
    <t>[Froeling, Frederique; Hoek, Gerard; Vermeulen, Roel] Univ Utrecht UU, Utrecht, Netherlands; [Gignac, Florence; Nieuwenhuijsen, Mark; Basagana, Xavier] Barcelona Inst Global Hlth ISGlobal, Barcelona, Spain; [Gignac, Florence; Nieuwenhuijsen, Mark; Basagana, Xavier] Univ Pompeu Fabra UPF, Barcelona, Spain; [Gignac, Florence; Nieuwenhuijsen, Mark; Basagana, Xavier] CIBER Epidemiol &amp; Salud Publ CIBERESP, Madrid, Spain; [Vermeulen, Roel] Univ Med Ctr Utrecht, Julius Ctr Hlth Sci &amp; Primary Care, Utrecht, Netherlands; [Ficorilli, Antonella; De Marchi, Bruna; Biggeri, Annibale] Epidemiol &amp; Prevenz Giulio A Maccacaro Social Ent, Milan, Italy; [De Marchi, Bruna] Univ Bergen, SVT, Bergen, Norway; [Biggeri, Annibale] Applicat G Parenti Univ Florence, Dept Stat, Comp Sci, Florence, Italy; [Kocman, David; Robinson, Johanna Amalia] Jozef Stefan Inst, Dept Environm Sci, Ljubljana, Slovenia; [Robinson, Johanna Amalia] Jozef Stefan Int Postgrad Sch, Ljubljana, Slovenia; [Grazuleviciene, Regina; Andrusaityte, Sandra] Vytautas Magnus Univ, Dept Environm Sci, Kaunas, Lithuania; [Righi, Valeria] Ideas Change, Barcelona, Spain</t>
  </si>
  <si>
    <t>ISGlobal; Pompeu Fabra University; CIBER - Centro de Investigacion Biomedica en Red; CIBERESP; Utrecht University; Utrecht University Medical Center; University of Bergen; University of Florence; Slovenian Academy of Sciences &amp; Arts (SASA); Jozef Stefan Institute; Slovenian Academy of Sciences &amp; Arts (SASA); Jozef Stefan Institute; Vytautas Magnus University</t>
  </si>
  <si>
    <t>Gignac, F (corresponding author), Barcelona Inst Global Hlth ISGlobal, Barcelona, Spain.;Gignac, F (corresponding author), Univ Pompeu Fabra UPF, Barcelona, Spain.;Gignac, F (corresponding author), CIBER Epidemiol &amp; Salud Publ CIBERESP, Madrid, Spain.</t>
  </si>
  <si>
    <t>florence.gignac@isglobal.org</t>
  </si>
  <si>
    <t>Anušaitytė, Sana/JWQ-0036-2024; Robinson, johanna Amalia/IZD-7315-2023; Nieuwenhuijsen, Mark/C-3914-2017; Righi, Valeria/LRS-7205-2024; Basagaña, Xavier/C-3901-2017; Grazuleviciene, Regina/AAR-4539-2021</t>
  </si>
  <si>
    <t>Anušaitytė, Sana/0000-0002-4309-0208; Robinson, johanna Amalia/0000-0003-0641-6309; Gignac, Florence/0000-0002-1613-3364; Froeling, Frederique/0000-0002-4923-4559; BIGGERI, ANNIBALE/0000-0003-2343-3346; Righi, Valeria/0000-0001-8062-4056; Basagaña, Xavier/0000-0002-8457-1489; Kocman, David/0000-0001-6297-2823; Grazuleviciene, Regina/0000-0002-0210-8053</t>
  </si>
  <si>
    <t>European Union [824484]</t>
  </si>
  <si>
    <t>This paper has received funding from the European Union's Horizon 2020 research and innovation programme under grant agreement No 824484. The output reflects the authors' view. The European Commission is not responsible for any use that may be made from the information this paper contains.</t>
  </si>
  <si>
    <t>0160-4120</t>
  </si>
  <si>
    <t>1873-6750</t>
  </si>
  <si>
    <t>ENVIRON INT</t>
  </si>
  <si>
    <t>Environ. Int.</t>
  </si>
  <si>
    <t>10.1016/j.envint.2021.106470</t>
  </si>
  <si>
    <t>MAR 2021</t>
  </si>
  <si>
    <t>RP8LK</t>
  </si>
  <si>
    <t>WOS:000641974400011</t>
  </si>
  <si>
    <t>Shelton, JMG; Collins, R; Uzzell, CB; Alghamdi, A; Dyer, PS; Singer, AC; Fisher, MC</t>
  </si>
  <si>
    <t>Shelton, Jennifer M. G.; Collins, Roseanna; Uzzell, Christopher B.; Alghamdi, Asmaa; Dyer, Paul S.; Singer, Andrew C.; Fisher, Matthew C.</t>
  </si>
  <si>
    <t>Citizen Science Surveillance of Triazole-Resistant Aspergillus fumigatus in United Kingdom Residential Garden Soils</t>
  </si>
  <si>
    <t>APPLIED AND ENVIRONMENTAL MICROBIOLOGY</t>
  </si>
  <si>
    <t>DNA sequencing; drug resistance mechanisms; environmental microbiology; molecular genetics; mycology; public health</t>
  </si>
  <si>
    <t>ALLERGIC BRONCHOPULMONARY ASPERGILLOSIS; PULMONARY ASPERGILLOSIS; BIOAEROSOL RELEASES; AZOLE RESISTANCE; COMPOST WORKERS; WASTE COMPOST; FOLLOW-UP; UK; RHINOCONJUNCTIVITIS; PREVALENCE</t>
  </si>
  <si>
    <t>Compost is an ecological niche for Aspergillus fumigatus due to its role as a decomposer of organic matter and its ability to survive the high temperatures associated with the composting process. Subsequently, composting facilities are associated with high levels of A. fumigatus spores that are aerosolized from compost and cause respiratory illness in workers. In the UK, gardening is an activity enjoyed by individuals of all ages, and it is likely that they are being exposed to A. fumigatus spores when handling commercial compost or compost they have produced themselves. In the present study, 246 citizen scientists collected 509 soil samples from locations in their gardens in the UK, from which were cultured 5,174 A. fumigatus isolates. Of these isolates, 736 (14%) were resistant to tebuconazole: the third most-sprayed triazole fungicide in the UK, which confers cross-resistance to the medical triazoles used to treat A. fumigatus lung infections in humans. These isolates were found to contain the common resistance mechanisms in the A. fumigatus cyp51A gene TR34/L.98H or TR46/Y121F/T289A, as well as the less common resistance mechanisms TR34, TR53, TR46/Y121F/T289A/S363P/I364V/G448S, and (TR46)(2)/Y121F/M172I/T289A/G448S. Regression analyses found that soil samples containing compost were significantly more likely to grow tebuconazole-susceptible and tebuconazole-resistant A. fumigatus strains than those that did not and that compost samples grew significantly higher numbers of A. fumigatus than other samples. IMPORTANCE The findings presented here highlight compost as a potential health hazard to individuals with predisposing factors to A. fumigatus lung infections and as a potential health hazard to immunocompetent individuals who could be exposed to sufficiently high numbers of spores to develop infection. Furthermore, we found that 14% of A. fumigatus isolates in garden soils were resistant to an agricultural triazole, which confers cross-resistance to medical triazoles used to treat A. fumigatus lung infections. This raises the question of whether compost bags should carry additional health warnings regarding inhalation of A. fumigatus spores, whether individuals should be advised to wear facemasks while handling compost, or whether commercial producers should be responsible for sterilizing compost before shipping. The findings support increasing public awareness of the hazard posed by compost and investigating measures that can be taken to reduce the exposure risk.</t>
  </si>
  <si>
    <t>[Shelton, Jennifer M. G.; Uzzell, Christopher B.; Fisher, Matthew C.] Imperial Coll London, MRC Ctr Global Infect Dis Anal, Dept Infect Dis Epidemiol, London, England; [Shelton, Jennifer M. G.; Singer, Andrew C.] UK Ctr Ecol &amp; Hydrol, Wallingford, Oxon, England; [Collins, Roseanna] Univ Birmingham, Sch Biosci, Birmingham, W Midlands, England; [Alghamdi, Asmaa; Dyer, Paul S.] Univ Nottingham, Sch Life Sci, Nottingham, England</t>
  </si>
  <si>
    <t>Imperial College London; UK Centre for Ecology &amp; Hydrology (UKCEH); University of Birmingham; University of Nottingham</t>
  </si>
  <si>
    <t>Shelton, JMG (corresponding author), Imperial Coll London, MRC Ctr Global Infect Dis Anal, Dept Infect Dis Epidemiol, London, England.;Shelton, JMG (corresponding author), UK Ctr Ecol &amp; Hydrol, Wallingford, Oxon, England.</t>
  </si>
  <si>
    <t>j.shelton@imperial.ac.uk</t>
  </si>
  <si>
    <t>Fisher, Matthew/B-9094-2011; Alghamdi, Asmaa/OMM-8786-2025; Singer, Anew/B-3398-2010</t>
  </si>
  <si>
    <t>Fisher, Matthew/0000-0002-1862-6402; Alghai, Asmaa M/0000-0002-9117-7164; Singer, Anew/0000-0003-4705-6063; Uzzell, Christopher B/0000-0002-4204-3485; Shelton, Jennifer M G/0000-0003-1429-6845</t>
  </si>
  <si>
    <t>Natural Environment Research Council (NERC) [NE/L002515/1, NE/P000916/1]; UK Medical Research Council (MRC) [MR/R015600/1]; Al-Baha University, Saudi Arabia; NERC [NBAF010003, NE/P000916/1, NE/P001165/1] Funding Source: UKRI; Medical Research Council [MR/R015600/1] Funding Source: researchfish; Natural Environment Research Council [NBAF010003, NE/P000916/1, NE/P001165/1] Funding Source: researchfish; Wellcome Trust [219551/Z/19/Z] Funding Source: researchfish</t>
  </si>
  <si>
    <t>Natural Environment Research Council (NERC)(UK Research &amp; Innovation (UKRI)Natural Environment Research Council (NERC)); UK Medical Research Council (MRC)(UK Research &amp; Innovation (UKRI)Medical Research Council UK (MRC)); Al-Baha University, Saudi Arabia(Al Baha University); NERC(UK Research &amp; Innovation (UKRI)Natural Environment Research Council (NERC)); Medical Research Council(UK Research &amp; Innovation (UKRI)Medical Research Council UK (MRC)); Natural Environment Research Council(UK Research &amp; Innovation (UKRI)Natural Environment Research Council (NERC)); Wellcome Trust(Wellcome Trust)</t>
  </si>
  <si>
    <t>This study was supported by the Natural Environment Research Council (NERC; NE/L002515/1 and NE/P000916/1) and the UK Medical Research Council (MRC; MR/R015600/1). M.C.F. is a fellow in the CIFAR Fungal Kingdoms program. A.A. was supported by a postgraduate studentship fromAl-Baha University, Saudi Arabia.</t>
  </si>
  <si>
    <t>0099-2240</t>
  </si>
  <si>
    <t>1098-5336</t>
  </si>
  <si>
    <t>APPL ENVIRON MICROB</t>
  </si>
  <si>
    <t>Appl. Environ. Microbiol.</t>
  </si>
  <si>
    <t>e02061-21</t>
  </si>
  <si>
    <t>10.1128/aem.02061-21</t>
  </si>
  <si>
    <t>Biotechnology &amp; Applied Microbiology; Microbiology</t>
  </si>
  <si>
    <t>ZF8FO</t>
  </si>
  <si>
    <t>WOS:000759805900011</t>
  </si>
  <si>
    <t>Murindahabi, MM; Koenraadt, CJ; Takken, W; Mutesa, L; Hakizimana, E; Poortvliet, PM; van Vliet, AJH</t>
  </si>
  <si>
    <t>Murindahabi, Marilyn Milumbu; Koenraadt, Constantianus J.; Takken, Willem; Mutesa, Leon; Hakizimana, Emmanuel; Poortvliet, P. Marijn; van Vliet, Arnold J. H.</t>
  </si>
  <si>
    <t>CITIZEN SCIENCE FOR MOSQUITO MONITORING AND MALARIA VECTOR CONTROL IN RUHUHA, RWANDA</t>
  </si>
  <si>
    <t>AMERICAN JOURNAL OF TROPICAL MEDICINE AND HYGIENE</t>
  </si>
  <si>
    <t>68th Annual Meeting of the American-Society-for-Tropical-Medicine-and-Hygiene (ASTMH)</t>
  </si>
  <si>
    <t>NOV 20-24, 2019</t>
  </si>
  <si>
    <t>National Harbor, MD</t>
  </si>
  <si>
    <t>Amer Soc Trop Med &amp; Hyg,Bill &amp; Melinda Gates Fdn,Bavarian Nord,GSK,Takeda,Integrum Sci,Celgene,Vulcan,Plos Neglected Trop Dis,Elsevier</t>
  </si>
  <si>
    <t>[Murindahabi, Marilyn Milumbu] Univ Rwanda, Coll Sci &amp; Technol, Kigali, Rwanda; [Koenraadt, Constantianus J.; Takken, Willem] Wageningen Univ &amp; Res, Wageningen, Netherlands; [Mutesa, Leon] Univ Rwanda, Coll Med &amp; Hlth Sci, Kigali, Rwanda; [Hakizimana, Emmanuel] Rwanda Biomed Ctr, Malaria &amp; Other Parasit Dis Div, Kigali, Rwanda; [Poortvliet, P. Marijn] Wageningen Univ &amp; Res, Strateg Commun Grp, Wageningen, Netherlands; [van Vliet, Arnold J. H.] Wageningen Univ &amp; Res, Environm Syst Anal Grp, Wageningen, Netherlands</t>
  </si>
  <si>
    <t>University of Rwanda; Wageningen University &amp; Research; University of Rwanda; Rwanda Biomedical Center; Wageningen University &amp; Research; Wageningen University &amp; Research</t>
  </si>
  <si>
    <t>AMER SOC TROP MED &amp; HYGIENE</t>
  </si>
  <si>
    <t>MCLEAN</t>
  </si>
  <si>
    <t>8000 WESTPARK DR, STE 130, MCLEAN, VA 22101 USA</t>
  </si>
  <si>
    <t>0002-9637</t>
  </si>
  <si>
    <t>1476-1645</t>
  </si>
  <si>
    <t>AM J TROP MED HYG</t>
  </si>
  <si>
    <t>Am. J. Trop. Med. Hyg.</t>
  </si>
  <si>
    <t>Public, Environmental &amp; Occupational Health; Tropical Medicine</t>
  </si>
  <si>
    <t>KC7PF</t>
  </si>
  <si>
    <t>WOS:000507364503421</t>
  </si>
  <si>
    <t>Boone, A; Disalvo, C; Le Dantec, CA</t>
  </si>
  <si>
    <t>Boone, Ashley; Disalvo, Carl; Le Dantec, Christopher A.</t>
  </si>
  <si>
    <t>Charismatic Data and Material Traces: Monitoring Bird-Building Collisions through Citizen Science</t>
  </si>
  <si>
    <t>PROCEEDINGS OF THE ACM ON HUMAN COMPUTER INTERACTION</t>
  </si>
  <si>
    <t>critical data studies; data materiality; data activism; data advocacy; citizen science; environmental action</t>
  </si>
  <si>
    <t>MOTIVATIONS</t>
  </si>
  <si>
    <t>Bird collisions with man-made structures pose a significant threat to bird populations. In the U.S. South, a small group of dedicated volunteers track these deaths with hopes of advocating for local policy requiring the use of bird-safe building materials. In addition to recording observations in a mobile application, volunteers log their efforts and collect the bodies of birds they find to add to university specimen collections. We offer a detailed empirical account of the work done by volunteers to produce (1) a digital record of local bird strikes (2) a log of volunteer monitoring efforts and (3) a collection of bird specimens. Unpacking the multiple forms of data produced by volunteer efforts, we examine how Safe Flight produced data oriented towards advocacy work. We end by discussing implications for data activism, highlighting the link between materiality and charismatic data, and proposing next steps for action citizen science.</t>
  </si>
  <si>
    <t>[Boone, Ashley; Disalvo, Carl] Georgia Inst Technol, Atlanta, GA 30332 USA; [Le Dantec, Christopher A.] Northeastern Univ, Boston, MA USA</t>
  </si>
  <si>
    <t>University System of Georgia; Georgia Institute of Technology; Northeastern University</t>
  </si>
  <si>
    <t>Boone, A (corresponding author), Georgia Inst Technol, Atlanta, GA 30332 USA.</t>
  </si>
  <si>
    <t>aboone34@gatech.edu; cdisalvo@gatech.edu; c.ledantec@northeastern.edu</t>
  </si>
  <si>
    <t>Boone, Ashley/0000-0001-5349-8920; DiSalvo, Carl/0000-0002-7344-8741</t>
  </si>
  <si>
    <t>National Science Foundation Graduate Research Fellowship [DGE-2039655]; National Science Foundation [2310592]</t>
  </si>
  <si>
    <t>National Science Foundation Graduate Research Fellowship(National Science Foundation (NSF)); National Science Foundation(National Science Foundation (NSF))</t>
  </si>
  <si>
    <t>This material is based upon work supported by the National Science Foundation Graduate Research Fellowship under Grant No. DGE-2039655. Additionally, this work has been supported by the National Science Foundation Award 2310592, Seamful Design: Prototyping and Evaluating Collaborative Tools for Civic Data. Any opinion, findings, and conclusions or recommendations expressed in this material are those of the author (s) and do not necessarily reflect the views of the National Science Foundation.</t>
  </si>
  <si>
    <t>ASSOC COMPUTING MACHINERY</t>
  </si>
  <si>
    <t>1601 Broadway, 10th Floor, NEW YORK, NY USA</t>
  </si>
  <si>
    <t>2573-0142</t>
  </si>
  <si>
    <t>P ACM HUM COMPUT INT</t>
  </si>
  <si>
    <t>Proc. ACM Hum. Comput. Interact.</t>
  </si>
  <si>
    <t>10.1145/3757402</t>
  </si>
  <si>
    <t>Computer Science, Cybernetics; Computer Science, Information Systems</t>
  </si>
  <si>
    <t>9UE7J</t>
  </si>
  <si>
    <t>WOS:001615123000001</t>
  </si>
  <si>
    <t>Tredick, CA; Lewison, RL; Deutschman, DH; Hunt, TA; Gordon, KL; Von Hendy, P</t>
  </si>
  <si>
    <t>Tredick, Catherine A.; Lewison, Rebecca L.; Deutschman, Douglas H.; Hunt, Timothy Ann; Gordon, Karen L.; Von Hendy, Phoenix</t>
  </si>
  <si>
    <t>A Rubric to Evaluate Citizen-Science Programs for Long-Term Ecological Monitoring</t>
  </si>
  <si>
    <t>citizen science; communication planning; data management; evaluation rubric; program evaluation</t>
  </si>
  <si>
    <t>DATA QUALITY; CONSERVATION; MANAGEMENT; BIODIVERSITY; VARIABILITY; TOOL; PARTICIPATION; INFORMATION; POPULATION; CHALLENGES</t>
  </si>
  <si>
    <t>Citizen-science (CS) programs provide a cost-effective way to collect monitoring data over large temporal and spatial scales. Despite the recent proliferation of these programs, some in the conservation and management community remain skeptical about the quality of information generated, in part because of the lack of a rigorous framework for program evaluation. Drawing from the CS literature, we developed a structured rubric to guide the evaluation of CS programs. We test the utility of the rubric by conducting an internal and external review of a case-study CS program. The case study demonstrates the importance of the evaluation process and the effectiveness of the rubric to identify program elements that needed improvement. Our results support the assertion that program evaluation using a structured rubric can help CS programs meet their objectives, promote CS data usage in conservation and management, and maximize CS return on investment.</t>
  </si>
  <si>
    <t>[Tredick, Catherine A.] Stockton Univ, Galloway, NJ 08205 USA; [Lewison, Rebecca L.; Deutschman, Douglas H.] San Diego State Univ, San Diego, CA 92182 USA; [Hunt, Timothy Ann; Gordon, Karen L.; Von Hendy, Phoenix] San Diego Tracking Team, San Diego, CA USA</t>
  </si>
  <si>
    <t>Stockton University; California State University System; San Diego State University</t>
  </si>
  <si>
    <t>Tredick, CA (corresponding author), Stockton Univ, Galloway, NJ 08205 USA.</t>
  </si>
  <si>
    <t>Deutschman, Douglas/JGM-7545-2023</t>
  </si>
  <si>
    <t>Deutschman, Douglas/0000-0003-2741-8215</t>
  </si>
  <si>
    <t>San Diego Association of Governments (SANDAG) [PO982020]; NASA Earth Science Division/Applied Sciences Program's [NNH12ZDA001N-COF]; Natural Community Conservation Planning Program</t>
  </si>
  <si>
    <t>San Diego Association of Governments (SANDAG); NASA Earth Science Division/Applied Sciences Program's; Natural Community Conservation Planning Program</t>
  </si>
  <si>
    <t>CAT, RLL, and DHD were supported in part by Local Assistance Grant #PO982020 from the San Diego Association of Governments (SANDAG). RLL was supported in part by NASA Earth Science Division/Applied Sciences Program's ROSES-2012 Ecological Forecasting grant (NNH12ZDA001N-COF) and by the Natural Community Conservation Planning Program.</t>
  </si>
  <si>
    <t>10.1093/biosci/bix090</t>
  </si>
  <si>
    <t>FG3OD</t>
  </si>
  <si>
    <t>WOS:000410077600009</t>
  </si>
  <si>
    <t>Iskandar, U; Noerdiansyah, E; Rahmawati, R; Permana, J; Helitra, H; Tirtaningtyas, FN; Martamenggala, AI; Wibowo, JT; Duffy, H</t>
  </si>
  <si>
    <t>Iskandar, Urai; Noerdiansyah, Edy; Rahmawati, Rahmawatis; Permana, Jarian; Helitra, Helitra; Tirtaningtyas, Francisca Noni; Martamenggala, Andri Irawan; Wibowo, Joni Trio; Duffy, Hendry</t>
  </si>
  <si>
    <t>How citizen science contributes to monitor conservation areas in Karimata Islands, Indonesia?</t>
  </si>
  <si>
    <t>BULLETIN OF MARINE SCIENCE</t>
  </si>
  <si>
    <t>[Iskandar, Urai] BKSDA Kalimantan Barat, West Kalimantan, Indonesia; [Noerdiansyah, Edy; Rahmawati, Rahmawatis; Permana, Jarian; Tirtaningtyas, Francisca Noni; Duffy, Hendry] Fauna &amp; Flora Int, West Kalimantan, Indonesia; [Helitra, Helitra] Citizen Sci local Community Grp, West Kalimantan, Indonesia; [Martamenggala, Andri Irawan; Wibowo, Joni Trio] Fauna &amp; Flora Int, Jakarta, Indonesia</t>
  </si>
  <si>
    <t>edy.nordiansyah@fauna-flora.org</t>
  </si>
  <si>
    <t>ROSENSTIEL SCH MAR ATMOS SCI</t>
  </si>
  <si>
    <t>MIAMI</t>
  </si>
  <si>
    <t>4600 RICKENBACKER CAUSEWAY, MIAMI, FL 33149 USA</t>
  </si>
  <si>
    <t>0007-4977</t>
  </si>
  <si>
    <t>1553-6955</t>
  </si>
  <si>
    <t>B MAR SCI</t>
  </si>
  <si>
    <t>Bull. Mar. Sci.</t>
  </si>
  <si>
    <t>Marine &amp; Freshwater Biology; Oceanography</t>
  </si>
  <si>
    <t>3HS5G</t>
  </si>
  <si>
    <t>WOS:001500625400130</t>
  </si>
  <si>
    <t>Nath, S; Kirschke, S</t>
  </si>
  <si>
    <t>Nath, Shuvojit; Kirschke, Sabrina</t>
  </si>
  <si>
    <t>Groundwater Monitoring through Citizen Science: A Review of Project Designs and Results</t>
  </si>
  <si>
    <t>WATER-QUALITY; MANAGEMENT; HYDROLOGY; SCARCITY; FEEDBACK</t>
  </si>
  <si>
    <t>Citizen science is increasingly prominent in the field of freshwater monitoring. Although there is a large body of literature related to surface water monitoring, less experience exists regarding citizen-based monitoring of groundwater resources. This calls for a better understanding of the actual experiences of citizen science in the field of groundwater monitoring, including specific project designs and results. Based on a systematic review of 33 citizen-based groundwater monitoring activities, we analyze (1) the design of citizen science projects, including their general project characteristics, institutional characteristics, citizen characteristics, and forms of interactions, as well as (2) their results, including their data outputs, outcomes on citizens, and impacts on problem-solving. Results show that projects mainly have positive results on data quantity and quality and partly influence the citizens themselves and their contributions to groundwater-related problem-solving. Information on project design characteristics is scarce and mostly hints at the relevance of specific process mechanisms such as training and feedback. Based on these results, we suggest groundwater-related projects to consider involving citizen scientists in monitoring activities in order to benefit research and citizens alike. Such involvement needs, however, careful design including relevant training to unfold its full potential for both sides. Researchers are advised here to rigorously report on both design and results to further improve citizen science practice in the future.</t>
  </si>
  <si>
    <t>[Nath, Shuvojit; Kirschke, Sabrina] United Nations Univ UNU, Inst Integrated Management Mat Fluxes &amp; Resources, FLORES, Ammonstr 74, D-01067 Dresden, Germany; [Nath, Shuvojit] Tech Univ Dresden, Dresden, Germany; [Kirschke, Sabrina] Museum Naturkunde Leibniz Inst Evolut &amp; Biodivers, Berlin, Germany</t>
  </si>
  <si>
    <t>Nath, S (corresponding author), United Nations Univ UNU, Inst Integrated Management Mat Fluxes &amp; Resources, FLORES, Ammonstr 74, D-01067 Dresden, Germany.;Nath, S (corresponding author), Tech Univ Dresden, Dresden, Germany.</t>
  </si>
  <si>
    <t>shuvojit.nath@monash.edu</t>
  </si>
  <si>
    <t>; Nath, Shuvojit/HZK-7589-2023</t>
  </si>
  <si>
    <t>Kirschke, Sabrina/0000-0003-1036-3756; Nath, Shuvojit/0000-0002-0021-1575</t>
  </si>
  <si>
    <t>10.1111/gwat.13298</t>
  </si>
  <si>
    <t>FEB 2023</t>
  </si>
  <si>
    <t>L4CG0</t>
  </si>
  <si>
    <t>WOS:000939611700001</t>
  </si>
  <si>
    <t>DiBattista, JD; West, KM; Hay, AC; Hughes, JM; Fowler, AM; McGrouther, MA</t>
  </si>
  <si>
    <t>DiBattista, Joseph D.; West, Katrina M.; Hay, Amanda C.; Hughes, Julian M.; Fowler, Ashley M.; McGrouther, Mark A.</t>
  </si>
  <si>
    <t>Community-based citizen science projects can support the distributional monitoring of fishes</t>
  </si>
  <si>
    <t>AQUATIC CONSERVATION-MARINE AND FRESHWATER ECOSYSTEMS</t>
  </si>
  <si>
    <t>biodiversity; CITES; distributional monitoring; fisheries; IUCN; threatened species</t>
  </si>
  <si>
    <t>DISTRIBUTION SHIFTS; EXTINCTION RISK; CONSERVATION; MANAGEMENT; RARE; BIAS; BIODIVERSITY; DIVERSITY; AUSTRALIA; RECOVERY</t>
  </si>
  <si>
    <t>Effective conservation and fisheries management requires data to capture demographic processes and range limits for each species to maximize population health and productivity. This need is constrained by limited funding and resources, particularly for countries with large land areas and coastlines as well as expansive exclusive economic zones. This imbalance means that monitoring efforts are often focused on targets of commercial and recreational fishing, which results in incomplete distributional records for non-target, small-bodied, and/or cryptic species. Community-based citizen science projects offer one potential alternative for scientists and fisheries managers needing this type of information but lacking sufficient resources to gather it. This study investigated whether data sourced from an online citizen science project (iNaturalist: Australasian Fishes) can assist in the distributional monitoring of a subset of fish species. Given the regional focus of this citizen science project, distributional data in the form of occurrence records for abundant, protected, and threatened fish species as assessed by the International Union for Conservation of Nature in Australia and New Zealand were explored. Data for important commercial and recreational fishery targets in New South Wales were also explored, as a case study of a large jurisdiction with extensive monitoring requirements. The occurrence records for some of these categories of fishes were well represented in the quality-filtered citizen science data set, particularly endemic fishes whose threat status had not yet been assessed and species not currently under any form of management. Despite gaps in coverage between major urban centres, citizen science data for the best represented endemic fishes were qualitatively comparable to the available geographic distributions for these species. We suggest that quality-filtered citizen science data can in fact be used to improve taxonomic representation and the geographic breadth of species monitoring with increased participation.</t>
  </si>
  <si>
    <t>[DiBattista, Joseph D.; Hay, Amanda C.; McGrouther, Mark A.] Australian Museum, Australian Museum Res Inst, Sydney, NSW 2010, Australia; [West, Katrina M.] CSIRO, CSIRO Australian Natl Fish Collect, Natl Res Collect Australia, Hobart, Tas, Australia; [West, Katrina M.] Curtin Univ, Sch Mol &amp; Life Sci, Perth, WA, Australia; [Hughes, Julian M.; Fowler, Ashley M.] Sydney Inst Marine Sci, New South Wales Dept Primary Ind, Mosman, NSW, Australia</t>
  </si>
  <si>
    <t>Australian Museum; Commonwealth Scientific &amp; Industrial Research Organisation (CSIRO); Australian National Fish Collection; Curtin University; Sydney Institute of Marine Science; Department of Primary Industries &amp; Regional Development NSW</t>
  </si>
  <si>
    <t>DiBattista, JD (corresponding author), Australian Museum, Australian Museum Res Inst, Sydney, NSW 2010, Australia.</t>
  </si>
  <si>
    <t>josephdibattista@gmail.com</t>
  </si>
  <si>
    <t>DiBattista, Joseph/O-2074-2014; Hughes, Julian/D-2695-2017; Fowler, Ashley/N-8623-2016</t>
  </si>
  <si>
    <t>Hay, Amanda/0000-0002-1335-2342; West, Katrina/0000-0002-9026-5058; Hughes, Julian/0000-0002-0884-8386; McGrouther, Mark/0000-0002-4860-0123; Fowler, Ashley/0000-0003-3075-7066</t>
  </si>
  <si>
    <t>1052-7613</t>
  </si>
  <si>
    <t>1099-0755</t>
  </si>
  <si>
    <t>AQUAT CONSERV</t>
  </si>
  <si>
    <t>Aquat. Conserv.-Mar. Freshw. Ecosyst.</t>
  </si>
  <si>
    <t>10.1002/aqc.3726</t>
  </si>
  <si>
    <t>OCT 2021</t>
  </si>
  <si>
    <t>Environmental Sciences; Marine &amp; Freshwater Biology; Water Resources</t>
  </si>
  <si>
    <t>Environmental Sciences &amp; Ecology; Marine &amp; Freshwater Biology; Water Resources</t>
  </si>
  <si>
    <t>XP3XW</t>
  </si>
  <si>
    <t>WOS:000706832800001</t>
  </si>
  <si>
    <t>Dissanayake, RB; Stevenson, M; Allavena, R; Henning, LJ</t>
  </si>
  <si>
    <t>Dissanayake, Ravi Bandara; Stevenson, Mark; Allavena, Rachel; Henning, L. Joerg</t>
  </si>
  <si>
    <t>The value of long-term citizen science data for monitoring koala populations</t>
  </si>
  <si>
    <t>SOUTH-EAST QUEENSLAND; PHASCOLARCTOS-CINEREUS; CONSERVATION; TRENDS; MODELS; OCCUPANCY; ERRORS; BIAS</t>
  </si>
  <si>
    <t>The active collection of wildlife sighting data by trained observers is expensive, restricted to small geographical areas and conducted infrequently. Reporting of wildlife sightings by members of the public provides an opportunity to collect wildlife data continuously over wider geographical areas, at lower cost. We used individual koala sightings reported by members of the public between 1997 and 2013 in South-East Queensland, Australia (n = 14,076 koala sightings) to describe spatial and temporal trends in koala presence, to estimate koala sighting density and to identify biases associated with sightings. Temporal trends in sightings mirrored the breeding season of koalas. Sightings were high in residential areas (63%), followed by agricultural (15%), and parkland (12%). The study area was divided into 57,780 one-square kilometer grid cells and grid cells with no sightings of koalas decreased over time (from 35% to 21%) indicative of a greater level of spatial overlap of koala home ranges and human activity areas over time. The density of reported koala sightings decreased as distance from primary and secondary roads increased, indicative of a higher search effort near roads. Our results show that koala sighting data can be used to refine koala distribution and population estimates derived from active surveying, on the condition that appropriate bias correction techniques are applied. Collecting koala absence and search effort information and conducting repeated searches for koalas in the same areas are useful approaches to improve the quality of sighting data in citizen science programs.</t>
  </si>
  <si>
    <t>[Dissanayake, Ravi Bandara; Allavena, Rachel; Henning, L. Joerg] Univ Queensland, Sch Vet Sci, Gatton, Qld 4343, Australia; [Stevenson, Mark] Univ Melbourne, Fac Vet &amp; Agr Sci, Parkville, Vic 3010, Australia</t>
  </si>
  <si>
    <t>University of Queensland; University of Melbourne</t>
  </si>
  <si>
    <t>Dissanayake, RB (corresponding author), Univ Queensland, Sch Vet Sci, Gatton, Qld 4343, Australia.</t>
  </si>
  <si>
    <t>r.dissanayake@uq.edu.au</t>
  </si>
  <si>
    <t>; Allavena, Rachel/F-5720-2012</t>
  </si>
  <si>
    <t>Dissanayake, Ravi Bandara/0000-0001-8059-9436; Stevenson, Mark/0000-0003-1890-9784; Allavena, Rachel/0000-0001-5126-7125</t>
  </si>
  <si>
    <t>JUL 11</t>
  </si>
  <si>
    <t>10.1038/s41598-019-46376-5</t>
  </si>
  <si>
    <t>IH9IV</t>
  </si>
  <si>
    <t>WOS:000474820900016</t>
  </si>
  <si>
    <t>Kirschke, S; Bennett, C; Ghazani, AB; Kirschke, D; Lee, YJ; Khouzani, STL; Nath, S</t>
  </si>
  <si>
    <t>Kirschke, Sabrina; Bennett, Christy; Ghazani, Armin Bigham; Kirschke, Dieter; Lee, Yeongju; Khouzani, Seyed Taha Loghmani; Nath, Shuvojit</t>
  </si>
  <si>
    <t>Design impacts of citizen science. A comparative analysis of water monitoring projects</t>
  </si>
  <si>
    <t>community-based monitoring; freshwater; impact assessment; regression analysis; SDG 6; voluntary monitoring</t>
  </si>
  <si>
    <t>DATA QUALITY; FEEDBACK</t>
  </si>
  <si>
    <t>Citizen science is often promoted as having the capacity to enable change-from increasing data provision and knowledge product development, via behavioral change of citizens, to problem-solving. Likewise, researchers increasingly emphasize the role of project design in initiating these changes through citizen science. However, respective claims are mostly based on single case studies and reviews, calling for a systematic comparative approach to understanding the effects of project design on change. Based on a survey of 85 water-related citizen science projects from 27 countries, we analyze the comparative effects of literature-based design principles on project impacts. Factor analysis first reveals three key impact factors which are 'Data output', 'Citizen outcome', and 'Impact chain'. Regression analysis then shows that these impact factors are significantly influenced by several design factors, amongst which motivational factors are most prominent. The analysis also shows that design factors are most important for 'Impact chain', followed by 'Citizen outcome', and 'Data output'. While design factors only partly explain the overall project effects, the regression results are rather stable and significant when including other potential influencing factors like project responsibility and funding. In sum, the results provide an empirically substantiated and differentiated understanding of citizen science impacts and how these are influenced by project design.</t>
  </si>
  <si>
    <t>[Kirschke, Sabrina; Lee, Yeongju; Khouzani, Seyed Taha Loghmani; Nath, Shuvojit] United Nations Univ, Inst Integrated Management Mat Fluxes &amp; Resources, UNU FLORES, Dresden, Germany; [Kirschke, Sabrina] Leibniz Inst Evolut &amp; Biodivers Sci, Museum Naturkunde, Berlin, Germany; [Bennett, Christy; Ghazani, Armin Bigham] Tech Univ Dresden, Dresden, Germany; [Kirschke, Dieter] Humboldt Univ, Berlin, Germany</t>
  </si>
  <si>
    <t>Leibniz Institut fur Evolutions und Biodiversitatsforschung; Technische Universitat Dresden; Humboldt University of Berlin</t>
  </si>
  <si>
    <t>Kirschke, S (corresponding author), United Nations Univ, Inst Integrated Management Mat Fluxes &amp; Resources, UNU FLORES, Dresden, Germany.;Kirschke, S (corresponding author), Leibniz Inst Evolut &amp; Biodivers Sci, Museum Naturkunde, Berlin, Germany.</t>
  </si>
  <si>
    <t>sabrina.kirschke@mfn.berlin</t>
  </si>
  <si>
    <t>Nath, Shuvojit/HZK-7589-2023; Loghmani Khouzani, Seyed Taha/HKM-7449-2023</t>
  </si>
  <si>
    <t>Nath, Shuvojit/0000-0002-0021-1575; Loghmani Khouzani, Seyed Taha/0000-0001-6877-6671</t>
  </si>
  <si>
    <t>The funding was provided by the United Nations University - Institute for Integrated Management of Material Fluxes and of Resources (UNU-FLORES), Dresden, Germany.; United Nations University - Institute for Integrated Management of Material Fluxes and of Resources (UNU-FLORES), Dresden, Germany</t>
  </si>
  <si>
    <t>The authors thank interviewees and survey respondents for sharing their knowledge and experience related to the impacts of environmental citizen science projects. We also thank two reviewers and the editor for their constructive comments on earlier versions of this manuscript.r The funding was provided by the United Nations University - Institute for Integrated Management of Material Fluxes and of Resources (UNU-FLORES), Dresden, Germany.</t>
  </si>
  <si>
    <t>OCT 11</t>
  </si>
  <si>
    <t>10.3389/fenvs.2023.1186238</t>
  </si>
  <si>
    <t>U9SN1</t>
  </si>
  <si>
    <t>WOS:001088132900001</t>
  </si>
  <si>
    <t>Laut, J; Henry, E; Nov, O; Porfiri, M</t>
  </si>
  <si>
    <t>Laut, Jeffrey; Henry, Emiliano; Nov, Oded; Porfiri, Maurizio</t>
  </si>
  <si>
    <t>Development of a Mechatronics-Based Citizen Science Platform for Aquatic Environmental Monitoring</t>
  </si>
  <si>
    <t>IEEE-ASME TRANSACTIONS ON MECHATRONICS</t>
  </si>
  <si>
    <t>Citizen science; environmental monitoring; human-computer interactions; robotics; surface vehicle</t>
  </si>
  <si>
    <t>COORDINATED CONTROL; PARTICIPATION; COMMUNITY; NETWORK; SYSTEM; VOLUNTEERS; WATER; TOOL</t>
  </si>
  <si>
    <t>In this paper, we present the design and proof of concept of a low-cost, self-sustained mobile surface vehicle for environmental monitoring. The vehicle is equipped with water quality sensors and cameras for image acquisition and two thrusters allowing it to maneuver. The device is part of a citizen science system wherein volunteers help in the environmental recovery of polluted bodies of water by performing online research and classification tasks. While aiding in environmental recovery, the users become more proficient in wildlife classification and water quality assessment. Telemetry collected by the vehicle is wirelessly uploaded to a web-based interface allowing volunteers to access images, positioning information, and water quality sensor data. The citizen science system allows for the study of social networking and human-computer interaction based on user activity. Specifically, the platform can be utilized to experiment with different interfaces and social interactions in hypothesis-driven research on human-computer interactions.</t>
  </si>
  <si>
    <t>[Laut, Jeffrey; Henry, Emiliano; Porfiri, Maurizio] NYU, Polytech Inst, Dept Mech &amp; Aerosp Engn, Brooklyn, NY 11201 USA; [Nov, Oded] NYU, Polytech Inst, Dept Technol Management &amp; Innovat, Brooklyn, NY 11201 USA</t>
  </si>
  <si>
    <t>New York University; New York University Tandon School of Engineering; New York University; New York University Tandon School of Engineering</t>
  </si>
  <si>
    <t>Porfiri, M (corresponding author), NYU, Polytech Inst, Dept Mech &amp; Aerosp Engn, Brooklyn, NY 11201 USA.</t>
  </si>
  <si>
    <t>jwl317@nyu.edu; ehenry01@students.poly.edu; onov@nyu.edu; mporfiri@nyu.edu</t>
  </si>
  <si>
    <t>Porfiri, Maurizio/A-1712-2009</t>
  </si>
  <si>
    <t>Porfiri, Maurizio/0000-0002-1480-3539</t>
  </si>
  <si>
    <t>National Science Foundation [BCS-1124795]; Honors Center of Italian Universities (H2CU) [CMMI-0926791, DGE-0741714]; Mitsui USA Foundation; Direct For Social, Behav &amp; Economic Scie; Division Of Behavioral and Cognitive Sci [1124795] Funding Source: National Science Foundation</t>
  </si>
  <si>
    <t>National Science Foundation(National Science Foundation (NSF)); Honors Center of Italian Universities (H2CU); Mitsui USA Foundation; Direct For Social, Behav &amp; Economic Scie; Division Of Behavioral and Cognitive Sci(National Science Foundation (NSF)NSF - Directorate for Social, Behavioral &amp; Economic Sciences (SBE))</t>
  </si>
  <si>
    <t>This work was supported by the National Science Foundation under Grant BCS-1124795. Additional support has been provided in part by the Honors Center of Italian Universities (H2CU) through a scholarship to E. Henry, National Science Foundation Grant CMMI-0926791 and Grant DGE-0741714, and the Mitsui USA Foundation. (Corresponding author: M. Porfiri.)</t>
  </si>
  <si>
    <t>IEEE-INST ELECTRICAL ELECTRONICS ENGINEERS INC</t>
  </si>
  <si>
    <t>PISCATAWAY</t>
  </si>
  <si>
    <t>445 HOES LANE, PISCATAWAY, NJ 08855-4141 USA</t>
  </si>
  <si>
    <t>1083-4435</t>
  </si>
  <si>
    <t>1941-014X</t>
  </si>
  <si>
    <t>IEEE-ASME T MECH</t>
  </si>
  <si>
    <t>IEEE-ASME Trans. Mechatron.</t>
  </si>
  <si>
    <t>10.1109/TMECH.2013.2287705</t>
  </si>
  <si>
    <t>Automation &amp; Control Systems; Engineering, Manufacturing; Engineering, Electrical &amp; Electronic; Engineering, Mechanical</t>
  </si>
  <si>
    <t>Automation &amp; Control Systems; Engineering</t>
  </si>
  <si>
    <t>AK0MP</t>
  </si>
  <si>
    <t>WOS:000338107600007</t>
  </si>
  <si>
    <t>Nqowana, T; Fogel, R; Bezerra, JC; Limson, J</t>
  </si>
  <si>
    <t>Nqowana, Thandiswa; Fogel, Ronen; Bezerra, Joana C.; Limson, Janice</t>
  </si>
  <si>
    <t>Citizen science tools for engaged research: Water quality monitoring in remote communities</t>
  </si>
  <si>
    <t>SOUTH AFRICAN JOURNAL OF SCIENCE</t>
  </si>
  <si>
    <t>citizen science; community-based monitoring; science communication; water quality monitoring; responsible research and innovation; engaged research</t>
  </si>
  <si>
    <t>DRINKING; IMPACT</t>
  </si>
  <si>
    <t>Remote areas that lack conventional water-provisioning infrastructure often rely on rainwater harvesting, rivers, pans, reservoirs and borehole-extracted water to meet domestic water requirements. These water sources often have poor microbial quality and chemical composition, the quality of which is not routinely monitored. This study explored citizen science as a tool for Engaged Research and Responsible Research and Innovation, detailing the co-creation of a sustained community-based water quality monitoring program in collaboration with communities in villages in Amakhala Game Reserve (Eastern Cape, South Africa). Without access to other water sources, participants predominantly used rainwater for drinking and cooking (80%), while borehole water was mainly used for cleaning and gardening due to its salty or bitter taste. A hydrogen sulfide (H2S) water testing kit was used by the citizen scientists to monitor the water quality. The H2S kits were effective in estimating bacterial contamination, showing a proportional relationship with Colilert (R) test results conducted in a laboratory. The alignment observed between community-based monitoring results and those derived from scientist-led testing underscores the value of data produced through citizen science initiatives. Sustained participant engagement throughout this research reflected a sense of community empowerment through access to tools that inform their decision-making around water use and treatment as well as investment in the research, indicative of the perceived relevance of the research to community interests. This integration of transdisciplinary data sources holds promise for informing evidence-based decision-making processes, facilitating more effective and contextually informed water management strategies that value and integrate community perspectives alongside scientific insights.</t>
  </si>
  <si>
    <t>[Nqowana, Thandiswa; Bezerra, Joana C.] Rhodes Univ, Community Engagement Div, Makhanda, South Africa; [Nqowana, Thandiswa; Fogel, Ronen; Limson, Janice] Rhodes Univ, Biotechnol Innovat Ctr, Makhanda, South Africa</t>
  </si>
  <si>
    <t>Rhodes University; Rhodes University</t>
  </si>
  <si>
    <t>Limson, J (corresponding author), Rhodes Univ, Biotechnol Innovat Ctr, Makhanda, South Africa.</t>
  </si>
  <si>
    <t>j.limson@ru.ac.za</t>
  </si>
  <si>
    <t>Nqowana, Thandiswa/HQZ-6529-2023; Bezerra, Joana/JGM-1596-2023; Lion, Janice/AAJ-6724-2020</t>
  </si>
  <si>
    <t>Nqowana, Thandiswa/0000-0003-2916-9515; Lion, Janice/0000-0001-9955-3518</t>
  </si>
  <si>
    <t>NRF [UID 128385]; [TTK2204254699]</t>
  </si>
  <si>
    <t>NRF;</t>
  </si>
  <si>
    <t>This research was funded by the Department of Science and Innovation/National Research Foundation (DSI/NRF) South African Research Chair in Biotechnology Innovation &amp; Engagement UID 95319, by the NRF SARChI Communities of Practice: Social Learning and Sustainable Development UID 128385 and by the NRF (ref no. TTK2204254699) .r Communities of Practice: Social Learning and Sustainable Development UID 128385 and by the NRF (ref no. TTK2204254699) .</t>
  </si>
  <si>
    <t>ACAD SCIENCE SOUTH AFRICA - ASSAf</t>
  </si>
  <si>
    <t>LYNWOOD RIDGE</t>
  </si>
  <si>
    <t>PO BOX 72135, LYNWOOD RIDGE 0040, SOUTH AFRICA</t>
  </si>
  <si>
    <t>0038-2353</t>
  </si>
  <si>
    <t>1996-7489</t>
  </si>
  <si>
    <t>S AFR J SCI</t>
  </si>
  <si>
    <t>S. Afr. J. Sci.</t>
  </si>
  <si>
    <t>9-10</t>
  </si>
  <si>
    <t>10.17159/sajs.2024/18145</t>
  </si>
  <si>
    <t>H3X6V</t>
  </si>
  <si>
    <t>WOS:001322811600006</t>
  </si>
  <si>
    <t>Khan, A; Asim, W; Ulhaq, A; Robinson, RW</t>
  </si>
  <si>
    <t>Khan, Asim; Asim, Warda; Ulhaq, Anwaar; Robinson, Randall W.</t>
  </si>
  <si>
    <t>A deep semantic vegetation health monitoring platform for citizen science imaging data</t>
  </si>
  <si>
    <t>LANDSCAPE PHOTOGRAPHY; NEURAL-NETWORK; GREEN SPACES; CLASSIFICATION; IMAGES; MOUNTAINS; PHENOLOGY; INDEX</t>
  </si>
  <si>
    <t>Automated monitoring of vegetation health in a landscape is often attributed to calculating values of various vegetation indexes over a period of time. However, such approaches suffer from an inaccurate estimation of vegetational change due to the over-reliance of index values on vegetation's colour attributes and the availability of multi-spectral bands. One common observation is the sensitivity of colour attributes to seasonal variations and imaging devices, thus leading to false and inaccurate change detection and monitoring. In addition, these are very strong assumptions in a citizen science project. In this article, we build upon our previous work on developing a Semantic Vegetation Index (SVI) and expand it to introduce a semantic vegetation health monitoring platform to monitor vegetation health in a large landscape. However, unlike our previous work, we use RGB images of the Australian landscape for a quarterly series of images over six years (2015-2020). This Semantic Vegetation Index (SVI) is based on deep semantic segmentation to integrate it with a citizen science project (Fluker Post) for automated environmental monitoring. It has collected thousands of vegetation images shared by various visitors from around 168 different points located in Australian regions over six years. This paper first uses a deep learning-based semantic segmentation model to classify vegetation in repeated photographs. A semantic vegetation index is then calculated and plotted in a time series to reflect seasonal variations and environmental impacts. The results show variational trends of vegetation cover for each year, and the semantic segmentation model performed well in calculating vegetation cover based on semantic pixels (overall accuracy = 97.7%). This work has solved a number of problems related to changes in viewpoint, scale, zoom, and seasonal changes in order to normalise RGB image data collected from different image devices.</t>
  </si>
  <si>
    <t>[Khan, Asim; Asim, Warda; Ulhaq, Anwaar; Robinson, Randall W.] Victoria Univ, Coll Engn &amp; Sci, ISILC, Melbourne, Vic, Australia; [Ulhaq, Anwaar] Charles Sturt Univ, Sch Comp &amp; Math, Port Macquarie, NSW, Australia</t>
  </si>
  <si>
    <t>Victoria University; Charles Sturt University</t>
  </si>
  <si>
    <t>Khan, A (corresponding author), Victoria Univ, Coll Engn &amp; Sci, ISILC, Melbourne, Vic, Australia.</t>
  </si>
  <si>
    <t>asim.khan@vu.edu.au</t>
  </si>
  <si>
    <t>Khan, Asim/AAW-4316-2021; Ulhaq, Anwaar/AAN-5714-2020</t>
  </si>
  <si>
    <t>Khan, Asim/0000-0003-0543-3350; Ulhaq, Anwaar/0000-0002-5145-7276</t>
  </si>
  <si>
    <t>JUL 27</t>
  </si>
  <si>
    <t>e0270625</t>
  </si>
  <si>
    <t>10.1371/journal.pone.0270625</t>
  </si>
  <si>
    <t>5Z7YE</t>
  </si>
  <si>
    <t>WOS:000880183400036</t>
  </si>
  <si>
    <t>Chame, M; Barbosa, HJC; Gadelha, LMR; Augusto, DA; Krempser, E; Abdalla, L</t>
  </si>
  <si>
    <t>Chame, Marcia; Barbosa, Helio J. C.; Gadelha Jr, Luiz M. R.; Augusto, Douglas A.; Krempser, Eduardo; Abdalla, Livia</t>
  </si>
  <si>
    <t>SISS-Geo: Leveraging Citizen Science to Monitor Wildlife Health Risks in Brazil</t>
  </si>
  <si>
    <t>JOURNAL OF HEALTHCARE INFORMATICS RESEARCH</t>
  </si>
  <si>
    <t>Wildlife health; Citizen science; Information system</t>
  </si>
  <si>
    <t>DISEASE RISK; BIODIVERSITY; DIVERSITY; PARASITES; ECOLOGY</t>
  </si>
  <si>
    <t>The well-being of human and wildlife health involves many challenges, such as monitoring the movement of pathogens; expanding health surveillance; collecting data and extracting information to identify and predict risks; integrating specialists from different areas to handle data, species and distinct social and environmental contexts; and the commitment to bringing relevant information to society. In Brazil, there is still the difficulty of building a system that is not impaired by its large territorial extension and its poorly integrated sectoral policies. The Brazilian Wildlife Health Information System, SISS-Geo (SISS-Geo is the abbreviation of Sistema de Informacao em Saude Silvestre Georreferenciado (which translates to Georeferenced Wildlife Health Information System) and can be accessed at or (in Portuguese)), is a platform for collaborative monitoring that intends to overcome the challenges in wildlife health. It aims at the integration and participation of various segments of society, encompassing the registration of animals occurrences by citizen scientists; the reliable diagnosis of pathogens from the laboratory and expert networks; and computational and mathematical challenges in analytical and predictive systems, model interpretation, data integration and visualization, and geographic information systems. It has been successfully applied to support decision-making on recent wildlife health events, such as a Yellow Fever epizootic.</t>
  </si>
  <si>
    <t>[Chame, Marcia; Augusto, Douglas A.; Krempser, Eduardo; Abdalla, Livia] Fundacao Oswaldo Cruz, Biodivers Wildlife Hlth Inst Platform PIBSS Fiocr, Rio De Janeiro, Brazil; [Barbosa, Helio J. C.; Gadelha Jr, Luiz M. R.] Natl Lab Sci Comp, Petropolis, RJ, Brazil</t>
  </si>
  <si>
    <t>Fundacao Oswaldo Cruz; Laboratorio Nacional de Computacao Cientifica (LNCC)</t>
  </si>
  <si>
    <t>Gadelha, LMR (corresponding author), Natl Lab Sci Comp, Petropolis, RJ, Brazil.</t>
  </si>
  <si>
    <t>marcia.chame@fiocruz.br; hcbm@lncc.br; lgadelha@lncc.br; daa@fiocruz.br; eduardo.krempser@fiocruz.br; abdalla.livia@fiocruz.br</t>
  </si>
  <si>
    <t>Gadelha, Luiz/F-8264-2012; Abdalla, Livia/AFS-1895-2022</t>
  </si>
  <si>
    <t>Gadelha, Luiz/0000-0002-8122-9522; Krempser, Eduardo/0000-0002-4652-442X; Abdalla, Livia/0000-0001-5847-8814</t>
  </si>
  <si>
    <t>Global Environment Facility (GEF) among World Bank; Caixa Economica Federal; Brazilian Biodiversity Fund (Funbio); Fiocruz</t>
  </si>
  <si>
    <t>This work is funded by the Global Environment Facility (GEF) among World Bank, Caixa Economica Federal, Brazilian Biodiversity Fund (Funbio), and Fiocruz for the development of the National Biodiversity Mainstreaming and Institutional Consolidation Project coordinated by the Brazilian Ministry of the Environment.</t>
  </si>
  <si>
    <t>2509-4971</t>
  </si>
  <si>
    <t>2509-498X</t>
  </si>
  <si>
    <t>J HEALTHC INFORM RES</t>
  </si>
  <si>
    <t>J. Healthc. Inform. Res.</t>
  </si>
  <si>
    <t>10.1007/s41666-019-00055-2</t>
  </si>
  <si>
    <t>Computer Science, Information Systems; Health Care Sciences &amp; Services; Medical Informatics</t>
  </si>
  <si>
    <t>Computer Science; Health Care Sciences &amp; Services; Medical Informatics</t>
  </si>
  <si>
    <t>WE3CE</t>
  </si>
  <si>
    <t>WOS:000705500200003</t>
  </si>
  <si>
    <t>Njue, N; Gräf, J; Weeser, B; Rufino, MC; Breuer, L; Jacobs, SR</t>
  </si>
  <si>
    <t>Njue, Naomi; Graf, Jan; Weeser, Bjorn; Rufino, Mariana C.; Breuer, Lutz; Jacobs, Suzanne R.</t>
  </si>
  <si>
    <t>Monitoring of Suspended Sediments in a Tropical Forested Landscape With Citizen Science</t>
  </si>
  <si>
    <t>catchment; citizen science; suspended sediments; turbidity; Sondu-Miriu river basin; Mau Forest Complex</t>
  </si>
  <si>
    <t>STREAM WATER-QUALITY; LAND-COVER CHANGE; TURBIDITY; IMPACT; COMMUNITY; KENYA; PARTICIPATION; VARIABILITY; MOTIVATIONS; DISCHARGES</t>
  </si>
  <si>
    <t>Catchments are complex systems, which require regular monitoring of hydro-chemical parameters in space and time to provide comprehensive datasets. These are needed to characterize catchment behavior on a local level, make future projections based on models, implement mitigation measures and meet policy targets. However, many developing countries lack a good infrastructure for hydrological monitoring since its establishment is costly and the required resources are often not available. To overcome such challenges in data scarce regions like Kenya, a participatory citizen science approach can be a promising strategy for monitoring water resources. This study evaluates the potential of using a contributory citizen science approach to explore spatiotemporal turbidity and suspended sediment dynamics in the Sondu-Miriu river basin, western Kenya. A group of 19 citizen scientists was trained to monitor turbidity using turbidity tubes and water levels with water level gauges in six nested subcatchments of the Sondu-Miriu river basin. Over the course of the project, a total of 37 citizen scientists participated and contributed to the overall dataset of turbidity. The sampling effort and data contribution varied from year to year and among participants with the majority of the data (72%) originating from 8 (22%) citizen scientists. Comparison between citizen-scientist collected suspended sediment data and measurements from automated stations showed high correlation (R-2 &gt; 0.9) which demonstrates that data collected by citizen scientists can be comparable to data collected using expensive monitoring equipment. However, there was reduced precision of the measurements of suspended sediment concentrations at low and high levels attributed largely to the detection limitations of the turbidity tubes and citizen scientists not capturing major sediment export events. Suspended sediment concentrations were significantly higher downstream (109 +/- 94 mg L-1), a subcatchment dominated by agriculture and rangeland with low forest vegetation cover, as compared to a subcatchment with high forest cover (50 +/- 24.7 mg L-1). This finding indicates that forest cover is a key landscape feature to control suspended sediment concentrations in the region. Future citizen science projects should focus on motivation and engagement strategies and the application of robust methods with improved detection limits and resolution to advance hydrological monitoring.</t>
  </si>
  <si>
    <t>[Njue, Naomi; Graf, Jan; Weeser, Bjorn; Breuer, Lutz; Jacobs, Suzanne R.] Justus Liebig Univ Giessen, Inst Landscape Ecol &amp; Resources Management ILR, Res Ctr &amp; BioSyst Land Use &amp; Nutr IFZ, Giessen, Germany; [Njue, Naomi; Rufino, Mariana C.] Ctr Int Forestry Res CIFOR, Nairobi, Kenya; [Njue, Naomi] Univ Kabianga, Sch Nat Resource &amp; Environm Management, Kericho, Kenya; [Weeser, Bjorn; Breuer, Lutz; Jacobs, Suzanne R.] Justus Liebig Univ Giessen, Ctr Int Dev &amp; Environm Res, Giessen, Germany; [Rufino, Mariana C.] Univ Lancaster, Lancaster Environm Ctr, Lancaster, England</t>
  </si>
  <si>
    <t>Justus Liebig University Giessen; CGIAR; Center for International Forestry Research (CIFOR); Justus Liebig University Giessen; Lancaster University</t>
  </si>
  <si>
    <t>Jacobs, SR (corresponding author), Justus Liebig Univ Giessen, Inst Landscape Ecol &amp; Resources Management ILR, Res Ctr &amp; BioSyst Land Use &amp; Nutr IFZ, Giessen, Germany.;Jacobs, SR (corresponding author), Justus Liebig Univ Giessen, Ctr Int Dev &amp; Environm Res, Giessen, Germany.</t>
  </si>
  <si>
    <t>suzanne.r.jacobs@zeu.uni-giessen.de</t>
  </si>
  <si>
    <t>Breuer, Lutz/C-6652-2013; Jacobs, Suzanne/GQP-6323-2022; Rufino, Mariana/Y-2415-2019</t>
  </si>
  <si>
    <t>Breuer, Lutz/0000-0001-9720-1076; Rufino, Mariana/0000-0003-4293-3290; Weeser, Björn/0000-0001-7400-319X</t>
  </si>
  <si>
    <t>German Federal Ministry for Economic Cooperation and Development [81195001, 81206682]; German Science Foundation DFG [BR2238/23-1]; German Academic Exchange Service (DAAD); National Research Fund (NRF), Kenya</t>
  </si>
  <si>
    <t>German Federal Ministry for Economic Cooperation and Development; German Science Foundation DFG(German Research Foundation (DFG)); German Academic Exchange Service (DAAD)(Deutscher Akademischer Austausch Dienst (DAAD)); National Research Fund (NRF), Kenya</t>
  </si>
  <si>
    <t>We thank the German Federal Ministry for Economic Cooperation and Development (Grants 81195001 Low Cost methods for monitoring water quality to inform upscaling of sustainable water management in forested landscapes in Kenya and Grant 81206682 The Water Towers of East Africa: policies and practices for enhancing co-benefits from joint forest and water conservation) for generously providing financial support, and the German Science Foundation DFG (BR2238/23-1) for co-funding this research. This work is a contribution to the CGIAR programme on Forest, Trees and Agroforestry led by the Center for International Forestry Research (CIFOR). We also thank the German Academic Exchange Service (DAAD) in collaboration with National Research Fund (NRF), Kenya for the scholarship award.</t>
  </si>
  <si>
    <t>JUN 11</t>
  </si>
  <si>
    <t>10.3389/frwa.2021.656770</t>
  </si>
  <si>
    <t>TB7UT</t>
  </si>
  <si>
    <t>WOS:000668152800001</t>
  </si>
  <si>
    <t>Millar, EE; Hazell, EC; Melles, SJ</t>
  </si>
  <si>
    <t>Millar, Edward E.; Hazell, E. C.; Melles, S. J.</t>
  </si>
  <si>
    <t>The cottage effect' in citizen science? Spatial bias in aquatic monitoring programs</t>
  </si>
  <si>
    <t>INTERNATIONAL JOURNAL OF GEOGRAPHICAL INFORMATION SCIENCE</t>
  </si>
  <si>
    <t>Citizen science data; community-based monitoring; spatial bias; lake monitoring; methods comparison</t>
  </si>
  <si>
    <t>MAPS; BIODIVERSITY; DISTRIBUTIONS; CONSERVATION; VOLUNTEERS; PHOSPHORUS; DYNAMICS; MODELS; TOOLS; STATE</t>
  </si>
  <si>
    <t>Citizen science aquatic monitoring programs often rely on opportunistic, incidental contributions, which can lead to spatial bias, the uneven geographical distribution of sample sites. It is less known how this spatial bias compares to professional monitoring activities, or how geospatial biases (e.g. terrain slope, population density, road density) influence aquatic citizen science and professional lake monitoring programs. This paper compares sample sites in Ontario's volunteer Lake Partner Program, against those identified by a stratified random sampling method currently used by the Province of Ontario, Ministry of Natural Resources and Forestry. Exploration of spatial bias within each sampling method was conducted using Kernel Density Estimation, a nonparametric approach to interpolating the spatial trend of a given variable. Results indicate that two distinct patterns of sampling clusters exist between the two datasets, suggesting a cottage effect' in which volunteers are more likely to sample accessible locations associated with recreation and summer home ownership. Although professional monitoring programs are not exempt from spatial bias, our research suggests that citizen science lake monitoring programs in Ontario are more influenced by natural and demographic biases related to the location, accessibility, size and general attractiveness of lakes.</t>
  </si>
  <si>
    <t>[Millar, Edward E.; Hazell, E. C.] Ryerson Univ, Environm Appl Sci &amp; Management, Toronto, ON, Canada; [Melles, S. J.] Ryerson Univ, Chem &amp; Biol, Toronto, ON, Canada</t>
  </si>
  <si>
    <t>Toronto Metropolitan University; Toronto Metropolitan University</t>
  </si>
  <si>
    <t>Millar, EE (corresponding author), Ryerson Univ, Environm Appl Sci &amp; Management, Toronto, ON, Canada.</t>
  </si>
  <si>
    <t>Edward.millar@ryerson.ca</t>
  </si>
  <si>
    <t>Melles, Stephanie/NLO-5976-2025</t>
  </si>
  <si>
    <t>Melles, Stephanie/0000-0002-2983-8136</t>
  </si>
  <si>
    <t>Natural Sciences and Engineering Research Council of Canada [03834-2015]; Social Science and Humanities Research Council of Canada [895-2015-1023]</t>
  </si>
  <si>
    <t>Natural Sciences and Engineering Research Council of Canada(Natural Sciences and Engineering Research Council of Canada (NSERC)CGIAR); Social Science and Humanities Research Council of Canada(Social Sciences &amp; Humanities Research Council of Canada (SSHRC))</t>
  </si>
  <si>
    <t>This research was supported in part by a Natural Sciences and Engineering Research Council of Canada Discovery grant to SJM: [Grant Number 03834-2015], and to EM through participation in the Social Science and Humanities Research Council of Canada partnership grant on 'How the Geospatial Web 2.0 is Reshaping Government - Citizen Interactions' [Grant Number 895-2015-1023].</t>
  </si>
  <si>
    <t>1365-8816</t>
  </si>
  <si>
    <t>1362-3087</t>
  </si>
  <si>
    <t>INT J GEOGR INF SCI</t>
  </si>
  <si>
    <t>Int. J. Geogr. Inf. Sci.</t>
  </si>
  <si>
    <t>AUG 3</t>
  </si>
  <si>
    <t>10.1080/13658816.2018.1423686</t>
  </si>
  <si>
    <t>Computer Science, Information Systems; Geography; Geography, Physical; Information Science &amp; Library Science</t>
  </si>
  <si>
    <t>Computer Science; Geography; Physical Geography; Information Science &amp; Library Science</t>
  </si>
  <si>
    <t>ID8MD</t>
  </si>
  <si>
    <t>WOS:000471937900007</t>
  </si>
  <si>
    <t>Fischer, HA; Gerber, LR; Wentz, EA</t>
  </si>
  <si>
    <t>Fischer, Heather A.; Gerber, Leah R.; Wentz, Elizabeth A.</t>
  </si>
  <si>
    <t>Evaluating the Fitness for Use of Citizen Science Data for Wildlife Monitoring</t>
  </si>
  <si>
    <t>volunteered geographic information; data fitness; data quality; ecological monitoring; citizen science</t>
  </si>
  <si>
    <t>VOLUNTEERED GEOGRAPHIC INFORMATION; SPECIES DISTRIBUTION MODELS; SPATIAL DATA; ECOLOGICAL RESEARCH; QUALITY; KNOWLEDGE; PATTERNS; TOOL</t>
  </si>
  <si>
    <t>Contributory citizen science programs focused on ecological monitoring can produce fine-grained and expansive data sets across spatial and temporal scales. With this data collection potential, citizen scientists can significantly impact the ability to monitor ecological patterns. However, scientists still harbor skepticism about using citizen science data in their work, generally due to doubts about data quality. Numerous peer-reviewed articles have addressed data quality in citizen science. Yet, many of these methods are not useable by third-party scientists (scientists who are not directly involved in the citizen science program). In addition, these methods generally capture internal data quality rather than a dataset's potential to be used for a specific purpose. Assessing data fitness for use represents a promising approach to evaluating data accuracy and quality for different applications and contexts. In this article, we employ a Spatial, Temporal, Aptness, and Application (STAAq) assessment approach to assess data fitness for use of citizen science datasets. We tested the STAAq assessment approach through a case study examining the distribution of caribou in Denali National Park and Preserve. Three different datasets were used in the test, Map of Life data (a global scale citizen science mobile application for recording species observations), Ride Observe and Record data (a program sponsored by the park staff where incentivized volunteers observe species in the park), and conventionally collected radio collar data. The STAAq assessment showed that the Map of Life and Ride Observe and Record program data are fit for monitoring caribou distribution in the park. This data fitness for use approach is a promising way to assess the external quality of a dataset and its fitness to address particular research or monitoring questions. This type of assessment may help citizen science skeptics see the value and potential of citizen science collected data and encourage the use of citizen science data by more scientists.</t>
  </si>
  <si>
    <t>[Fischer, Heather A.] Oregon State Univ, STEM Res Ctr, Corvallis, OR 97331 USA; [Gerber, Leah R.] Arizona State Univ, Ctr Biodivers Outcomes, Tempe, AZ USA; [Wentz, Elizabeth A.] Arizona State Univ, Sch Geog Sci &amp; Urban Planning, Tempe, AZ USA</t>
  </si>
  <si>
    <t>Oregon State University; Arizona State University; Arizona State University-Tempe; Arizona State University; Arizona State University-Tempe</t>
  </si>
  <si>
    <t>Fischer, HA (corresponding author), Oregon State Univ, STEM Res Ctr, Corvallis, OR 97331 USA.</t>
  </si>
  <si>
    <t>heather.fischer@oregonstate.edu</t>
  </si>
  <si>
    <t>Fischer, Heather/0000-0003-2530-3529</t>
  </si>
  <si>
    <t>Denali National Park and Preserve</t>
  </si>
  <si>
    <t>The authors would like to acknowledge the support of Denali National Park and Preserve for their logistical and intellectual support of this research. The authors would also like to thank the Map of Life team at Yale University for their development of the offline functionality of the Map of Life mobile application.</t>
  </si>
  <si>
    <t>NOV 16</t>
  </si>
  <si>
    <t>10.3389/fevo.2021.620850</t>
  </si>
  <si>
    <t>XI5IJ</t>
  </si>
  <si>
    <t>WOS:000726144800001</t>
  </si>
  <si>
    <t>Ostermann-Miyashita, EF; Bluhm, H; Dobiás, K; Gandl, N; Hibler, S; Look, S; Michler, FU; Weltgen, L; Smaga, A; König, HJ; Kuemmerle, T; Kiffner, C</t>
  </si>
  <si>
    <t>Ostermann-Miyashita, Emu-Felicitas; Bluhm, Hendrik; Dobias, Kornelia; Gandl, Nina; Hibler, Sophia; Look, Samantha; Michler, Frank-Uwe; Weltgen, Leonie; Smaga, Aleksandra; Koenig, Hannes J.; Kuemmerle, Tobias; Kiffner, Christian</t>
  </si>
  <si>
    <t>Opportunities and challenges for monitoring a recolonizing large herbivore using citizen science</t>
  </si>
  <si>
    <t>Alces alces; biodiversity monitoring; elk; human-wildlife coexistence; large-mammal comeback; participatory research</t>
  </si>
  <si>
    <t>MOOSE ALCES-ALCES; LARGE CARNIVORES; KNOWLEDGE</t>
  </si>
  <si>
    <t>Monitoring is a prerequisite for evidence-based wildlife management and conservation planning, yet conventional monitoring approaches are often ineffective for species occurring at low densities. However, some species such as large mammals are often observed by lay people and this information can be leveraged through citizen science monitoring schemes. To ensure that such wildlife monitoring efforts provide robust inferences, assessing the quantity, quality, and potential biases of citizen science data is crucial. For Eurasian moose (Alces alces), a species currently recolonizing north-eastern Germany and occurring in very low numbers, we applied three citizen science tools: a mail/email report system, a smartphone application, and a webpage. Among these monitoring tools, the mail/email report system yielded the greatest number of moose reports in absolute and in standardized (corrected for time effort) terms. The reported moose were predominantly identified as single, adult, male individuals, and reports occurred mostly during late summer. Overlaying citizen science data with independently generated habitat suitability and connectivity maps showed that members of the public detected moose in suitable habitats but not necessarily in movement corridors. Also, moose detections were often recorded near roads, suggestive of spatial bias in the sampling effort. Our results suggest that citizen science-based data collection can be facilitated by brief, intuitive digital reporting systems. However, inference from the resulting data can be limited due to unquantified and possibly biased sampling effort. To overcome these challenges, we offer specific recommendations such as more structured monitoring efforts involving the public in areas likely to be roamed by moose for improving quantity, quality, and analysis of citizen science-based data for making robust inferences.</t>
  </si>
  <si>
    <t>[Ostermann-Miyashita, Emu-Felicitas; Koenig, Hannes J.] Humboldt Univ, Thaer Inst Agr &amp; Hort Sci, Fac Life Sci, Berlin, Germany; [Ostermann-Miyashita, Emu-Felicitas; Hibler, Sophia; Kiffner, Christian] Leibniz Ctr Agr Landscape Res ZALF, Muncheberg, Germany; [Bluhm, Hendrik; Kuemmerle, Tobias] Humboldt Univ, Geog Dept, Berlin, Germany; [Dobias, Kornelia] Landeskompetenzzentrum Forst Eberswalde LFE, Landesbetrieb Forst Brandenburg Abt 4, Eberswalde, Germany; [Look, Samantha] WWF Deutschland, Berlin, Germany; [Michler, Frank-Uwe] Eberswalde Univ Sustainable Dev, Fac Forest &amp; Environm, Eberswalde, Germany; [Smaga, Aleksandra] Dzika Zagroda, Zachodniopomorskie Towarzystwo Przyrodnicze, Miroslawiec, Poland; [Ostermann-Miyashita, Emu-Felicitas] Leibniz Ctr Agr Landscape Res ZALF, Jr Res Grp Human Wildlife Conflict &amp; Coexistence, Eberswalder Str 84, D-15374 Muncheberg, Germany</t>
  </si>
  <si>
    <t>Humboldt University of Berlin; Leibniz Association; Leibniz Zentrum fur Agrarlandschaftsforschung (ZALF); Humboldt University of Berlin; Eberswalde University for Sustainable Development; Leibniz Association; Leibniz Zentrum fur Agrarlandschaftsforschung (ZALF)</t>
  </si>
  <si>
    <t>Ostermann-Miyashita, EF (corresponding author), Leibniz Ctr Agr Landscape Res ZALF, Jr Res Grp Human Wildlife Conflict &amp; Coexistence, Eberswalder Str 84, D-15374 Muncheberg, Germany.</t>
  </si>
  <si>
    <t>emu-felicitas.ostermann@zalf.de</t>
  </si>
  <si>
    <t>Ostermann-Miyashita, Emu-Felicitas/HLQ-5729-2023; Kiffner, Christian/F-4088-2012; König, Hannes/I-1964-2012; Hibler, Sophia/KFS-5024-2024; Kuemmerle, Tobias/B-4340-2008</t>
  </si>
  <si>
    <t>Ostermann-Miyashita, Emu-Felicitas/0000-0002-5270-5737; Hibler, Sophia/0000-0003-0704-0729; Kiffner, Christian/0000-0002-7475-9023;</t>
  </si>
  <si>
    <t>EU Interreg project INT144 LosBonasus- Crossing! Improving trand boundary wildlife management for Europian bison and moose; Japan Student Services Organization; Marianne und Dr. Fritz Walter Fischer Foundation</t>
  </si>
  <si>
    <t>EU Interreg project INT144 LosBonasus- Crossing! Improving trand boundary wildlife management for Europian bison and moose; Japan Student Services Organization(Japan Student Services Organization); Marianne und Dr. Fritz Walter Fischer Foundation</t>
  </si>
  <si>
    <t>e10484</t>
  </si>
  <si>
    <t>10.1002/ece3.10484</t>
  </si>
  <si>
    <t>Q9NM4</t>
  </si>
  <si>
    <t>WOS:001060711600001</t>
  </si>
  <si>
    <t>van der Plas, TL; Alexander, DG; Pocock, MJO</t>
  </si>
  <si>
    <t>van Der Plas, Thijs L.; Alexander, David G.; Pocock, Michael J. O.</t>
  </si>
  <si>
    <t>Monitoring protected areas by integrating machine learning, remote sensing and citizen science</t>
  </si>
  <si>
    <t>ECOLOGICAL SOLUTIONS AND EVIDENCE</t>
  </si>
  <si>
    <t>biodiversity; citizen science; habitat condition; machine learning; protected areas; remote sensing</t>
  </si>
  <si>
    <t>HABITAT QUALITY</t>
  </si>
  <si>
    <t>Protected Areas (PAs) are central to addressing the world's biodiversity crisis, but their effectiveness for conservation varies. Therefore, high-resolution habitat condition monitoring is needed to evaluate their individual impacts. Critically, monitoring must efficiently scale to cover large areas and be conducted at regular intervals. Remote sensing (RS) data and citizen-science (CS) species data are two sources of global data available for habitat condition monitoring, and integrating these could provide high-resolution, scalable biodiversity data required for the detailed monitoring of PAs. However, integrating these presents four data analysis challenges: RS data are large and complex, large-scale CS data are biased, integrating RS and CS data is non-trivial, and fine-tuning to local priorities is required. Machine Learning (ML) methods can address these challenges: geospatial foundation models for RS data can compress large data volumes, ML de-biasing techniques can improve CS data quality, deep learning and multimodal ML can help to integrate RS and CS data, and transfer learning can fine-tune models to local priorities. Here, we review these techniques and discuss how they can be applied to habitat condition monitoring. Practical implication. Together, these advances in ML can deliver high-resolution biodiversity data that can be tailored to local priorities, enabling the efficient monitoring of PAs at scale, with the potential to support spatial land use decision-making.</t>
  </si>
  <si>
    <t>[van Der Plas, Thijs L.] Alan Turing Inst, London, England; [Alexander, David G.] Peak Dist Natl Pk Author, Bakewell, England; [Pocock, Michael J. O.] UK Ctr Ecol &amp; Hydrol, Wallingford, England</t>
  </si>
  <si>
    <t>Alan Turing Institute; UK Centre for Ecology &amp; Hydrology (UKCEH)</t>
  </si>
  <si>
    <t>van der Plas, TL (corresponding author), Alan Turing Inst, London, England.</t>
  </si>
  <si>
    <t>vdplasthijs@gmail.com</t>
  </si>
  <si>
    <t>Pocock, Michael/A-5632-2012</t>
  </si>
  <si>
    <t>Pocock, Michael/0000-0003-4375-0445; van der Plas, Thijs L/0000-0001-5490-1785; Alexander, David/0009-0001-5126-9419</t>
  </si>
  <si>
    <t>Engineering and Physical Sciences Research Council</t>
  </si>
  <si>
    <t>Engineering and Physical Sciences Research Council(UK Research &amp; Innovation (UKRI)Engineering &amp; Physical Sciences Research Council (EPSRC))</t>
  </si>
  <si>
    <t>The authors thank Simon Geikie (Peak District National Park Authority), Cath Jackson (South Downs National Park Authority), Emma Wright (Joint Nature Conservation Committee), Barbara Metzler (Alan Turing Institute) and Matthew Fry (UK Centre for Ecology and Hydrology) for constructive discussions and suggestions.</t>
  </si>
  <si>
    <t>2688-8319</t>
  </si>
  <si>
    <t>ECOL SOLUT EVID</t>
  </si>
  <si>
    <t>Ecol. Solut. Evid.</t>
  </si>
  <si>
    <t>MAY 12</t>
  </si>
  <si>
    <t>e70040</t>
  </si>
  <si>
    <t>10.1002/2688-8319.70040</t>
  </si>
  <si>
    <t>2PP2Z</t>
  </si>
  <si>
    <t>WOS:001488282400001</t>
  </si>
  <si>
    <t>Mahaffy, PG; Martin, B; Ooms, KJ; Tappenden, AF; Oliver, M; Hislop-Hook, R; Forman, JE; Mans, U; Sabou, J</t>
  </si>
  <si>
    <t>Mahaffy, Peter G.; Martin, Brian; Ooms, Kristopher J.; Tappenden, Andrew F.; Oliver, Mckenzie; Hislop-Hook, Rachel; Forman, Jonathan E.; Mans, Ulrich; Sabou, John</t>
  </si>
  <si>
    <t>Citizen science and international collaboration through environmental monitoring with simple chemical sensors</t>
  </si>
  <si>
    <t>PURE AND APPLIED CHEMISTRY</t>
  </si>
  <si>
    <t>chemical sensors; chemistry education; citizen science; environmental chemistry; experimental methods; toxicology; 2016 Spring ConfChem</t>
  </si>
  <si>
    <t>AIR-POLLUTION; PARTICULATE MATTER; MORTALITY; EXPOSURE; NETWORK; CITIES</t>
  </si>
  <si>
    <t>Building capacity for carrying out and understanding responsible science that is relevant to local challenges is a key ingredient in the OPCW's strategy for achieving and maintaining a world free of chemical weapons. Two important contexts for building that capacity for responsible science are (1) the global attention being drawn to the rapidly increasing human chemical footprint on our planet and (2) the pervasive use of digital technologies. We describe an effort coordinated by the Organisation for the Prohibition of Chemical Weapons to build capacity among young people around the world to harness the power of small mobile chemical sensors to develop data literacy in complex chemical analysis based on measuring analytes that are relevant to their lives and local contexts. This new type of data literacy is an emergent element in educational programs and is key to developing the capacity for decision-making on chemical measurement data. The project brings together student and faculty collaborators from the fields of chemistry, social sciences and informatics, to provide proof of concept in four areas that support the overall goal of building a collective effort for scientific analysis; the development of low cost environmental sensors for air and water samples; the collection of representative test data sets on priority contaminants; the assessment and visualization of data; and education about the effect of priority pollutants on human and environmental health. We report on the project goals and preliminary steps taken to achieve them.</t>
  </si>
  <si>
    <t>[Mahaffy, Peter G.; Martin, Brian; Ooms, Kristopher J.; Tappenden, Andrew F.; Oliver, Mckenzie; Hislop-Hook, Rachel] Kings Univ, Edmonton, AB, Canada; [Forman, Jonathan E.] Org Prohibit Chem Weap, The Hague, Netherlands; [Mans, Ulrich] Leiden Univ, Ctr Innovat, Leiden, Netherlands; [Sabou, John] Leiden Univ, Inst Secur &amp; Global Affairs, Leiden, Netherlands</t>
  </si>
  <si>
    <t>Leiden University - Excl LUMC; Leiden University; Leiden University; Leiden University - Excl LUMC</t>
  </si>
  <si>
    <t>Mahaffy, PG; Ooms, KJ (corresponding author), Kings Univ, Edmonton, AB, Canada.</t>
  </si>
  <si>
    <t>Peter.Mahaffy@Kingsu.ca; Kristopher.Ooms@Kingsu.ca</t>
  </si>
  <si>
    <t>mahaffy, peter/KBC-0491-2024</t>
  </si>
  <si>
    <t>mahaffy, peter/0000-0002-0650-7414; Forman, Jonathan/0000-0002-5379-812X</t>
  </si>
  <si>
    <t>European Union [2015/259]</t>
  </si>
  <si>
    <t>We thank the King's University students Andrew Fox, Aaron Loset, and Aaron Yaremchuk for their work on this project as part of their senior thesis projects. We thank the European Union for funding through Council Decision (CFSP) 2015/259 of 17 February 2015 in support of activities of the Organisation for the Prohibition of Chemical Weapons (OPCW) in the framework of the implementation of the EU Strategy against Proliferation of Weapons of Mass Destruction (project III, Chemical informatics for facilitating international collaboration, http://eur-lex.europa.eu/legal-content/EN/TXT/?uri=uriserv:OJ.L_.2015.043.01.0014.01. ENGEU).</t>
  </si>
  <si>
    <t>WALTER DE GRUYTER GMBH</t>
  </si>
  <si>
    <t>GENTHINER STRASSE 13, D-10785 BERLIN, GERMANY</t>
  </si>
  <si>
    <t>0033-4545</t>
  </si>
  <si>
    <t>1365-3075</t>
  </si>
  <si>
    <t>PURE APPL CHEM</t>
  </si>
  <si>
    <t>Pure Appl. Chem.</t>
  </si>
  <si>
    <t>10.1515/pac-2016-0710</t>
  </si>
  <si>
    <t>EQ3WH</t>
  </si>
  <si>
    <t>WOS:000398003700006</t>
  </si>
  <si>
    <t>Little, S; Pavelsky, TM; Hossain, F; Ghafoor, S; Parkins, GM; Yelton, SK; Rodgers, M; Yang, X; Crétaux, JF; Hein, C; Ullah, MA; Lina, DH; Thiede, H; Kelly, D; Wilson, D; Topp, SN</t>
  </si>
  <si>
    <t>Little, Sarina; Pavelsky, Tamlin M.; Hossain, Faisal; Ghafoor, Sheikh; Parkins, Grant M.; Yelton, Sarah K.; Rodgers, Megan; Yang, Xiao; Cretaux, Jean-Francois; Hein, Catherine; Ullah, Mohammad Arman; Lina, Debolina Halder; Thiede, Hanne; Kelly, Darren; Wilson, Donald; Topp, Simon N.</t>
  </si>
  <si>
    <t>Monitoring Variations in Lake Water Storage with Satellite Imagery and Citizen Science</t>
  </si>
  <si>
    <t>WATER</t>
  </si>
  <si>
    <t>lake water storage; water level fluctuations; remote sensing; citizen science</t>
  </si>
  <si>
    <t>SIZE DISTRIBUTION; VOLUME; RESERVOIRS; SENTINELS; ABUNDANCE; REGION</t>
  </si>
  <si>
    <t>Despite lakes being a key part of the global water cycle and a crucial water resource, there is limited understanding of whether regional or lake-specific factors control water storage variations in small lakes. Here, we study groups of small, unregulated lakes in North Carolina, Washington, Illinois, and Wisconsin, USA using lake level measurements gathered by citizen scientists and lake surface area measurements from optical satellite imagery. We show the lake level measurements to be highly accurate when compared to automated gauges (mean absolute error = 1.6 cm). We compare variations in lake water storage between pairs of lakes within these four states. On average, water storage variations in lake pairs across all study regions are moderately positively correlated (rho = 0.49) with substantial spread in the degree of correlation. The distance between lake pairs and the extent to which their changes in volume are correlated show a weak but statistically significant negative relationship. Our results indicate that, on regional scales, distance is not a primary factor governing lake water storage patterns, which suggests that other, perhaps lakes-specific, factors must also play important roles.</t>
  </si>
  <si>
    <t>[Little, Sarina; Pavelsky, Tamlin M.; Yang, Xiao; Topp, Simon N.] Univ N Carolina, Dept Geol Sci, Chapel Hill, NC 27599 USA; [Hossain, Faisal] Univ Washington, Dept Civil &amp; Environm Engn, Seattle, WA 98195 USA; [Ghafoor, Sheikh; Ullah, Mohammad Arman; Lina, Debolina Halder] Tennessee Technol Univ, Dept Comp Sci, Cookeville, TN 38505 USA; [Parkins, Grant M.; Yelton, Sarah K.; Rodgers, Megan] Univ N Carolina, Inst Environm, Chapel Hill, NC 27599 USA; [Cretaux, Jean-Francois] Univ Toulouse III, IRD, CNES, UMR5566,CNRS, F-31400 Toulouse, France; [Hein, Catherine] Wisconsin Dept Nat Resources, Madison, WI 53703 USA</t>
  </si>
  <si>
    <t>University of North Carolina; University of North Carolina Chapel Hill; University of Washington; University of Washington Seattle; Tennessee Technological University; University of North Carolina; University of North Carolina Chapel Hill; Universite de Toulouse; Universite Toulouse III - Paul Sabatier; Centre National d'Etudes Spatiales (CNES); Centre National de la Recherche Scientifique (CNRS); Institut de Recherche pour le Developpement (IRD); Laboratoire d'Etudes en Geophysique et oceanographie spatiales; CNRS - National Institute for Earth Sciences &amp; Astronomy (INSU)</t>
  </si>
  <si>
    <t>Pavelsky, TM (corresponding author), Univ N Carolina, Dept Geol Sci, Chapel Hill, NC 27599 USA.</t>
  </si>
  <si>
    <t>sarina.rinab@gmail.com; pavelsky@unc.edu; fhossain@uw.edu; sghafoor@tntech.edu; parkins@unc.edu; sarah.yelton@unc.edu; megan.rodgers@unc.edu; yangxiao@live.unc.edu; Jean-Francois.Cretaux@legos.obs-mip.fr; Catherine.Hein@wisconsin.gov; mullah42@students.tntech.edu; dlina@students.tntech.edu; hanne.thiede@gmail.com; darren.k.kelly@gmail.com; wilsondonaldm@gmail.com; sntopp@live.unc.edu</t>
  </si>
  <si>
    <t>; Hein, Catherine/C-7202-2012; Yang, Xiao/ABE-3793-2020</t>
  </si>
  <si>
    <t>Topp, Simon/0000-0001-7741-5982; Yelton, Sarah/0000-0001-6999-8268; Hein, Catherine/0000-0003-0160-655X; Parkins, Grant/0000-0002-8167-6787; Ullah, Mohammad Arman/0000-0002-5264-4954; Little, Sarina/0000-0001-8073-6795;</t>
  </si>
  <si>
    <t>NASA Citizen Science for Earth Systems Program [80NSSC18M0099]; Preston Jones and Mary Elizabeth Frances Dean Martin Fellowship Fund of the University of North Carolina Department of Geological Sciences</t>
  </si>
  <si>
    <t>NASA Citizen Science for Earth Systems Program; Preston Jones and Mary Elizabeth Frances Dean Martin Fellowship Fund of the University of North Carolina Department of Geological Sciences</t>
  </si>
  <si>
    <t>This work was funded by a grant from the NASA Citizen Science for Earth Systems Program (#80NSSC18M0099), PI: Tamlin Pavelsky. S. Little was partially supported by the Preston Jones and Mary Elizabeth Frances Dean Martin Fellowship Fund of the University of North Carolina Department of Geological Sciences.</t>
  </si>
  <si>
    <t>2073-4441</t>
  </si>
  <si>
    <t>WATER-SUI</t>
  </si>
  <si>
    <t>Water</t>
  </si>
  <si>
    <t>10.3390/w13070949</t>
  </si>
  <si>
    <t>Environmental Sciences; Water Resources</t>
  </si>
  <si>
    <t>Environmental Sciences &amp; Ecology; Water Resources</t>
  </si>
  <si>
    <t>RL4JD</t>
  </si>
  <si>
    <t>WOS:000638940800001</t>
  </si>
  <si>
    <t>Razen, N; Kuralt, Z; Flezar, U; Bartol, M; Cerne, R; Kos, ; Krofel, M; Lustrik, R; Skrbinsek, AM; Potocnik, H</t>
  </si>
  <si>
    <t>Razen, N.; Kuralt, Z.; Flezar, U.; Bartol, M.; Cerne, R.; Kos, I; Krofel, M.; Lustrik, R.; Skrbinsek, A. Majic; Potocnik, H.</t>
  </si>
  <si>
    <t>Citizen science contribution to national wolf population monitoring: what have we learned?</t>
  </si>
  <si>
    <t>EUROPEAN JOURNAL OF WILDLIFE RESEARCH</t>
  </si>
  <si>
    <t>Monitoring; Acoustic survey; Grey wolf; Canis lupus; Large carnivore; Citizen science</t>
  </si>
  <si>
    <t>WOLVES CANIS-LUPUS; GRAY WOLF; INDEXES; SITES; TOOL</t>
  </si>
  <si>
    <t>Evidence-based management of large carnivores is a crucial step towards their effective conservation. However, monitoring of these populations is demanding and generally requires substantial fieldwork effort. Lately, citizen science has become an increasingly important part of wildlife monitoring, but can that endanger studied species? In this paper, we describe our experiences with recruiting and involving volunteers in annual howling surveys of grey wolf (Canis lupus) population in Slovenia and present the framework about the use of citizens for collecting data. Huge effort of participants in a 7-year-long monitoring at a national scale has yielded a total of 116 wolf vocal responses, including 53 confirmed litters. Annually, between 5 and 12 reproductive packs were detected and an increasing trend in wolf population throughout the study period was observed. Volunteer-based howling surveys proved to be a cost-effective method for detection of reproductive packs on a large spatial scale, offering an insight into wolf population trends across a longer time period and we provide some recommendations for organisation and coordination of surveys. We also discuss ethical issues raised from our experience in using citizen science for this purpose.</t>
  </si>
  <si>
    <t>[Razen, N.; Kuralt, Z.; Kos, I; Krofel, M.; Skrbinsek, A. Majic; Potocnik, H.] Univ Ljubljana, Biotech Fac, Jamnikarjeva 101, Ljubljana 1000, Slovenia; [Razen, N.; Kuralt, Z.; Flezar, U.; Krofel, M.; Lustrik, R.] Dinaricum Soc, Vecna Pot 111, Ljubljana 1000, Slovenia; [Flezar, U.; Bartol, M.; Cerne, R.] Slovenia Forest Serv, Vecna Pot 2, Ljubljana 1000, Slovenia</t>
  </si>
  <si>
    <t>University of Ljubljana; Slovenia Forest Service</t>
  </si>
  <si>
    <t>Razen, N (corresponding author), Univ Ljubljana, Biotech Fac, Jamnikarjeva 101, Ljubljana 1000, Slovenia.;Razen, N (corresponding author), Dinaricum Soc, Vecna Pot 111, Ljubljana 1000, Slovenia.</t>
  </si>
  <si>
    <t>nina.razen@gmail.com</t>
  </si>
  <si>
    <t>Kuralt, Žan/AAP-8749-2020; Krofel, Miha/I-4495-2019; Kos, Ivan/AAB-7566-2020</t>
  </si>
  <si>
    <t>Majić, Aleksana/0000-0002-3013-008X; Razen, Nina/0000-0002-4412-1918; Černe, Rok/0000-0003-4111-4066</t>
  </si>
  <si>
    <t>Ministry of the Environment and Spatial Planning [LIFE08 NAT/SLO/000244, LIFE12 NAT/IT/000807]; [P4-0059]</t>
  </si>
  <si>
    <t>Ministry of the Environment and Spatial Planning;</t>
  </si>
  <si>
    <t>This study was funded by LIFE08 NAT/SLO/000244 SloWolf, LIFE WolfAlps: LIFE12 NAT/IT/000807 and the Ministry of the Environment and Spatial Planning. M.K. was supported by the Slovenian Research Agency (grant no. P4-0059).</t>
  </si>
  <si>
    <t>ONE NEW YORK PLAZA, SUITE 4600, NEW YORK, NY, UNITED STATES</t>
  </si>
  <si>
    <t>1612-4642</t>
  </si>
  <si>
    <t>1439-0574</t>
  </si>
  <si>
    <t>EUR J WILDLIFE RES</t>
  </si>
  <si>
    <t>Eur. J. Wildl. Res.</t>
  </si>
  <si>
    <t>JUN 3</t>
  </si>
  <si>
    <t>10.1007/s10344-020-01383-0</t>
  </si>
  <si>
    <t>LU4KH</t>
  </si>
  <si>
    <t>WOS:000537725400001</t>
  </si>
  <si>
    <t>Colombelli-Négrel, D</t>
  </si>
  <si>
    <t>Colombelli-Negrel, Diane</t>
  </si>
  <si>
    <t>Estimating Little Penguin population sizes using automated acoustic monitoring and citizen science</t>
  </si>
  <si>
    <t>IBIS</t>
  </si>
  <si>
    <t>acoustic monitoring; bioacoustics; citizen science; population trends; seabirds</t>
  </si>
  <si>
    <t>BURROWING SEABIRD; EUDYPTULA-MINOR; BLUE PENGUINS; HABITAT; BEHAVIOR; ISLAND; RECORDINGS; MOONLIGHT; SUCCESS; SOUNDS</t>
  </si>
  <si>
    <t>While automated recorders are becoming a favourable tool to monitor birds, methods to analyse the large amount of data generated and their reliability for estimating population size are still limited. In this study, I compared Little Penguins Eudyptula minor call detection between a trained researcher, amateur volunteers and an automated software, assessed which environmental factors affect call variability and detectability and determined the feasibility of automated recorders to estimate population sizes. I found that (1) the number of calls detected by the trained researcher was significantly higher than those detected by the amateur volunteers and automated software, (2) neither wind speed nor moon illumination affected call variability and detectability, and (3) six automated recorders estimated between 3% (large colony) and 14-26% (small colony) of the population. This study contributes to our understanding of the efficacy of automated recorders for avian monitoring.</t>
  </si>
  <si>
    <t>[Colombelli-Negrel, Diane] Flinders Univ S Australia, Coll Sci &amp; Engn, Adelaide, SA, Australia</t>
  </si>
  <si>
    <t>Flinders University</t>
  </si>
  <si>
    <t>Colombelli-Négrel, D (corresponding author), Flinders Univ S Australia, Coll Sci &amp; Engn, Adelaide, SA, Australia.</t>
  </si>
  <si>
    <t>diane.colombelli-negrel@flinders.edu.au</t>
  </si>
  <si>
    <t>Colombelli-Négrel, Diane/AAD-3971-2021</t>
  </si>
  <si>
    <t>Colombelli-Négrel, Diane/0000-0002-9572-1120</t>
  </si>
  <si>
    <t>Nature Foundation SA; Birds SA; Australian Geographic Society; Alongside Wildlife Foundation; Flinders University; Adelaide &amp; Mount Lofty Ranges Natural Resources Management Board</t>
  </si>
  <si>
    <t>This work was funded by the Nature Foundation SA,Birds SA, the The Australian Geographic Society, the Alongside Wildlife Foundation, Flinders University, andthe Adelaide &amp; Mount Lofty Ranges Natural Resources Management Board.</t>
  </si>
  <si>
    <t>0019-1019</t>
  </si>
  <si>
    <t>1474-919X</t>
  </si>
  <si>
    <t>Ibis</t>
  </si>
  <si>
    <t>10.1111/ibi.13201</t>
  </si>
  <si>
    <t>Ornithology</t>
  </si>
  <si>
    <t>R8QA0</t>
  </si>
  <si>
    <t>WOS:000947131700001</t>
  </si>
  <si>
    <t>Loos, J; Horcea-Milcu, AI; Kirkland, P; Hartel, T; Osváth-Ferencz, M; Fischer, J</t>
  </si>
  <si>
    <t>Loos, Jacqueline; Horcea-Milcu, Andra I.; Kirkland, Paul; Hartel, Tibor; Osvath-Ferencz, Marta; Fischer, Joern</t>
  </si>
  <si>
    <t>Challenges for biodiversity monitoring using citizen science in transitioning social-ecological systems</t>
  </si>
  <si>
    <t>JOURNAL FOR NATURE CONSERVATION</t>
  </si>
  <si>
    <t>Awareness raising; Butterfly monitoring; Capacity building; Civil Society; Romania; Volunteers</t>
  </si>
  <si>
    <t>CIVIL-SOCIETY; RURAL-DEVELOPMENT; CONSERVATION; ROMANIA; VOLUNTEERS; TOOL</t>
  </si>
  <si>
    <t>Biodiversity monitoring requires sound data collection over large temporal and spatial scales in order to inform policy and conservation management. Citizen science programmes, if designed appropriately, can make valuable contributions to data collection and analyses. Moreover, citizen science has potential for both environmental education and civic participation. Recommendations on effective citizen science are available in the literature, but most existing work has come from relatively rich, industrialized countries. By contrast, there is very little knowledge on citizen science projects in transitioning economic, social and cultural settings. This paper seeks to adjust this deficit by contributing insights from our attempt to initiate a new monitoring scheme in Romania. We draw on our experience of conducting workshops, training events and camps to strengthen citizen engagement in a butterfly monitoring scheme, and discussions with many stakeholders engaged in other monitoring programmes inside and outside of Europe. We highlight four general themes that are worth considering when initiating new citizen science projects in socio-economically challenging settings: (i) engaging citizens requires a combination of formal and informal support: (ii) a culture of volunteering requires education as well as building capacity and confidence; (iii) citizen science needs active integration of both national experts and local stakeholders; and (iv) successful monitoring schemes require effective leadership. We conclude that particular attention should be paid to the cultural legacies of the target area. (C) 2015 Elsevier GmbH. All rights reserved.</t>
  </si>
  <si>
    <t>[Loos, Jacqueline; Horcea-Milcu, Andra I.; Fischer, Joern] Leuphana Univ, Fac Sustainabil, D-21335 Luneburg, Germany; [Kirkland, Paul] Butterfly Conservat Scotland, Stirling FK8 2QG, Scotland; [Hartel, Tibor] Sapientia Hungarian Univ Transylvania, Dept Environm Sci, Cluj Napoca, Romania; [Osvath-Ferencz, Marta] Univ Babes Bolyai, Fac Biol &amp; Geol, R-3400 Cluj Napoca, Romania</t>
  </si>
  <si>
    <t>Leuphana University Luneburg; Sapientia Hungarian University of Transylvania; Babes Bolyai University from Cluj</t>
  </si>
  <si>
    <t>Loos, J (corresponding author), Leuphana Univ, Fac Sustainabil, Scharnhorststr 1, D-21335 Luneburg, Germany.</t>
  </si>
  <si>
    <t>loos@leuphana.de</t>
  </si>
  <si>
    <t>Fischer, Joern/C-6625-2012; Loos, Jacqueline/R-7544-2016; Tibor, Hartel/B-3440-2012; Horcea-Milcu, Ana-Ioana/AAF-8772-2019</t>
  </si>
  <si>
    <t>Fischer, Joern/0000-0003-3187-8978; Loos, Jacqueline/0000-0002-7639-2894; Horcea-Milcu, Ana-Ioana/0000-0003-1757-6615</t>
  </si>
  <si>
    <t>Butterfly Conservation Europe; European Interest Group; German Society for The Protection of Butterflies; Sofja-Kovalevskaja Award</t>
  </si>
  <si>
    <t>We are grateful for discussions with J. Settele, M. Warren, C. van Swaay, M.S. Botham, L. Rakosy, M. Wiemers, E. Kahn, L. Petterson, B. Marko, M. Muguira, G. Peier, and to all the volunteers engaged with butterfly monitoring in Romania, especially K. Martini, A. Kastal and M. Stanescu. We thank Michael J.O. Pocock and two anonymous reviewers for helpful comments on an earlier version of this manuscript. We thank Butterfly Conservation Europe, the European Interest Group and the German Society for The Protection of Butterflies for part-funding our activities. J.L., A.I.M. and J.F. were funded through a Sofja-Kovalevskaja Award to J.F.</t>
  </si>
  <si>
    <t>1617-1381</t>
  </si>
  <si>
    <t>1618-1093</t>
  </si>
  <si>
    <t>J NAT CONSERV</t>
  </si>
  <si>
    <t>J. Nat. Conserv.</t>
  </si>
  <si>
    <t>10.1016/j.jnc.2015.05.001</t>
  </si>
  <si>
    <t>CN0JP</t>
  </si>
  <si>
    <t>WOS:000358100200006</t>
  </si>
  <si>
    <t>Prenda, J; Domínguez-Olmedo, JL; López-Lozano, E; de Villarán, RF; Negro, JJ</t>
  </si>
  <si>
    <t>Prenda, J.; Dominguez-Olmedo, J. L.; Lopez-Lozano, E.; de Villaran, R. Fernandez; Negro, J. J.</t>
  </si>
  <si>
    <t>Assessing citizen science data quality for bird monitoring in the Iberian Peninsula</t>
  </si>
  <si>
    <t>Avifauna; Digital repositories; Data completeness; Conservation; Biodiversity management; Iberian Peninsula</t>
  </si>
  <si>
    <t>BIODIVERSITY DATA; GAPS; CHALLENGES; BIASES</t>
  </si>
  <si>
    <t>Citizen science data on biodiversity has experienced significant growth, largely driven by advancements in technology that facilitate data sharing. In recent years, mobile applications have provided a substantial boost to both the collection and sharing of this data. While this accessible information is undoubtedly valuable, we must consider the numerous biases present in this data when used for high-quality research. In this study, we analyse citizen science data for the birds of the Iberian Peninsula, comprising over 23 million unique records after filtering for duplicates (i.e., instances where the same observation was uploaded more than once). Using a 10 x 10 km square grid, we present information on well-surveyed cells (completeness) as well as temporal, taxonomic, geographical, and land use coverages. We found that the completeness of information is generally high, with better coverage around densely populated areas such as major cities and coastal regions, as well as popular birding destinations, which are frequently visited. The Mediterranean ecoregion and wetlands exhibit the highest levels of surveying. Furthermore, we observed an increase in temporal coverage since the 1980s and broad taxonomic coverage across all bird orders in the Iberian region. Our results underscore the utility of citizen science for many locations, as expressed in 10 x 10 km cells. However, they also highlight the inadequate data completeness across part of the territory, particularly in forested or sparsely inhabited areas. These findings not only identify cells suitable for bird diversity or conservation studies but also indicate areas where citizen-driven bird recording efforts should be encouraged.</t>
  </si>
  <si>
    <t>[Prenda, J.; Lopez-Lozano, E.] Univ Huelva, Dept Ciencias Integradas, Huelva, Spain; [Dominguez-Olmedo, J. L.] Univ Huelva, Dept Tecnol Informac, Huelva, Spain; [de Villaran, R. Fernandez] Univ Huelva, Dept Ciencias Agroforestales, Huelva, Spain; [Negro, J. J.] Estn Biol Donana CSIC, Seville, Spain</t>
  </si>
  <si>
    <t>Universidad de Huelva; Universidad de Huelva; Universidad de Huelva; Consejo Superior de Investigaciones Cientificas (CSIC); CSIC - Estacion Biologica de Donana (EBD)</t>
  </si>
  <si>
    <t>Prenda, J (corresponding author), Univ Huelva, Dept Ciencias Integradas, Huelva, Spain.</t>
  </si>
  <si>
    <t>jprenda@uhu.es</t>
  </si>
  <si>
    <t>Fernández de Villarán San Juan, Rubén/AAA-8627-2020; Domínguez-Olmedo, Juan L/AAA-8184-2020; Negro, Juan/I-2653-2015</t>
  </si>
  <si>
    <t>Fernández de Villarán San Juan, Rubén/0000-0002-9353-3839; Domínguez-Olmedo, Juan L/0000-0001-5083-2313;</t>
  </si>
  <si>
    <t>Agricultura y conservacion de la avifauna esteparia en Andalucia. Evaluacion de la biodiversidad a partir de conocimiento accesible digital (DAK) y estudios in situ [P20_00354]; Procesos de extincion en paisajes agrarios mediterraneos: evaluacion de biodiversidad al inicio de una nueva Politica Agraria Comun mediante conocimiento accesible digital (DAK) y estudios in situ [UHU-202076]; Influencia sobre la avifauna del uso y ocupacion del territorio en el medio agrario andaluz por plantas fotovoltaicas y olivar intensivo y superintensivo [BIOD22_00033_15_PPCB]</t>
  </si>
  <si>
    <t>Agricultura y conservacion de la avifauna esteparia en Andalucia. Evaluacion de la biodiversidad a partir de conocimiento accesible digital (DAK) y estudios in situ; Procesos de extincion en paisajes agrarios mediterraneos: evaluacion de biodiversidad al inicio de una nueva Politica Agraria Comun mediante conocimiento accesible digital (DAK) y estudios in situ; Influencia sobre la avifauna del uso y ocupacion del territorio en el medio agrario andaluz por plantas fotovoltaicas y olivar intensivo y superintensivo</t>
  </si>
  <si>
    <t>This work was financially supported by the following three projects: (1) Agricultura y conservacion de la avifauna esteparia en Andalucia. Evaluacion de la biodiversidad a partir de conocimiento accesible digital (DAK) y estudios in situ (Andalusian Research Plan 2014-2020. Ref. P20_00354) (Operative FEDER Program); (2) Procesos de extincion en paisajes agrarios mediterraneos: evaluacion de biodiversidad al inicio de una nueva Politica Agraria Comun mediante conocimiento accesible digital (DAK) y estudios in situ (Ref. UHU-202076) (Operative FEDER Program) and (3) Influencia sobre la avifauna del uso y ocupacion del territorio en el medio agrario andaluz por plantas fotovoltaicas y olivar intensivo y superintensivo (BIOD22_00033_15_PPCB. Plan Complementario de I+D+i de Biodiversidad). Gross data for this study were provided by GBIF, eBird, and Observation.org. We extend special gratitude to Julio Rabadan from Observation.org for his invaluable support.</t>
  </si>
  <si>
    <t>SEP 2</t>
  </si>
  <si>
    <t>10.1038/s41598-024-70827-3</t>
  </si>
  <si>
    <t>E4H3W</t>
  </si>
  <si>
    <t>WOS:001302626200007</t>
  </si>
  <si>
    <t>Barnes, AE; Pocock, MJO; Harris, MM; Newton, N; Robinson, RA</t>
  </si>
  <si>
    <t>Barnes, Ailidh E.; Pocock, Michael J. O.; Harris, Maddie M.; Newton, Niki; Robinson, Robert A.</t>
  </si>
  <si>
    <t>Not just species recording: the potential of citizen science for habitat monitoring</t>
  </si>
  <si>
    <t>LANDSCAPE ECOLOGY</t>
  </si>
  <si>
    <t>Habitat; Citizen Science; Biodiversity recording; Earth Observation</t>
  </si>
  <si>
    <t>LAND-USE CHANGE; BIODIVERSITY; OPPORTUNITIES; BRITAIN; MOTIVATIONS; INDICATORS; MANAGEMENT; PROGRAM; SYSTEM; PLEA</t>
  </si>
  <si>
    <t>ContextReversing the global biodiversity crisis requires not only conservation and management of species, but the habitats in which they live. While there is a long history of biodiversity recording by volunteers, at least in Europe, information on habitats is less frequently recorded. Habitat data is needed to map and monitor habitat extent and condition; to train and validate earth observation (EO) data; and to explain biodiversity change. The complexity of habitat classifications means that it is challenging to record habitat well, but citizen science provides diverse opportunities to improve the range and scale of habitat recording.Objectives/MethodsWe reviewed how citizen science can complement surveys by professionals and EO for habitat recording, and discuss its opportunities and challenges. We summarised a survey of 458 volunteer biodiversity recorders asked about their interest in and barriers to recording habitat. From this we developed a framework of questions to design citizen science that is appropriate and effective for habitat recording.Results/ConclusionsWe found that existing biodiversity recorders were willing to consider habitat recording, but many lacked confidence and some lacked motivation. Our framework of six questions addresses the interplay between volunteer motivation and confidence, and data accuracy. It highlighted design considerations such as clarity of purpose, cost to volunteers, protocol complexity and scale of sampling. This impacts the training and support required by volunteers. Building this understanding into citizen science design enables us to develop activities that meet the needs for habitat data for monitoring, EO validation and research.</t>
  </si>
  <si>
    <t>[Barnes, Ailidh E.; Robinson, Robert A.] British Trust Ornithol, Thetford IP24 2PU, Norfolk, England; [Pocock, Michael J. O.] UK Ctr Ecol &amp; Hydrol, Wallingford OX10 8BB, Oxon, England; [Harris, Maddie M.; Newton, Niki] Joint Nat Conservat Comm, Quay House,2 East Stn Rd, Peterborough PE2 8YY, England</t>
  </si>
  <si>
    <t>British Trust for Ornithology; UK Centre for Ecology &amp; Hydrology (UKCEH)</t>
  </si>
  <si>
    <t>Barnes, AE (corresponding author), British Trust Ornithol, Thetford IP24 2PU, Norfolk, England.</t>
  </si>
  <si>
    <t>ailidh.barnes@bto.org</t>
  </si>
  <si>
    <t>; Robinson, Robert/B-8237-2009; Pocock, Michael/A-5632-2012</t>
  </si>
  <si>
    <t>Barnes, Ailidh/0000-0002-0510-3100; Harris, Maddie/0009-0003-9252-6463; Pocock, Michael/0000-0003-4375-0445</t>
  </si>
  <si>
    <t>Joint Nature Conservation Committee; Amphibian and Reptile Conservation Trust; Bat Conservation Trust; British Trust for Ornithology (BTO), Butterfly Conservation; UK Centre for Ecology and Hydrology</t>
  </si>
  <si>
    <t>The survey was designed with the assistance of a steering group consisting of representatives from a range of partner organisations (the Amphibian and Reptile Conservation Trust, the Bat Conservation Trust, the British Trust for Ornithology (BTO), Butterfly Conservation, NatureScot, Plantlife and UK Centre for Ecology and Hydrology (UKCEH)). We thank and acknowledge the time and information provided by biodiversity recording scheme organisers for this paper and Gwawr Jones (Joint Nature Conservation Committee; JNCC) for help with a previous version of the paper.</t>
  </si>
  <si>
    <t>0921-2973</t>
  </si>
  <si>
    <t>1572-9761</t>
  </si>
  <si>
    <t>LANDSCAPE ECOL</t>
  </si>
  <si>
    <t>Landsc. Ecol.</t>
  </si>
  <si>
    <t>AUG 26</t>
  </si>
  <si>
    <t>10.1007/s10980-025-02155-4</t>
  </si>
  <si>
    <t>Ecology; Geography, Physical; Geosciences, Multidisciplinary</t>
  </si>
  <si>
    <t>6MS2Q</t>
  </si>
  <si>
    <t>WOS:001557031700001</t>
  </si>
  <si>
    <t>Thornhill, I; Chautard, A; Loiselle, S</t>
  </si>
  <si>
    <t>Thornhill, Ian; Chautard, Alice; Loiselle, Steven</t>
  </si>
  <si>
    <t>Monitoring Biological and Chemical Trends in Temperate Still Waters Using Citizen Science</t>
  </si>
  <si>
    <t>still waters; citizen observatories; water quality; urbanization; nutrient dynamics; algal blooms</t>
  </si>
  <si>
    <t>COMPARATIVE BIODIVERSITY; SPECIES RICHNESS; PONDS; LAKES; CONSERVATION; PHOSPHORUS; ECOLOGY; STATE; LANDSCAPE; NUTRIENTS</t>
  </si>
  <si>
    <t>The involvement of volunteers in the monitoring of the environment holds great potential to gather information on a wider temporal and spatial scale than is currently possible. However, the mass involvement of citizens in monitoring freshwater health is a relatively new field and subject to uncertainty. Here, we examine 1192 samples collected across 46 temperate ponds (&lt;2 ha) and 29 temperate lakes (&gt;2 ha) by 120 volunteers trained through the Fresh Water Watch citizen science programme to consider if the approach is able to (a) identify well established patterns in water quality and biological indicators (i.e., fish), and (b) provide a potentially useful basis for the identification of pollution sources in urban or peri-urban landscapes. Seasonal patterns observed agreed well with established principles of nutrient dynamics, algal bloom seasonality, and broad biological trends between ponds and lakes. Further, observational data collected by the volunteers suggested plausible links between the presence of residential discharge and water level fluctuation and significant increases in algal bloom observations between peri-urban and urban sites. We suggest that citizen science can have a role to play in complementing regulatory monitoring efforts and that local citizens should be empowered to become stewards of their local freshwater resources.</t>
  </si>
  <si>
    <t>[Thornhill, Ian; Loiselle, Steven] Earthwatch Inst Europe, Mayfield House,256 Banbury Rd, Oxford OX2 7DE, England; [Thornhill, Ian] Bath Spa Univ, Coll Liberal Arts CoLA, Bath BA2 9BN, Avon, England; [Chautard, Alice] Univ Oxford, Sch Geog &amp; Environm, South Parks Rd, Oxford OX1 3QY, England; [Loiselle, Steven] Univ Siena, Dept Biotechnol Chem &amp; Pharm, Via Aldo Moro 2, I-53100 Siena, Italy</t>
  </si>
  <si>
    <t>Bath Spa University; University of Oxford; University of Siena</t>
  </si>
  <si>
    <t>Thornhill, I (corresponding author), Earthwatch Inst Europe, Mayfield House,256 Banbury Rd, Oxford OX2 7DE, England.;Thornhill, I (corresponding author), Bath Spa Univ, Coll Liberal Arts CoLA, Bath BA2 9BN, Avon, England.</t>
  </si>
  <si>
    <t>ian.thornhill@live.co.uk; alice.chautard@gmail.com; sloiselle@earthwatch.org.uk</t>
  </si>
  <si>
    <t>; Loiselle, Steven/ABA-3324-2020</t>
  </si>
  <si>
    <t>Thornhill, Ian/0000-0003-3818-1380; Loiselle, Steven/0000-0001-7414-0389</t>
  </si>
  <si>
    <t>10.3390/w10070839</t>
  </si>
  <si>
    <t>GR4LJ</t>
  </si>
  <si>
    <t>WOS:000442579700022</t>
  </si>
  <si>
    <t>Parkinson, JE; Yang, SY; Kawamura, I; Byron, G; Todd, PA; Reimer, JD</t>
  </si>
  <si>
    <t>Parkinson, John Everett; Yang, Sung-Yin; Kawamura, Iori; Byron, Gordon; Todd, Peter Alan; Reimer, James Davis</t>
  </si>
  <si>
    <t>A citizen science approach to monitoring bleaching in the zoantharian Palythoa tuberculosa</t>
  </si>
  <si>
    <t>Bleaching; Citizen science; Chlorophyll; Color; Coral; Zoantharian; Zooxanthellae</t>
  </si>
  <si>
    <t>CORAL; CNIDARIA; COLOR; MORTALITY; QUALITY</t>
  </si>
  <si>
    <t>Coral reef bleaching events are expected to become more frequent and severe in the near future as climate changes. The zoantharian Palythoa tuberculosa bleaches earlier than many scleractinian corals and may serve as an indicator species. Basic monitoring of such species could help to detect and even anticipate bleaching events, especially in areas where more sophisticated approaches that rely on buoy or satellite measurements of sea surface temperature are unavailable or too coarse. One simple and inexpensive monitoring method involves training volunteers to record observations of host color as a proxy for symbiosis quality. Here, we trained university students to take the 'color fingerprint' of a reef by assessing the color of multiple randomly selected colonies of P. tuberculosa at one time point in Okinawa Island, Japan. We tested the reliability of the students' color scores and whether they matched expectations based on previous monthly monitoring of tagged colonies at the same locations. We also measured three traditional metrics of symbiosis quality for comparison: symbiont morphological condition, cell density, and chlorophyll a content. We found that P. tuberculosa color score, although highly correlated among observers, provided little predictive power for the other variables. This was likely due to inherent variation in colony color among generally healthy zoantharians in midwinter, as well as low sample size and brief training owing to the course structure. Despite certain limitations of P. tuberculosa as a focal organism, the citizen science approach to color monitoring has promise, and we outline steps that could improve similar efforts in the future.</t>
  </si>
  <si>
    <t>[Parkinson, John Everett; Yang, Sung-Yin; Kawamura, Iori; Byron, Gordon; Reimer, James Davis] Univ Ryukyus, Fac Sci, Dept Chem Biol &amp; Marine Sci, Mol Invertebrate Systemat &amp; Ecol Lab, Nishihara, Okinawa 90301, Japan; [Yang, Sung-Yin] Grad Univ, Okinawa Inst Sci &amp; Technol, Microbiol &amp; Biochem Secondary Metabolites Unit, Onna, Okinawa, Japan; [Byron, Gordon] King Abdullah Univ Sci &amp; Technol KAUST, Div Biol &amp; Environm Sci &amp; Engn, Red Sea Res Ctr, Thuwal, Saudi Arabia; [Todd, Peter Alan] Natl Univ Singapore, Expt Marine Ecol Lab, Singapore 117548, Singapore; [Reimer, James Davis] Univ Ryukyus, Trop Biosphere Res Ctr, Nishihara, Okinawa 90301, Japan</t>
  </si>
  <si>
    <t>University of the Ryukyus; Okinawa Institute of Science &amp; Technology Graduate University; King Abdullah University of Science &amp; Technology; National University of Singapore; University of the Ryukyus</t>
  </si>
  <si>
    <t>Parkinson, JE (corresponding author), Univ Ryukyus, Fac Sci, Dept Chem Biol &amp; Marine Sci, Mol Invertebrate Systemat &amp; Ecol Lab, Nishihara, Okinawa 90301, Japan.</t>
  </si>
  <si>
    <t>jparkinson@psu.edu</t>
  </si>
  <si>
    <t>Parkinson, John/P-4831-2019; Todd, Peter/H-8410-2012; Reimer, James/AAP-1331-2020</t>
  </si>
  <si>
    <t>Parkinson, John/0000-0001-8386-3044; Byron, Gordon/0000-0002-8221-551X; Yang, Sung-Yin/0000-0001-7431-406X;</t>
  </si>
  <si>
    <t>Japan Society for the Promotion of Science; International Research Hub Project for Climate Change and Coral Reef/Island Dynamics at the University of the Ryukyus</t>
  </si>
  <si>
    <t>Japan Society for the Promotion of Science(Ministry of Education, Culture, Sports, Science and Technology, Japan (MEXT)Japan Society for the Promotion of Science); International Research Hub Project for Climate Change and Coral Reef/Island Dynamics at the University of the Ryukyus</t>
  </si>
  <si>
    <t>This work was supported by the Japan Society for the Promotion of Science and the International Research Hub Project for Climate Change and Coral Reef/Island Dynamics at the University of the Ryukyus. The funders had no role in study design, data collection and analysis, decision to publish, or preparation of the manuscript.</t>
  </si>
  <si>
    <t>MAR 28</t>
  </si>
  <si>
    <t>e1815</t>
  </si>
  <si>
    <t>10.7717/peerj.1815</t>
  </si>
  <si>
    <t>DJ4EW</t>
  </si>
  <si>
    <t>WOS:000374159200003</t>
  </si>
  <si>
    <t>de Weger, LA; Hiemstra, PS; Op den Buysch, E; van Vliet, AJH</t>
  </si>
  <si>
    <t>de Weger, L. A.; Hiemstra, P. S.; Op den Buysch, E.; van Vliet, A. J. H.</t>
  </si>
  <si>
    <t>Spatiotemporal monitoring of allergic rhinitis symptoms in the Netherlands using citizen science</t>
  </si>
  <si>
    <t>ALLERGY</t>
  </si>
  <si>
    <t>allergic rhinitis; citizen science; hay fever symptoms; pollen</t>
  </si>
  <si>
    <t>POLLEN; EUROPE; DISEASES; IMPACT</t>
  </si>
  <si>
    <t>Background: Airborne pollen is a major symptom trigger in allergic rhinitis patients, but the impact of pollen differs among patients and regions and is influenced by environmental factors. To study these complex relationships, there is a need for data on the severity of symptoms in space and time. 'Citizen science' is increasingly recognized as an effective tool to monitor changes in our environment. The aim of this study was to investigate the feasibility of a citizen science-based survey to monitor spatiotemporal variation in allergic rhinitis symptoms. Methods: Participants were recruited through the Web site Allergieradar.nl. After registering by completing an extensive questionnaire, they entered (preferably daily) their symptoms of eyes, nose, and lungs on a scale from 1 to 10, as well as their geographic location. Results: The registration questionnaire revealed that the majority of the participants (77%) had physician-diagnosed hay fever and 65% of the participants had been tested positively for their allergy. This study shows that the symptom scores of the participants are related to (i) pollen concentrations in the air, (ii) the self-reported sensitivity profile, and (iii) the sales of prescription antihistamines in the Netherlands. Conclusion: Our data indicate that the collection of allergic rhinitis symptom data by 'citizen science' is feasible and has an added value in studies on the impact of pollen.</t>
  </si>
  <si>
    <t>[de Weger, L. A.; Hiemstra, P. S.] Leiden Univ Med Ctr, Dept Pulmonol, NL-2300 RC Leiden, Netherlands; [Op den Buysch, E.] Iriptic Bv, Eindhoven, Netherlands; [van Vliet, A. J. H.] Wageningen Univ, Environm Syst Anal Grp, NL-6700 AP Wageningen, Netherlands</t>
  </si>
  <si>
    <t>Leiden University; Leiden University Medical Center (LUMC); Wageningen University &amp; Research</t>
  </si>
  <si>
    <t>de Weger, LA (corresponding author), Leiden Univ Med Ctr, Dept Pulmonol, POB 9600, NL-2300 RC Leiden, Netherlands.</t>
  </si>
  <si>
    <t>l.a.de_weger@lumc.nl</t>
  </si>
  <si>
    <t>; de Weger, Letty/GLN-7644-2022; Hietra, Pieter/K-8587-2018</t>
  </si>
  <si>
    <t>van Vliet, Arnold/0000-0001-9426-3511; de Weger, Letty/0000-0002-9067-7407; Hietra, Pieter/0000-0002-0238-5982</t>
  </si>
  <si>
    <t>MSD</t>
  </si>
  <si>
    <t>This study was supported (in part) by a grant from MSD. We thank all participants of Allergieradar for submitting their symptom scores. We thank Christian Taube for helpful discussions and the team of triptic for their support.</t>
  </si>
  <si>
    <t>0105-4538</t>
  </si>
  <si>
    <t>1398-9995</t>
  </si>
  <si>
    <t>Allergy</t>
  </si>
  <si>
    <t>10.1111/all.12433</t>
  </si>
  <si>
    <t>Allergy; Immunology</t>
  </si>
  <si>
    <t>AL9CC</t>
  </si>
  <si>
    <t>WOS:000339436200011</t>
  </si>
  <si>
    <t>Jalbert, K; Kinchy, AJ</t>
  </si>
  <si>
    <t>Jalbert, Kirk; Kinchy, Abby J.</t>
  </si>
  <si>
    <t>Sense and Influence: Environmental Monitoring Tools and the Power of Citizen Science</t>
  </si>
  <si>
    <t>JOURNAL OF ENVIRONMENTAL POLICY &amp; PLANNING</t>
  </si>
  <si>
    <t>Citizen science; sensing technologies; environmental monitoring; energy extraction; public empowerment</t>
  </si>
  <si>
    <t>PARTICIPATION; FUTURE; HEALTH; WATER</t>
  </si>
  <si>
    <t>Automated monitoring devices are useful technologies for communities seeking to document and solve environmental problems. However, without deeper scrutiny of their design and deployment, there is a risk that they will fail to have the impact that many of their promoters intend. We develop a rubric for analysing how different kinds of monitoring devices help environmental advocates influence public debates. We apply this rubric in a study of environmental organizations in Pennsylvania that are choosing between recruiting volunteer citizen scientists and using automated sensor-based devices to gather water quality data in streams threatened by hydraulic fracturing for natural gas. Many organizations rely on volunteers using simple monitoring tools because they are affordable and produce easily managed data sets. An argument for this method of monitoring is that volunteering in the field also fosters citizen engagement in environmental debates. By comparison, we find the increased use of automated devices tends to reinforce hierarchies of expertise and constrains the agendas of nonprofessionals who participate in monitoring projects. We argue that these findings suggest that automated technologies, however effective they may be in gathering data on environmental quality, are not well designed to support broad public participation in environmental science and politics.</t>
  </si>
  <si>
    <t>[Jalbert, Kirk] FracTracker Alliance, Pittsburgh, PA 15224 USA; [Kinchy, Abby J.] Rensselaer Polytech Inst, Sci &amp; Technol Studies Dept, Troy, NY USA</t>
  </si>
  <si>
    <t>Rensselaer Polytechnic Institute</t>
  </si>
  <si>
    <t>Jalbert, K (corresponding author), FracTracker Alliance, Community Based Res &amp; Engagement, 4600 Penn Ave, Pittsburgh, PA 15224 USA.</t>
  </si>
  <si>
    <t>jalbert@fractracker.org</t>
  </si>
  <si>
    <t>Kinchy, Abby/0000-0001-5296-482X</t>
  </si>
  <si>
    <t>National Science Foundation [1331080, 1126235]; Divn Of Social and Economic Sciences; Direct For Social, Behav &amp; Economic Scie [1126235, 1331080] Funding Source: National Science Foundation</t>
  </si>
  <si>
    <t>National Science Foundation(National Science Foundation (NSF)); Divn Of Social and Economic Sciences; Direct For Social, Behav &amp; Economic Scie(National Science Foundation (NSF)NSF - Directorate for Social, Behavioral &amp; Economic Sciences (SBE))</t>
  </si>
  <si>
    <t>This research was supported in part by the National Science Foundation [award numbers 1331080 and 1126235]. Any opinions, findings, and conclusions or recommendations expressed in this material are those of the author and do not necessarily reflect the views of the National Science Foundation.</t>
  </si>
  <si>
    <t>1523-908X</t>
  </si>
  <si>
    <t>1522-7200</t>
  </si>
  <si>
    <t>J ENVIRON POL PLAN</t>
  </si>
  <si>
    <t>J. Environ. Pol. Plan.</t>
  </si>
  <si>
    <t>10.1080/1523908X.2015.1100985</t>
  </si>
  <si>
    <t>Development Studies; Regional &amp; Urban Planning</t>
  </si>
  <si>
    <t>Development Studies; Public Administration</t>
  </si>
  <si>
    <t>DN7RP</t>
  </si>
  <si>
    <t>WOS:000377275300008</t>
  </si>
  <si>
    <t>Johnston, A; Matechou, E; Dennis, EB</t>
  </si>
  <si>
    <t>Johnston, Alison; Matechou, Eleni; Dennis, Emily B.</t>
  </si>
  <si>
    <t>Outstanding challenges and future directions for biodiversity monitoring using citizen science data</t>
  </si>
  <si>
    <t>METHODS IN ECOLOGY AND EVOLUTION</t>
  </si>
  <si>
    <t>citizen science; community science; detectability; multi-species models; observation process; occupancy models; presence-only; statistical ecology</t>
  </si>
  <si>
    <t>N-MIXTURE MODELS; SPECIES OCCURRENCE DATA; PRESENCE-ONLY DATA; BIG DATA; OCCUPANCY MODELS; ECOLOGICAL RESEARCH; DATA INTEGRATION; SPATIAL BIAS; DATA QUALITY; ABUNDANCE</t>
  </si>
  <si>
    <t>There is increasing availability and use of unstructured and semi-structured citizen science data in biodiversity research and conservation. This expansion of a rich source of 'big data' has sparked numerous research directions, driving the development of analytical approaches that account for the complex observation processes in these datasets. We review outstanding challenges in the analysis of citizen science data for biodiversity monitoring. For many of these challenges, the potential impact on ecological inference is unknown. Further research can document the impact and explore ways to address it. In addition to outlining research directions, describing these challenges may be useful in considering the design of future citizen science projects or additions to existing projects. We outline challenges for biodiversity monitoring using citizen science data in four partially overlapping categories: challenges that arise as a result of (a) observer behaviour; (b) data structures; (c) statistical models; and (d) communication. Potential solutions for these challenges are combinations of: (a) collecting additional data or metadata; (b) analytically combining different datasets; and (c) developing or refining statistical models. While there has been important progress to develop methods that tackle most of these challenges, there remain substantial gains in biodiversity monitoring and subsequent conservation actions that we believe will be possible by further research and development in these areas. The degree of challenge and opportunity that each of these presents varies substantially across different datasets, taxa and ecological questions. In some cases, a route forward to address these challenges is clear, while in other cases there is more scope for exploration and creativity.</t>
  </si>
  <si>
    <t>[Johnston, Alison] Univ St Andrews, Dept Maths &amp; Stat, Ctr Res Ecol &amp; Environm Modelling, St Andrews, Fife, Scotland; [Johnston, Alison] Cornell Lab Ornithol, Ithaca, NY 14850 USA; [Matechou, Eleni; Dennis, Emily B.] Univ Kent, Sch Math Stat &amp; Actuarial Sci, Canterbury, Kent, England; [Dennis, Emily B.] Butterfly Conservat, Wareham, Dorset, England</t>
  </si>
  <si>
    <t>University of St Andrews; Cornell University; University of Kent</t>
  </si>
  <si>
    <t>Johnston, A (corresponding author), Univ St Andrews, Dept Maths &amp; Stat, Ctr Res Ecol &amp; Environm Modelling, St Andrews, Fife, Scotland.;Johnston, A (corresponding author), Cornell Lab Ornithol, Ithaca, NY 14850 USA.</t>
  </si>
  <si>
    <t>alison.johnston@st-andrews.ac.uk</t>
  </si>
  <si>
    <t>Johnston, Alison/N-4820-2016</t>
  </si>
  <si>
    <t>Johnston, Alison/0000-0001-8221-013X; Dennis, Emily/0000-0003-2692-4415; Matechou, Eleni/0000-0003-3626-844X</t>
  </si>
  <si>
    <t>National Science Foundation [ICER-1927646]</t>
  </si>
  <si>
    <t>National Science Foundation(National Science Foundation (NSF))</t>
  </si>
  <si>
    <t>National Science Foundation, Grant/Award Number: ICER-1927646</t>
  </si>
  <si>
    <t>2041-210X</t>
  </si>
  <si>
    <t>2041-2096</t>
  </si>
  <si>
    <t>METHODS ECOL EVOL</t>
  </si>
  <si>
    <t>Methods Ecol. Evol.</t>
  </si>
  <si>
    <t>10.1111/2041-210X.13834</t>
  </si>
  <si>
    <t>MAR 2022</t>
  </si>
  <si>
    <t>8D0ZF</t>
  </si>
  <si>
    <t>WOS:000770290900001</t>
  </si>
  <si>
    <t>Gupta, N; Slawson, DD; Moffat, AJ</t>
  </si>
  <si>
    <t>Gupta, Nidhi; Slawson, David D.; Moffat, Andy J.</t>
  </si>
  <si>
    <t>Using citizen science for early detection of tree pests and diseases: perceptions of professional and public participants</t>
  </si>
  <si>
    <t>BIOLOGICAL INVASIONS</t>
  </si>
  <si>
    <t>Citizen science; Tree health; Invasive pests and pathogens; Policy; Perceptions; Motivations; Recognition; Reward</t>
  </si>
  <si>
    <t>CONSERVATION; MOTIVATIONS; SCIENTISTS; VOLUNTEERS; HISTORY; RISK</t>
  </si>
  <si>
    <t>Early detection of new tree pests and diseases is a vital element of national strategies to prevent their establishment and spread into a country or region, based on the rationale that it increases the chances of successful eradication. Given the limited capacity and financial resources of most national plant protection authorities, the use of public participants has recently been explored in a range of citizen science projects for its ability to supplement official surveillance. However, little is known about the motivations, expectations and experiences of members of the public involved in such activities and even less about the views of professionals and officials. In this study, evidence was obtained from structured interviews with professionals and volunteers engaged in five projects related to tree health surveillance. Some differences were noted between the two groups with a greater focus on personal aspects by members of the public and on strategic and institutional aspects by professionals. A striking feature was the agreement of the two groups that the projects had met or exceeded their expectations, and provided the proof of concept that tree health surveillance capacity can be increased by engaging and training citizens. Many participants shared concerns about the importance of securing both project longevity and volunteer participation over the long term. The paper discusses ways in which the motivations of tree health surveillance participants can be sustained over long periods with particular attention to recognition and reward.</t>
  </si>
  <si>
    <t>[Gupta, Nidhi; Slawson, David D.] Imperial Coll London, London SW7 1NE, England; [Moffat, Andy J.] Forest Res, Farnham GU10 4LH, Surrey, England</t>
  </si>
  <si>
    <t>Imperial College London</t>
  </si>
  <si>
    <t>Slawson, DD (corresponding author), Imperial Coll London, London SW7 1NE, England.</t>
  </si>
  <si>
    <t>david.slawson@imperial.ac.uk</t>
  </si>
  <si>
    <t>Slawson, David/0000-0002-8553-6650</t>
  </si>
  <si>
    <t>Department for Environment Food &amp; Rural Affairs (Defra) [P56834, TH0147]</t>
  </si>
  <si>
    <t>Department for Environment Food &amp; Rural Affairs (Defra)(Department for Environment, Food &amp; Rural Affairs (DEFRA))</t>
  </si>
  <si>
    <t>This paper is based on the knowledge and evidence generated under the research fellowship (Project No. P56834 / Defra Contract No. TH0147) funded by Department for Environment Food &amp; Rural Affairs (Defra), 2015-2018. We would like to acknowledge the assistance and support of the project leads/coordinators: Jake Morris (Defra); Peter Crow (Observatree); Hayley New (NPMS); John Parker (CSP); Kylie Harrison (ATI) who agreed to participate in the case study research reported in this paper. We would also like to thank Helen Jones from the Woodland Trust in recruiting interviewees and Susanne Raum for conducting additional interviews for the Observatree case study. Our deepest gratitude goes to all those professionals and volunteers who participated in the interviews. Without them this study would not have been possible. Finally, we thank the reviewers of the manuscript for their insightful and constructive advice.</t>
  </si>
  <si>
    <t>1387-3547</t>
  </si>
  <si>
    <t>1573-1464</t>
  </si>
  <si>
    <t>BIOL INVASIONS</t>
  </si>
  <si>
    <t>Biol. Invasions</t>
  </si>
  <si>
    <t>10.1007/s10530-021-02631-3</t>
  </si>
  <si>
    <t>SEP 2021</t>
  </si>
  <si>
    <t>YD3MC</t>
  </si>
  <si>
    <t>WOS:000698313400001</t>
  </si>
  <si>
    <t>Freiwald, J; Meyer, R; Caselle, JE; Blanchette, CA; Hovel, K; Neilson, D; Dugan, J; Altstatt, J; Nielsen, K; Bursek, J</t>
  </si>
  <si>
    <t>Freiwald, Jan; Meyer, Ryan; Caselle, Jennifer E.; Blanchette, Carol A.; Hovel, Kevin; Neilson, Doug; Dugan, Jenifer; Altstatt, Jessica; Nielsen, Karina; Bursek, Julie</t>
  </si>
  <si>
    <t>Citizen science monitoring of marine protected areas: Case studies and recommendations for integration into monitoring programs</t>
  </si>
  <si>
    <t>MARINE ECOLOGY-AN EVOLUTIONARY PERSPECTIVE</t>
  </si>
  <si>
    <t>citizen sciences; ecosystem-based management; fish; invertebrates; marine; marine protected area</t>
  </si>
  <si>
    <t>CALIFORNIA; VOLUNTEER; INFORMATION; VALIDATION; NETWORKS; RESERVES; TOOL; USA</t>
  </si>
  <si>
    <t>Ecosystem-based management and conservation approaches such as marine protected areas (MPAs) require large amounts of ecological data to be implemented and adaptively managed. Recently, many citizen science programs have endeavored to help provide these much-needed data. Implementation of MPAs under the Marine Life Protection Act (MLPA) Initiative in Southern California was followed by a monitoring program to establish a comprehensive baseline of the ecological conditions of several marine ecosystems at the time of MPA implementation. This baseline monitoring consortium involved several citizen science monitoring programs alongside more traditional academic monitoring programs, creating an opportunity to evaluate the potential for citizen scientists to become more involved in future long-term monitoring efforts. We investigated different citizen science models, their program goals, and contributions to MPA baseline monitoring, including their respective monitoring protocols and data quality assurance measures, in the context of the goals of the MLPA baseline monitoring program. We focused on three very different case studies: (i) commercial fishermen and other volunteers collaborating with researchers to study the California spiny lobster, (ii) volunteer divers monitoring rocky reefs with the Reef Check California (RCCA) program and (iii) middle and high school students monitoring the inter-tidal life of rocky shore and sandy beach ecosystems with the National Marine Sanctuaries' Long-term Monitoring Program and Experiential Training for Students (LiMPETS) program. We elucidate capacities and potential of citizen science approaches for MPA baseline monitoring and for building capacity towards sustainable long-term monitoring of MPAs. Results from this study will be relevant and timely as the monitoring of California's MPAs transitions from baseline to long-term monitoring, and as citizen science continues to become more prevalent in California and elsewhere.</t>
  </si>
  <si>
    <t>[Freiwald, Jan] Reef Check Fdn, 13723 Fiji Way,B-2, Marina Del Rey, CA 90292 USA; [Freiwald, Jan] Univ Calif Santa Cruz, Inst Marine Sci, Santa Cruz, CA 95064 USA; [Meyer, Ryan] Univ Calif Davis, Ctr Community &amp; Citizen Sci, Davis, CA 95616 USA; [Caselle, Jennifer E.; Blanchette, Carol A.; Dugan, Jenifer; Altstatt, Jessica] Univ Calif Santa Barbara, Inst Marine Sci, Santa Barbara, CA 93106 USA; [Hovel, Kevin; Neilson, Doug] San Diego State Univ, Coastal &amp; Marine Inst, San Diego, CA 92182 USA; [Hovel, Kevin; Neilson, Doug; Nielsen, Karina] San Diego State Univ, Dept Biol, San Diego, CA 92182 USA; [Nielsen, Karina] San Francisco State Univ, Estuary &amp; Ocean Sci Ctr, San Francisco, CA 94132 USA; [Bursek, Julie] NOAA Channel Isl Natl Marine Sanctuary, Santa Barbara, CA USA</t>
  </si>
  <si>
    <t>University of California System; University of California Santa Cruz; University of California System; University of California Davis; University of California System; University of California Santa Barbara; California State University System; San Diego State University; California State University System; San Diego State University; California State University System; San Francisco State University</t>
  </si>
  <si>
    <t>Freiwald, J (corresponding author), Reef Check Fdn, 13723 Fiji Way,B-2, Marina Del Rey, CA 90292 USA.</t>
  </si>
  <si>
    <t>jfreiwald@reefcheck.org</t>
  </si>
  <si>
    <t>Nielsen, Karina/AAQ-6430-2020; Meyer, Ryan/G-1368-2010</t>
  </si>
  <si>
    <t>Nielsen, Karina/0000-0002-7438-0240; Meyer, Ryan/0000-0001-9696-7651; Blanchette, Carol/0000-0002-3004-1423; Freiwald, Jan/0000-0002-7131-4117</t>
  </si>
  <si>
    <t>South Coast Baseline Monitoring Program via the California Sea Grant Program; Santa Barbara Coastal LTER National Science Foundation [OCE-1232779]; California Ocean Science Trust; California Department of Fish Wildlife; California Ocean Protection Council; Resources Legacy Fund; Keith Campbell Foundation for the Environment; Lisa and Douglas Goldman Foundation; State Coastal Conservancy; Annenberg Foundation; David and Lucile Packard Foundation; UCSB Associated Students Coastal Fund</t>
  </si>
  <si>
    <t>South Coast Baseline Monitoring Program via the California Sea Grant Program; Santa Barbara Coastal LTER National Science Foundation; California Ocean Science Trust; California Department of Fish Wildlife; California Ocean Protection Council; Resources Legacy Fund; Keith Campbell Foundation for the Environment; Lisa and Douglas Goldman Foundation; State Coastal Conservancy; Annenberg Foundation; David and Lucile Packard Foundation(The David &amp; Lucile Packard Foundation); UCSB Associated Students Coastal Fund</t>
  </si>
  <si>
    <t>South Coast Baseline Monitoring Program via the California Sea Grant Program; Santa Barbara Coastal LTER National Science Foundation, Grant/Award Number: OCE-1232779; California Ocean Science Trust; California Department of Fish &amp; Wildlife; California Ocean Protection Council; Resources Legacy Fund; Keith Campbell Foundation for the Environment; Lisa and Douglas Goldman Foundation; State Coastal Conservancy; Annenberg Foundation; David and Lucile Packard Foundation; UCSB Associated Students Coastal Fund</t>
  </si>
  <si>
    <t>0173-9565</t>
  </si>
  <si>
    <t>1439-0485</t>
  </si>
  <si>
    <t>MAR ECOL-EVOL PERSP</t>
  </si>
  <si>
    <t>Mar. Ecol.-Evol. Persp.</t>
  </si>
  <si>
    <t>e12470</t>
  </si>
  <si>
    <t>10.1111/maec.12470</t>
  </si>
  <si>
    <t>Marine &amp; Freshwater Biology</t>
  </si>
  <si>
    <t>GI1SF</t>
  </si>
  <si>
    <t>WOS:000434150100002</t>
  </si>
  <si>
    <t>Chauhan, G; McClure, J; Hekman, J; Marsh, PW; Bailey, JA; Daniels, RF; Genereux, DP; Karlsson, EK</t>
  </si>
  <si>
    <t>Chauhan, Gaurav; McClure, Jesse; Hekman, Jessica; Marsh, Patrick W.; Bailey, Jeffrey A.; Daniels, Rachel F.; Genereux, Diane P.; Karlsson, Elinor K.</t>
  </si>
  <si>
    <t>Combining Citizen Science and Genomics to Investigate Tick, Pathogen, and Commensal Microbiome at Single-Tick Resolution</t>
  </si>
  <si>
    <t>FRONTIERS IN GENETICS</t>
  </si>
  <si>
    <t>tickborne disease; genomics; microbiome; disease transmission; host-pathogen; citizen science; lyme disease; tick vector</t>
  </si>
  <si>
    <t>CHRYSEOBACTERIUM-INDOLOGENES BACTEREMIA; BORRELIA-BURGDORFERI DNA; IXODES-SCAPULARIS TICKS; LYME-DISEASE; STREPTOCOCCUS-SUIS; ANAPLASMA-PHAGOCYTOPHILUM; BORNE PATHOGENS; ACARI IXODIDAE; BABESIA SPP.; INFECTION</t>
  </si>
  <si>
    <t>The prevalence of tickborne diseases worldwide is increasing virtually unchecked due to the lack of effective control strategies. The transmission dynamics of tickborne pathogens are influenced by the tick microbiome, tick co-infection with other pathogens, and environmental features. Understanding this complex system could lead to new strategies for pathogen control, but will require large-scale, high-resolution data. Here, we introduce Project Acari, a citizen science-based project to assay, at single-tick resolution, species, pathogen infection status, microbiome profile, and environmental conditions of tens of thousands of ticks collected from numerous sites across the United States. In the first phase of the project, we collected more than 2,400 ticks wild-caught by citizen scientists and developed high-throughput methods to process and sequence them individually. Applying these methods to 192 Ixodes scapularis ticks collected in a region with a high incidence of Lyme disease, we found that 62% were colonized by Borrelia burgdorferi, the Lyme disease pathogen. In contrast to previous reports, we did not find an association between the microbiome diversity of a tick and its probability of carrying B. burgdorferi. However, we did find undescribed associations between B. burgdorferi carriage and the presence of specific microbial taxa within individual ticks. Our findings underscore the power of coupling citizen science with high-throughput processing to reveal pathogen dynamics. Our approach can be extended for massively parallel screening of individual ticks, offering a powerful tool to elucidate the ecology of tickborne disease and to guide pathogen-control initiatives.</t>
  </si>
  <si>
    <t>[Chauhan, Gaurav; McClure, Jesse; Karlsson, Elinor K.] Univ Massachusetts, Sch Med, Bioinformat &amp; Integrat Biol Program, Worcester, MA 01655 USA; [Chauhan, Gaurav; McClure, Jesse; Hekman, Jessica; Daniels, Rachel F.; Genereux, Diane P.; Karlsson, Elinor K.] Broad Inst MIT &amp; Harvard, Vertebrate Genom, Cambridge, MA 02142 USA; [Marsh, Patrick W.; Bailey, Jeffrey A.] Brown Univ, Warren Alpert Med Sch, Dept Pathol &amp; Lab Med, Providence, RI 02912 USA; [Daniels, Rachel F.] Harvard TH Chan Sch Publ Hlth, Dept Immunol &amp; Infect Dis, Boston, MA USA; [Karlsson, Elinor K.] Univ Massachusetts, Sch Med, Program Mol Med, Worcester, MA 01655 USA</t>
  </si>
  <si>
    <t>University of Massachusetts System; University of Massachusetts Worcester; Harvard University; Massachusetts Institute of Technology (MIT); Broad Institute; Brown University; Harvard University; Harvard T.H. Chan School of Public Health; University of Massachusetts System; University of Massachusetts Worcester</t>
  </si>
  <si>
    <t>Karlsson, EK (corresponding author), Univ Massachusetts, Sch Med, Bioinformat &amp; Integrat Biol Program, Worcester, MA 01655 USA.;Karlsson, EK (corresponding author), Broad Inst MIT &amp; Harvard, Vertebrate Genom, Cambridge, MA 02142 USA.;Karlsson, EK (corresponding author), Univ Massachusetts, Sch Med, Program Mol Med, Worcester, MA 01655 USA.</t>
  </si>
  <si>
    <t>elinor.karlsson@umassmed.edu</t>
  </si>
  <si>
    <t>Chauhan, Gaurav/0009-0005-9489-8361</t>
  </si>
  <si>
    <t>Bioinformatics and Integrative Biology Program Catalytic Research Grant; University of Massachusetts Medical School</t>
  </si>
  <si>
    <t>The project was supported by a Bioinformatics and Integrative Biology Program Catalytic Research Grant and Dr. Karlsson's startup funding from the University of Massachusetts Medical School.</t>
  </si>
  <si>
    <t>1664-8021</t>
  </si>
  <si>
    <t>FRONT GENET</t>
  </si>
  <si>
    <t>Front. Genet.</t>
  </si>
  <si>
    <t>JAN 21</t>
  </si>
  <si>
    <t>10.3389/fgene.2019.01322</t>
  </si>
  <si>
    <t>Genetics &amp; Heredity</t>
  </si>
  <si>
    <t>KI2SR</t>
  </si>
  <si>
    <t>WOS:000511201000001</t>
  </si>
  <si>
    <t>Acevedo-Charry, O; Ponciano, JM; Poli, CL; Jeffery, BM; Fletcher, RJ; Echeverry-Galvis, MA; Loiselle, BA; Robinson, SK; Acevedo, MA</t>
  </si>
  <si>
    <t>Acevedo-Charry, Orlando; Ponciano, Jose M.; Poli, Caroline L.; Jeffery, Brian M.; Fletcher, Robert J.; Echeverry-Galvis, Maria Angela; Loiselle, Bette A.; Robinson, Scott K.; Acevedo, Miguel A.</t>
  </si>
  <si>
    <t>Monitoring population extinction risk with community science data</t>
  </si>
  <si>
    <t>citizen science; diffusion process; eBird; exponential stochastic population model; Gompertz stochastic population model; risk-based population viability analysis; state-space population models</t>
  </si>
  <si>
    <t>SNAIL KITE; DENSITY-DEPENDENCE; ABUNDANCE; MODELS; GROWTH; CONSERVATION; INFERENCE; DECLINES; PREDATOR; PREDICT</t>
  </si>
  <si>
    <t>The robust estimation of local extinction risk is central to inform management and conservation efforts. Still, estimating this key demographic parameter requires standardized monitoring data that are lacking for most species and systems. The analysis of community science data is emerging as a promising alternative. These expansive datasets leverage observations from multiple volunteers that provide higher temporal and spatial resolution. Nevertheless, the proper analysis of community science data is challenging because it requires accounting for additional complexities in the intrinsic ecological and observational processes. To address this issue, we describe and test a quantitative approach that fits continuous state-space models iteratively to eBird data with the ultimate goal of estimating local persistence probability through time. We evaluated model accuracy by comparing estimates and trends from eBird with those from the endangered Everglades' snail kite long-term, standardized monitoring project. We also performed two separate sensitivity analyses (temporal and sampling thinning) to assess how robust the persistence estimates are to a reduction in the number of eBird observations available. Our results showed that the temporal trend trajectory of local population persistence estimated from eBird closely matched that from standardized monitoring. Moreover, the trend remained similar even when reducing the amount of eBird data available to 5% of the original dataset-a reduction from 258 to 13 weeks or from 7714 to 385 lists of observations across 5 years of monitoring. Synthesis and applications. Our modelling framework provides a robust, computationally efficient and easy-to-apply tool for monitoring local persistence probability that can support global conservation efforts. This will complement the monitoring of species population viability in places where standardized monitoring is still lacking, but community science observations are common. La estimaci &amp; oacute;n robusta del riesgo de extinci &amp; oacute;n local es central para informar esfuerzos de manejo y conservaci &amp; oacute;n. Estimar estos par &amp; aacute;metros demogr &amp; aacute;ficos a &amp; uacute;n requiere datos de monitoreo estandarizado, los cuales son limitados para la mayor &amp; iacute;a de las especies y sistemas. El an &amp; aacute;lisis de los datos provenientes de ciencia comunitaria est &amp; aacute; emergiendo como una alternativa prometedora. Estos datos compilan las observaciones de m &amp; uacute;ltiples voluntarios para proporcionar alta resoluci &amp; oacute;n temporal y espacial. Aun as &amp; iacute;, el an &amp; aacute;lisis apropiado de los datos de ciencia comunitaria es desafiante, pues requiere tener en cuenta la intr &amp; iacute;nseca variabilidad y complejidad adicional de los procesos ecol &amp; oacute;gicos y de observaci &amp; oacute;n. Para resolver este problema, describimos y probamos una aproximaci &amp; oacute;n cuantitativa que aplica modelos continuos de espacio de estado de manera iterativa a los datos de eBird, con el fin de estimar la probabilidad de persistencia local a lo largo del tiempo. Evaluamos la precisi &amp; oacute;n del modelo al comparar las estimaciones y tendencias de la probabilidad de persistencia utilizando datos de eBird con las de un monitoreo estandarizado y a largo plazo enfocado en el caracolero de los Everglades, una especie amenazada. Realizamos tambi &amp; eacute;n un an &amp; aacute;lisis de sensibilidad temporal y de muestreo para evaluar cu &amp; aacute;n robustas son las estimaciones de persistencia ante una reducci &amp; oacute;n en el n &amp; uacute;mero disponible de observaciones de eBird. Nuestros resultados mostraron que la trayectoria de tendencia temporal de la persistencia local estimada a partir de eBird coincidi &amp; oacute; estrechamente con la del monitoreo estandarizado. Tambi &amp; eacute;n, la tendencia se mantuvo similar incluso cuando la cantidad de datos disponibles de eBird se redujo al 5% del conjunto de datos original, una reducci &amp; oacute;n de 258 a 13 semanas o de 7714 a 385 listas de observaciones a lo largo de 5 a &amp; ntilde;os de monitoreo. S &amp; iacute;ntesis y aplicaci &amp; oacute;n: Nuestro enfoque de modelamiento provee una herramienta robusta, eficientemente computacional y f &amp; aacute;cil de aplicar para monitorear la probabilidad de persistencia local, lo cual puede apoyar esfuerzos globales de conservaci &amp; oacute;n. Esta herramienta complementar &amp; aacute; el monitoreo de viabilidad poblacional de especies en lugares donde los monitoreos estandarizados a &amp; uacute;n son ausentes pero las observaciones de ciencia comunitaria ya son comunes. A estimativa robusta do risco de extin &amp; ccedil;&amp; atilde;o local &amp; eacute; fundamental para embasar os esfor &amp; ccedil;os de gest &amp; atilde;o e conserva &amp; ccedil;&amp; atilde;o. Ainda assim, estimar esse par &amp; acirc;metro demogr &amp; aacute;fico fundamental requer dados de monitoramento padronizados, que faltam para a maioria das esp &amp; eacute;cies e sistemas. A an &amp; aacute;lise de dados de ci &amp; ecirc;ncia comunit &amp; aacute;ria surge como uma alternativa promissora. Esses conjuntos de dados abrangentes recolhem observa &amp; ccedil;&amp; otilde;es de m &amp; uacute;ltiplos volunt &amp; aacute;rios, proporcionando maior resolu &amp; ccedil;&amp; atilde;o temporal e espacial. No entanto, a an &amp; aacute;lise adequada de dados de ci &amp; ecirc;ncia comunit &amp; aacute;ria &amp; eacute; desafiadora, pois exige a considera &amp; ccedil;&amp; atilde;o de complexidades adicionais nos processos ecol &amp; oacute;gicos e observacionais intr &amp; iacute;nsecos. Para abordar essa quest &amp; atilde;o, descrevemos e testamos uma abordagem quantitativa que ajusta modelos cont &amp; iacute;nuos de espa &amp; ccedil;o de estados iterativamente aos dados do eBird, com o objetivo final de estimar a probabilidade de persist &amp; ecirc;ncia local ao longo do tempo. Avaliamos a precis &amp; atilde;o do modelo comparando estimativas e tend &amp; ecirc;ncias do eBird com aquelas do projeto de monitoramento padronizado de longo prazo do gavi &amp; atilde;o-caramujeiro-de-Envergardes, esp &amp; eacute;cie amea &amp; ccedil;ada de extin &amp; ccedil;&amp; atilde;o. Tamb &amp; eacute;m realizamos uma an &amp; aacute;lise de sensibilidade dupla para avaliar a robustez das estimativas de persist &amp; ecirc;ncia em rela &amp; ccedil;&amp; atilde;o a uma redu &amp; ccedil;&amp; atilde;o no n &amp; uacute;mero de observa &amp; ccedil;&amp; otilde;es dispon &amp; iacute;veis do eBird. Nossos resultados mostraram que a trajet &amp; oacute;ria da tend &amp; ecirc;ncia temporal da persist &amp; ecirc;ncia populacional local estimada pelo eBird foi bastante semelhante &amp; agrave; do monitoramento padronizado. Al &amp; eacute;m disso, a tend &amp; ecirc;ncia permaneceu semelhante mesmo com a redu &amp; ccedil;&amp; atilde;o da quantidade de dados do eBird dispon &amp; iacute;veis para 5% do conjunto original de dados - uma redu &amp; ccedil;&amp; atilde;o de 258 para 13 semanas ou de 7714 para 385 listas de observa &amp; ccedil;&amp; otilde;es em 5 anos de monitoramento. S &amp; iacute;ntese e aplica &amp; ccedil;&amp; otilde;es. Nossa estrutura de modelagem fornece uma ferramenta robusta, computacionalmente eficiente e f &amp; aacute;cil de aplicar para monitorar a probabilidade de persist &amp; ecirc;ncia local, que pode auxiliar esfor &amp; ccedil;os globais de conserva &amp; ccedil;&amp; atilde;o. Isso complementar &amp; aacute; o monitoramento da viabilidade populacional de esp &amp; eacute;cies em locais onde o monitoramento padronizado ainda &amp; eacute; insuficiente, mas as observa &amp; ccedil;&amp; otilde;es da ci &amp; ecirc;ncia comunit &amp; aacute;ria s &amp; atilde;o comuns.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 (sic)(sic)(sic)(sic)(sic)(sic)(sic)(sic),(sic)(sic)(sic)(sic)(sic)(sic)(sic)(sic)(sic)(sic)(sic)(sic)(sic)(sic),(sic)(sic)(sic)(sic)(sic)(sic)(sic)(sic)(sic)(sic)(sic)(sic)(sic)(sic)(sic)(sic)(sic)eBird(sic)(sic)(sic),(sic)(sic)(sic)(sic)(sic)(sic)(sic)(sic)(sic)(sic)(sic)(sic)(sic)(sic)(sic)(sic)(sic)(sic)(sic)(sic)(sic)(sic)(sic). (sic)(sic)(sic)(sic)(sic)(sic)(sic)(sic)(sic)(sic),(sic)(sic)(sic)(sic)(sic)(sic)(sic)eBird(sic)(sic)(sic)(sic)(sic)(sic)(sic)(sic)(sic)(sic)(sic)(sic)(sic)(sic)(sic)(sic)(sic)(sic)(sic)(sic)(sic)(sic)(sic)(sic)(sic)(sic)(sic)(sic)(sic)(sic)(sic)(sic)(sic)(sic)(sic)(sic)(sic)(sic)(sic)(sic)(sic)(sic)(sic)(sic)(sic).(sic)(sic)(sic)(sic)(sic)(sic)(sic)(sic)(sic)(sic)(sic)(sic)(sic),(sic)(sic)(sic)(sic)(sic)(sic) eBird (sic)(sic)(sic)(sic)(sic)(sic)(sic)(sic)(sic)(sic)(sic)(sic)(sic)(sic)(sic)(sic)(sic)(sic)(sic)(sic). (sic)(sic)(sic)(sic)(sic)(sic)(sic),(sic)(sic) eBird (sic)(sic)(sic)(sic)(sic)(sic)(sic)(sic)(sic)(sic)(sic)(sic)(sic)(sic)(sic)(sic)(sic)(sic)(sic)(sic)(sic)(sic)(sic)(sic)(sic)(sic)(sic)(sic)(sic)(sic).(sic)(sic),(sic)(sic)(sic)(sic)(sic)(sic) eBird (sic)(sic)(sic)(sic)(sic)(sic)(sic)(sic)(sic)(sic)(sic)(sic) 5%(sic)((sic) 5 (sic)(sic)(sic)(sic)(sic)(sic)(sic)(sic)(sic)(sic)(sic) 258 (sic)(sic)(sic)(sic) 13 (sic),(sic)(sic)(sic) 7714 (sic)(sic)(sic)(sic)(sic)(sic) 385 (sic)),(sic)(sic)(sic)(sic)(sic)(sic).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t>
  </si>
  <si>
    <t>[Acevedo-Charry, Orlando] Univ Florida, Sch Nat Resources &amp; Environm, IFAS, Gainesville, FL 32611 USA; [Acevedo-Charry, Orlando; Jeffery, Brian M.; Fletcher, Robert J.; Loiselle, Bette A.; Acevedo, Miguel A.] Univ Florida, Dept Wildlife Ecol &amp; Conservat, IFAS, Gainesville, FL 32611 USA; [Acevedo-Charry, Orlando; Robinson, Scott K.] Univ Florida, Florida Museum Nat Hist, Gainesville, FL 32611 USA; [Acevedo-Charry, Orlando; Loiselle, Bette A.] Univ Florida, Ctr Latin Amer Studies, Trop Conservat &amp; Dev Program, Gainesville, FL 32611 USA; [Ponciano, Jose M.] Univ Florida, Dept Biol, Gainesville, FL USA; [Poli, Caroline L.] Florida Fish &amp; Wildlife Conservat Commiss, Fish &amp; Wildlife Res Inst, Gainesville, FL USA; [Fletcher, Robert J.] Univ Cambridge, Conservat Res Inst, Dept Zool, Cambridge, England; [Echeverry-Galvis, Maria Angela] Pontificia Univ Javeriana, Dept Ecol &amp; Terr, Bogota, DC, Colombia</t>
  </si>
  <si>
    <t>State University System of Florida; University of Florida; State University System of Florida; University of Florida; State University System of Florida; University of Florida; State University System of Florida; University of Florida; State University System of Florida; University of Florida; Florida Fish &amp; Wildlife Conservation Commission; University of Cambridge; Pontificia Universidad Javeriana</t>
  </si>
  <si>
    <t>Acevedo-Charry, O (corresponding author), Univ Florida, Sch Nat Resources &amp; Environm, IFAS, Gainesville, FL 32611 USA.;Acevedo-Charry, O (corresponding author), Univ Florida, Dept Wildlife Ecol &amp; Conservat, IFAS, Gainesville, FL 32611 USA.;Acevedo-Charry, O (corresponding author), Univ Florida, Florida Museum Nat Hist, Gainesville, FL 32611 USA.;Acevedo-Charry, O (corresponding author), Univ Florida, Ctr Latin Amer Studies, Trop Conservat &amp; Dev Program, Gainesville, FL 32611 USA.</t>
  </si>
  <si>
    <t>acevedocharry@gmail.com</t>
  </si>
  <si>
    <t>Loiselle, Bette/O-7106-2016; Acevedo-Charry, Orlando/ABA-6574-2020; Ponciano, Jose/AAQ-1038-2020; Echeverry-Galvis, Maria Angela/ITV-8323-2023</t>
  </si>
  <si>
    <t>Loiselle, Bette/0000-0003-1434-4173; Jeffery, Brian/0000-0001-7930-8515; Robinson, Scott/0000-0003-1321-4924; Echeverry-Galvis, Maria Angela/0000-0002-5273-8694</t>
  </si>
  <si>
    <t>College of Agricultural and Life Science (CALS) Dean's Award; School of Natural Resources and Environment Robin E. Nadeau Graduate Research Award [202008334]; US Army Corps of Engineers [W912HZ-20-2-0033]; South Florida Water Management District [9500008729]; Florida Fish and Wildlife Conservation Commission [13416]; St John's River Water Management District [34941]</t>
  </si>
  <si>
    <t>College of Agricultural and Life Science (CALS) Dean's Award; School of Natural Resources and Environment Robin E. Nadeau Graduate Research Award; US Army Corps of Engineers(United States Department of DefenseUnited States Army); South Florida Water Management District; Florida Fish and Wildlife Conservation Commission; St John's River Water Management District</t>
  </si>
  <si>
    <t>We are in debt to the many volunteers reporting observations under good practices or reviewing eBird data to maintain quality of the platform; they are the underlying force that provides support to 'the power of the people' by community, participatory, or citizen science data. Orlando Acevedo-Charry received departmental funding at the University of Florida, such as the College of Agricultural and Life Science (CALS) Dean's Award, the Doris and Earl Lowe and Verna Lowe CALS Scholarship, and the School of Natural Resources and Environment Robin E. Nadeau Graduate Research Award. Snail kite monitoring was implemented under IACUC#202008334 and received funding from the US Army Corps of Engineers (W912HZ-20-2-0033), South Florida Water Management District (9500008729), Florida Fish and Wildlife Conservation Commission (13416), and the St John's River Water Management District (34941). Talita Ribeiro and Min Zhao provided corrections to the Portuguese and Chinese abstracts, respectively. Jackson Martin and Jay Kalogiros-Pepper 'locked in' on providing comments to improve the manuscript. We also thank two anonymous reviewers whose comments improved the manuscript. We acknowledge that the work described in this article was carried out on the ancestral territory of the late Potano (Timucua) and Seminole (Alachua Seminole) people.</t>
  </si>
  <si>
    <t>10.1111/1365-2664.70108</t>
  </si>
  <si>
    <t>JUL 2025</t>
  </si>
  <si>
    <t>7ES2A</t>
  </si>
  <si>
    <t>WOS:001526631300001</t>
  </si>
  <si>
    <t>Mukundarajan, H; Konte, R; Hol, FJ; Soto-Montoya, H; Murphy, A; McKenzie, B; Abernethy, S; Park, D; Zohdy, S; Prakash, M</t>
  </si>
  <si>
    <t>Mukundarajan, Haripriya; Konte, Rebecca; Hol, Felix J.; Soto-Montoya, Hazel; Murphy, Ansley; McKenzie, Benjamin; Abernethy, Sam; Park, Doyeon; Zohdy, Sarah; Prakash, Manu</t>
  </si>
  <si>
    <t>ABUZZ : A MOBILE PHONE BASED CITIZEN SCIENCE PLATFORM FOR CROWDSOURCING ECOLOGICAL DATA FOR MOSQUITO SURVEILLANCE</t>
  </si>
  <si>
    <t>[Mukundarajan, Haripriya; Konte, Rebecca; Hol, Felix J.; Soto-Montoya, Hazel; Abernethy, Sam; Prakash, Manu] Stanford Univ, Stanford, CA 94305 USA; [Murphy, Ansley; McKenzie, Benjamin; Park, Doyeon; Zohdy, Sarah] Auburn Univ, Auburn, AL 36849 USA</t>
  </si>
  <si>
    <t>Stanford University; Auburn University System; Auburn University</t>
  </si>
  <si>
    <t>Hol, Felix/HCI-4598-2022; Prakash, Manu/D-9820-2016</t>
  </si>
  <si>
    <t>Prakash, Manu/0000-0002-8046-8388; Abernethy, Sam/0000-0002-3565-7243</t>
  </si>
  <si>
    <t>WOS:000507364504170</t>
  </si>
  <si>
    <t>Carney, RM; Mapes, C; Low, RD; Long, A; Bowser, A; Durieux, D; Rivera, K; Dekramanjian, B; Bartumeus, F; Guerrero, D; Seltzer, CE; Azam, F; Chellappan, S; Palmer, JRB</t>
  </si>
  <si>
    <t>Carney, Ryan M.; Mapes, Connor; Low, Russanne D.; Long, Alex; Bowser, Anne; Durieux, David; Rivera, Karlene; Dekramanjian, Berj; Bartumeus, Frederic; Guerrero, Daniel; Seltzer, Carrie E.; Azam, Farhat; Chellappan, Sriram; Palmer, John R. B.</t>
  </si>
  <si>
    <t>Integrating Global Citizen Science Platforms to Enable Next-Generation Surveillance of Invasive and Vector Mosquitoes</t>
  </si>
  <si>
    <t>INSECTS</t>
  </si>
  <si>
    <t>artificial intelligence; citizen science; computer vision; geographic information systems; invasive species; machine learning; mosquito monitoring; smartphone; vector-borne disease; vector surveillance</t>
  </si>
  <si>
    <t>VITTATUS BIGOT</t>
  </si>
  <si>
    <t>Simple Summary The mosquito is the deadliest animal on earth, transmitting diseases that cause nearly a million deaths and &gt;700 million infections each year. Yet only relatively few mosquito species are vectors that transmit diseases. Unfortunately, identifying these vector species is a difficult and time-consuming manual process. A promising and scalable solution involves citizen science, whereby the general public provides images of mosquito specimens and breeding habitats using smartphones. However, data from such previous efforts have lacked the necessary integration for a thorough and global understanding of mosquito presence. Here, we standardize and combine data from multiple international citizen science apps-Mosquito Alert, iNaturalist, and GLOBE Observer's Mosquito Habitat Mapper and Land Cover-to aid researchers, mosquito control personnel, and policymakers. We also launched coordinated media campaigns that generated unprecedented numbers and types of observations, including successfully capturing the first images of targeted invasive and vector species. Additionally, we used citizen science imagery to develop artificial intelligence software to automatically identify the species and anatomical regions of mosquitoes. Ultimately, we establish a new surveillance system to serve as a united front to combat the ongoing threat of mosquito-borne diseases worldwide. Mosquito-borne diseases continue to ravage humankind with &gt;700 million infections and nearly one million deaths every year. Yet only a small percentage of the &gt;3500 mosquito species transmit diseases, necessitating both extensive surveillance and precise identification. Unfortunately, such efforts are costly, time-consuming, and require entomological expertise. As envisioned by the Global Mosquito Alert Consortium, citizen science can provide a scalable solution. However, disparate data standards across existing platforms have thus far precluded truly global integration. Here, utilizing Open Geospatial Consortium standards, we harmonized four data streams from three established mobile apps-Mosquito Alert, iNaturalist, and GLOBE Observer's Mosquito Habitat Mapper and Land Cover-to facilitate interoperability and utility for researchers, mosquito control personnel, and policymakers. We also launched coordinated media campaigns that generated unprecedented numbers and types of observations, including successfully capturing the first images of targeted invasive and vector species. Additionally, we leveraged pooled image data to develop a toolset of artificial intelligence algorithms for future deployment in taxonomic and anatomical identification. Ultimately, by harnessing the combined powers of citizen science and artificial intelligence, we establish a next-generation surveillance framework to serve as a united front to combat the ongoing threat of mosquito-borne diseases worldwide.</t>
  </si>
  <si>
    <t>[Carney, Ryan M.; Mapes, Connor; Durieux, David; Rivera, Karlene] Univ South Florida USF, Dept Integrat Biol, Tampa, FL 33620 USA; [Mapes, Connor; Long, Alex; Bowser, Anne] Woodrow Wilson Int Ctr Scholars, Washington, DC 20007 USA; [Low, Russanne D.] Inst Global Environm Strategies, Arlington, VA 22202 USA; [Dekramanjian, Berj; Palmer, John R. B.] Univ Pompeu Fabra, Dept Polit &amp; Social Sci, Barcelona 08005, Spain; [Bartumeus, Frederic; Guerrero, Daniel] Ctr Estudis Avancats Blanes CEAB CSIC, Blanes 17300, Spain; [Bartumeus, Frederic] Ctr Recerca Ecol Aplicac Forestals CREAF, Cerdanyola del Valles 08193, Spain; [Bartumeus, Frederic] Inst Catalana Recerca &amp; Estudis Avancats ICREA, Barcelona 08010, Spain; [Seltzer, Carrie E.] Calif Acad Sci, iNaturalist, San Francisco, CA 94118 USA; [Azam, Farhat; Chellappan, Sriram] Univ S Florida, Dept Comp Sci &amp; Engn, Tampa, FL 33620 USA</t>
  </si>
  <si>
    <t>State University System of Florida; University of South Florida; Pompeu Fabra University; Consejo Superior de Investigaciones Cientificas (CSIC); CSIC - Centre d'Estudis Avancats de Blanes (CEAB); Centro de Investigacion Ecologica y Aplicaciones Forestales (CREAF-CERCA); ICREA; California Academy of Sciences; State University System of Florida; University of South Florida</t>
  </si>
  <si>
    <t>Carney, RM; Mapes, C; Durieux, D; Rivera, K (corresponding author), Univ South Florida USF, Dept Integrat Biol, Tampa, FL 33620 USA.</t>
  </si>
  <si>
    <t>ryancarney@usf.edu; connormapes@usf.edu; rusty_low@strategies.org; alex.long@wilsoncenter.org; anne.bowser@gmail.com; daviddurieux@usf.edu; kjrivera@usf.edu; berj.dekramanjian@upf.edu; fbartu@ceab.csic.es; carrie@inaturalist.org; farhatbinte@usf.edu; sriramc@usf.edu; john.palmer@upf.edu</t>
  </si>
  <si>
    <t>Azam, Farhat Binte/JZT-5612-2024; Bartumeus, Frederic/D-1911-2010; Guerrero, Daniel/KLC-0850-2024; Dekramanjian, Berj/GRJ-8891-2022; Palmer, John RB/N-8620-2014</t>
  </si>
  <si>
    <t>Azam, Farhat Binte/0000-0002-0349-9703; Bartumeus, Frederic/0000-0001-6908-3797; Low, Russanne/0000-0002-7912-4350; Durieux, David/0000-0003-0561-9550; Carney, Ryan/0000-0002-5537-5366; Long, Alex/0000-0002-8945-8303; Dekramanjian, Berj/0000-0001-9672-422X; Palmer, John RB/0000-0002-2648-7860</t>
  </si>
  <si>
    <t>National Science Foundation [IIS-2014547]; National Aeronautics and Space Administration (NASA) [NNX16AE28A]; European Commission [CA17108, 874735, 853271, 2020/2094]; Dutch National Research Agenda (NWA) [NWA/00686468]; la Caixa Foundation [HR19-00336]; European Research Council (ERC) [853271] Funding Source: European Research Council (ERC)</t>
  </si>
  <si>
    <t>National Science Foundation(National Science Foundation (NSF)); National Aeronautics and Space Administration (NASA)(National Aeronautics &amp; Space Administration (NASA)); European Commission(European Union (EU)European Commission Joint Research Centre); Dutch National Research Agenda (NWA); la Caixa Foundation(La Caixa Foundation); European Research Council (ERC)(European Research Council (ERC))</t>
  </si>
  <si>
    <t>This research was funded by the National Science Foundation under Grant No. IIS-2014547 to R.M.C., S.C., R.D.L. and A.B. The GLOBE Observer app and citizen science programming are supported through National Aeronautics and Space Administration (NASA) cooperative agreement NNX16AE28A to the Institute for Global Environmental Strategies (IGES) for the NASA Earth Science Education Collaborative (NESEC, PI: Theresa Schwerin). F.B. and J.R.B.P. acknowledge funding from: (a) the European Commission, under Grants CA17108 (AIM-COST Action), 874735 (VEO), 853271 (H-MIP), and 2020/2094 (NextGenerationEU, through CSIC's Global Health Platform, PTI Salud Global); (b) the Dutch National Research Agenda (NWA), under Grant NWA/00686468; and (c) la Caixa Foundation, under Grant HR19-00336.</t>
  </si>
  <si>
    <t>2075-4450</t>
  </si>
  <si>
    <t>Insects</t>
  </si>
  <si>
    <t>10.3390/insects13080675</t>
  </si>
  <si>
    <t>4B4BM</t>
  </si>
  <si>
    <t>WOS:000845725100001</t>
  </si>
  <si>
    <t>Gassett, PR; O'Brien-Clayton, K; Bastidas, C; Rheuban, JE; Christopher, WH; Turner, E; Liebman, M; Silva, E; Adam, RP; Grear, J; Motyka, J; McCorkle, D; Stancioff, E; Damian, CB; Aaron, LS</t>
  </si>
  <si>
    <t>Gassett, Parker Randall; O'Brien-Clayton, Katie; Bastidas, Carolina; Rheuban, Jennie E.; Hunt, Christopher; Turner, Elizabeth; Liebman, Matthew; Silva, Emily; Pimenta, Adam; Grear, Jason.; Motyka, Jackie; McCorkle, Daniel; Stancioff, Esperanza; Brady, Damian; Strong, Aaron</t>
  </si>
  <si>
    <t>Community Science for Coastal Acidification Monitoring and Research</t>
  </si>
  <si>
    <t>COASTAL MANAGEMENT</t>
  </si>
  <si>
    <t>ocean acidification; communityscience; citizen science; total alkalinity; water monitoring</t>
  </si>
  <si>
    <t>OCEAN ACIDIFICATION; TOTAL ALKALINITY; NEW-ENGLAND; SUSTAINABILITY SCIENCE; CITIZEN SCIENTISTS; GULF; GOVERNANCE; MANAGEMENT; IMPACTS; NETWORK</t>
  </si>
  <si>
    <t>Ocean and coastal acidification (OCA) present a unique set of sustainability challenges at the human-ecological interface. Extensive biogeochemical monitoring that can assess local acidification conditions, distinguish multiple drivers of changing carbonate chemistry, and ultimately inform local and regional response strategies is necessary for successful adaptation to OCA. However, the sampling frequency and cost-prohibitive scientific equipment needed to monitor OCA are barriers to implementing the widespread monitoring of dynamic coastal conditions. Here, we demonstrate through a case study that existing community-based water monitoring initiatives can help address these challenges and contribute to OCA science. We document how iterative, sequential outreach, workshop-based training, and coordinated monitoring activities through the Northeast Coastal Acidification Network (a) assessed the capacity of northeastern United States community science programs and (b) engaged community science programs productively with OCA monitoring efforts. Our results (along with the companion manuscript) indicate that community science programs are capable of collecting robust scientific information pertinent to OCA and are positioned to monitor in locations that would critically expand the coverage of current OCA research. Furthermore, engaging community stakeholders in OCA science and outreach enabled a platform for dialogue about OCA among other interrelated environmental concerns and fostered a series of co-benefits relating to public participation in resource and risk management. Activities in support of community science monitoring have an impact not only by increasing local understanding of OCA but also by promoting public education and community participation in potential adaptation measures.</t>
  </si>
  <si>
    <t>[Gassett, Parker Randall] Univ Maine, Dept Marine Sci, 20 Thomas St Camden, Orono, ME 04843 USA; [Gassett, Parker Randall] Maine Sea Grant, Orono, ME 04469 USA; [O'Brien-Clayton, Katie] Connecticut Dept Energy &amp; Environm Protect, Hartford, CT USA; [Bastidas, Carolina] MIT, MIT Sea Grant Program, Cambridge, MA 02139 USA; [Rheuban, Jennie E.] Woods Hole Oceanog Inst, Dept Marine Chem &amp; Geochem, Woods Hole, MA 02543 USA; [Rheuban, Jennie E.] Woods Hole Sea Grant, Woods Hole, MA 02543 USA; [Hunt, Christopher] Univ New Hampshire, Ocean Proc Anal Lab, Durham, NH 03824 USA; [Turner, Elizabeth] NOAA Scientist Emeritus, Durham, NH 03824 USA; [Liebman, Matthew] US EPA, Boston, MA USA; [Silva, Emily] Northeastern Reg Assoc Coastal Ocean Observing Sy, Portsmouth, NH USA; [Liebman, Matthew; Pimenta, Adam] US EPA, Atlant Coastal Environm Sci Div, Narragansett, RI USA; [Motyka, Jackie] Northeastern Reg Assoc Coastal Ocean Observing Sy, Portsmouth, NH USA; [McCorkle, Daniel] Woods Hole Oceanog Inst, Dept Geol &amp; Geophys, Woods Hole, MA 02543 USA; [Stancioff, Esperanza] Univ Maine, Univ Maine Cooperat Extens &amp; Maine Sea Grant, Orono, ME 04469 USA; [Brady, Damian] Univ Maine, Sch Marine Sci, Orono, ME 04469 USA; [Strong, Aaron] Hamilton Coll, Environm Studies Program, Clinton, NY 13323 USA</t>
  </si>
  <si>
    <t>University of Maine System; University of Maine Orono; Massachusetts Institute of Technology (MIT); Woods Hole Oceanographic Institution; University System Of New Hampshire; University of New Hampshire; United States Environmental Protection Agency; United States Environmental Protection Agency; Woods Hole Oceanographic Institution; University of Maine System; University of Maine Orono; University of Maine System; University of Maine Orono; Hamilton College</t>
  </si>
  <si>
    <t>Gassett, PR (corresponding author), Univ Maine, Dept Marine Sci, 20 Thomas St Camden, Orono, ME 04843 USA.</t>
  </si>
  <si>
    <t>parker.gassett@maine.edu</t>
  </si>
  <si>
    <t>reyes, carolina/HMW-1627-2023; Pimenta, Adam/JEZ-5829-2023</t>
  </si>
  <si>
    <t>Gassett, Parker/0000-0002-5428-0939; Pimenta, Adam/0000-0002-5572-4140; Strong, Aaron/0000-0002-3389-2178; Liebman, Matthew/0000-0002-0479-2581</t>
  </si>
  <si>
    <t>AGU Centennial Grant NOAA OAP OFFICE North American Association for Environmental Education; Curtis and Edith Munson Foundation Sea Grant programs within the region Senator George J. Mitchell Center for Sustainability Solutions; MIT Sea Grant [NA18OAR4170105]; WestWind foundation; Woods Hole Sea Grant (NOAA Grant) [NA18OAR4170104]</t>
  </si>
  <si>
    <t>AGU Centennial Grant NOAA OAP OFFICE North American Association for Environmental Education(National Oceanic Atmospheric Admin (NOAA) - USA); Curtis and Edith Munson Foundation Sea Grant programs within the region Senator George J. Mitchell Center for Sustainability Solutions; MIT Sea Grant; WestWind foundation; Woods Hole Sea Grant (NOAA Grant)(National Oceanic Atmospheric Admin (NOAA) - USA)</t>
  </si>
  <si>
    <t>AGU Centennial Grant NOAA OAP OFFICE North American Association for Environmental Education Curtis and Edith Munson Foundation Sea Grant programs within the region Senator George J. Mitchell Center for Sustainability Solutions Funding acknowledgment: MIT Sea Grant award NA18OAR4170105 to Bastidas NERACOOS The WestWind foundation (to Rheuban) Woods Hole Sea Grant (NOAA Grant No. NA18OAR4170104)</t>
  </si>
  <si>
    <t>0892-0753</t>
  </si>
  <si>
    <t>1521-0421</t>
  </si>
  <si>
    <t>COAST MANAGE</t>
  </si>
  <si>
    <t>Coast. Manage.</t>
  </si>
  <si>
    <t>JUN 26</t>
  </si>
  <si>
    <t>10.1080/08920753.2021.1947131</t>
  </si>
  <si>
    <t>WI9JV</t>
  </si>
  <si>
    <t>WOS:000677914000001</t>
  </si>
  <si>
    <t>Carney, RM; Azam, F; Gehrisch, K; Bhuiyan, T; Rafarasoa, LS; Riantsoa, V; Low, RD; Zohdy, S; Andrianjafy, TM; Ramahazomanana, MA; Rasolofo, RN; Subramani, PA; Ogbondah, M; Uelmen, JA Jr; Chellappan, S</t>
  </si>
  <si>
    <t>Carney, Ryan M.; Azam, Farhat; Gehrisch, Karlene; Bhuiyan, Tanvir; Rafarasoa, Lala S.; Riantsoa, Valery; Low, Russanne D.; Zohdy, Sarah; Andrianjafy, Tovo M.; Ramahazomanana, Mamisoa A.; Rasolofo, Ranto N.; Subramani, Pradeep A.; Ogbondah, Madison; Uelmen, Johnny A.; Chellappan, Sriram</t>
  </si>
  <si>
    <t>Artificial Intelligence and Citizen Science as a Tool for Global Mosquito Surveillance: Madagascar Case Study</t>
  </si>
  <si>
    <t>Anopheles; artificial intelligence; citizen science; larva; machine learning; Madagascar; malaria; mobile applications; mosquito vectors; testes</t>
  </si>
  <si>
    <t>ANOPHELES-STEPHENSI MOSQUITOS</t>
  </si>
  <si>
    <t>Anopheles stephensi is an invasive and deadly malaria vector with the ability to use artificial containers as larval habitats. This ability is unique for malaria vectors in Africa and requires distinct surveillance strategies for early detection and rapid response. In this study, we trained a variety of artificial intelligence (AI) image recognition algorithms, using thousands of smartphone photos of laboratory-authenticated An. stephensi and seven endemic mosquito species, to develop a citizen science-friendly tool for An. stephensi detection. In Antananarivo, Madagascar, citizen science observations of &gt;132 Anopheles spp. larvae from multiple artificial containers-including one closeup photo of a larva, from a tire-were submitted via NASA's GLOBE Observer app in March 2020 and discovered years later. Given that genetic testing was no longer possible, this photo was used as a proof-of-concept to determine whether the AI species identification could be used on citizen science-generated images. The tire larva was classified as An. stephensi by all 11 species models, which yielded high accuracy and confidence (up to 99.34%) and included a false positive rate of &lt;1%. Furthermore, explainable AI (XAI) heat maps led to the discovery of dark spots in abdominal segment VI corresponding to testes, corroborating a separate classification of the tire larva as male by the sex model. All available evidence suggests that AI image identification would have flagged this larva as a suspect An. stephensi, which could have been submitted to a molecular laboratory for further confirmation. Results demonstrate the power of integrating citizen science and AI-for which we provide free online tools-as a low-cost signal for malaria programs to confirm and respond to, and as complementary surveillance to fill the critical knowledge gaps in the distribution of invasive An. stephensi across Africa and beyond.</t>
  </si>
  <si>
    <t>[Carney, Ryan M.; Gehrisch, Karlene; Uelmen, Johnny A.] Univ South Florida USF, Dept Integrat Biol, Tampa, FL 33620 USA; [Azam, Farhat; Bhuiyan, Tanvir; Chellappan, Sriram] Univ S Florida, Bellini Coll AI Cybersecur &amp; Comp, Tampa, FL 33620 USA; [Rafarasoa, Lala S.; Riantsoa, Valery; Andrianjafy, Tovo M.; Ramahazomanana, Mamisoa A.; Rasolofo, Ranto N.] Univ Antananarivo, Dept Med Entomol, Antananarivo 101, Madagascar; [Low, Russanne D.] Inst Global Environm Strategies, Arlington, VA 22202 USA; [Zohdy, Sarah] US Ctr Dis Control &amp; Prevent, Entomol Branch, Atlanta, GA 30329 USA; [Subramani, Pradeep A.; Ogbondah, Madison] Univ S Florida, Global Hlth &amp; Infect Dis Res, Tampa, FL 33612 USA; [Uelmen, Johnny A.] Univ Wisconsin UW, Dept Populat Hlth Sci, Madison, WI 53575 USA</t>
  </si>
  <si>
    <t>State University System of Florida; University of South Florida; State University System of Florida; University of South Florida; University Antananarivo; Centers for Disease Control &amp; Prevention - USA; State University System of Florida; University of South Florida</t>
  </si>
  <si>
    <t>Carney, RM (corresponding author), Univ South Florida USF, Dept Integrat Biol, Tampa, FL 33620 USA.</t>
  </si>
  <si>
    <t>ryancarney@usf.edu; farhatbinte@usf.edu; karlenegehrisch@gmail.com; tanvirrazin@gmail.com; rafarasoalala@yahoo.fr; riantsoav@gmail.com; rusty_low@strategies.org; sarahzohdy@gmail.com; amthta@gmail.com; ramahazomanana2@gmail.com; rantorasolofo01@gmail.com; pannamalaisubramani@usf.edu; madison541@usf.edu; uelmen@wisc.edu; sriramc@usf.edu</t>
  </si>
  <si>
    <t>Andrianjafy, Tovo/AAB-9794-2021; Uelmen, Johnny/JPK-4002-2023; Azam, Farhat Binte/JZT-5612-2024</t>
  </si>
  <si>
    <t>Chellappan, Sriram/0000-0002-5330-8549; Riantsoa, Valéry/0009-0009-4552-2631; lala sahona, rafarasoa/0000-0002-7103-3972; Annamalai Subramani, Pradeep/0000-0001-8685-0900; Uelmen, Johnny/0000-0003-3057-5107; Low, Russanne/0000-0002-7912-4350; Azam, Farhat Binte/0000-0002-0349-9703</t>
  </si>
  <si>
    <t>The United States Agency for International Development [AID-OAA-F-16-00099]; NASA Earth Science Education Collaborative [NNX16AE28A]; National Institute of Allergy and Infectious Diseases of the National Institutes of Health [U19AI181594, 5U01AI155361]; The U.S. Department of State [SLMAQM17CA2O74]; National Science Foundation [IIS-2014547]</t>
  </si>
  <si>
    <t>The United States Agency for International Development(United States Agency for International Development (USAID)); NASA Earth Science Education Collaborative; National Institute of Allergy and Infectious Diseases of the National Institutes of Health(United States Department of Health &amp; Human ServicesNational Institutes of Health (NIH) - USANIH National Institute of Allergy &amp; Infectious Diseases (NIAID)); The U.S. Department of State; National Science Foundation(National Science Foundation (NSF))</t>
  </si>
  <si>
    <t>This research was funded by the National Science Foundation under grant number IIS-2014547 to R.M.C., S.C. and R.D.L., as well as the National Institute of Allergy and Infectious Diseases of the National Institutes of Health under award numbers U19AI181594 to R.M.C. and S.C. and 5U01AI155361 supporting P.A.S. and M.O. The GLOBE Observer Mosquito Habitat Mapper and Mission Mosquito are funded by the NASA Science Activation Award NNX16AE28A for the NASA Earth Science Education Collaborative. The United States Agency for International Development Combating Zika and Future Challenges initiative provided award AID-OAA-F-16-00099 to R.D.L. for the GO Mosquito Challenge Community Campaign. The U.S. Department of State funded award SLMAQM17CA2O74 to the University Corporation for Atmospheric Research for the GLOBE Zika Education and Prevention Project, which provided training and support for GLOBE Partners in Africa, Asia and the Pacific, Latin America and the Caribbean. The content is solely the responsibility of the authors and does not necessarily represent the official views of the funding agencies.</t>
  </si>
  <si>
    <t>10.3390/insects16111098</t>
  </si>
  <si>
    <t>H5633</t>
  </si>
  <si>
    <t>WOS:001625671200001</t>
  </si>
  <si>
    <t>Cochero, J; Bonifacio, AF; Pecile, MA; Zambrano, M; Sathicq, MB; Gelis, MMN; Mujica, MA; Bengolea, M; Tagliaferro, M; Brito, JM; Ballesteros, ML; Hued, A; Halac, S; Pazos, RS; Albarrán, KK; Herbert, LT; Fernández, JC; Laffitte, LN; Kuroda, JA; Demicheli, MA; Castiñeira, LM; Novarese, DP</t>
  </si>
  <si>
    <t>Cochero, Joaquin; Bonifacio, Alejo Fabian; Pecile, Maria Agostina; Zambrano, Micaela; Sathicq, Maria Belen; Gelis, Maria Mercedes Nicolosi; Mujica, Micaela Ailen; Bengolea, Milagros; Tagliaferro, Marina; Brito, Juan Manuel; Ballesteros, Maria Laura; Hued, Andrea; Halac, Silvana; Pazos, Rocio Soledad; Albarran, Katya Karla; Herbert, Lucila T.; Fernandez, Jose Carlos; Laffitte, Lorena Noemi; Kuroda, Jorge Ariel; Demicheli, Mariela Ana; Castineira, Leandro Manuel; Novarese, Daiana Pamela</t>
  </si>
  <si>
    <t>PreserVamos: Ecological data on aquatic ecosystems in Argentina collected through citizen science monitoring</t>
  </si>
  <si>
    <t>ECOLOGY</t>
  </si>
  <si>
    <t>Article; Data Paper</t>
  </si>
  <si>
    <t>biodiversity monitoring; community participation; ecological indicators; freshwater habitats; habitat assessment; participatory science; volunteer monitoring; water quality</t>
  </si>
  <si>
    <t>Freshwater ecosystems are among the most threatened globally, yet remain under-monitored in many regions, particularly in South America. Traditional monitoring approaches, while scientifically rigorous, are often limited by logistical, financial, and institutional constraints. While several citizen science initiatives have advanced freshwater habitat assessment in Europe (e.g., FreshWater Watch) and North America (e.g., EPA's Volunteer Monitoring Program), comparable efforts remain scarce in South America. PreserVamos contributes to filling this regional gap by providing the first large-scale, standardized citizen-generated dataset for aquatic ecosystems in Argentina, offering valuable opportunities for integration with global freshwater monitoring databases. PreserVamos is a citizen science initiative designed to collect and integrate ecological observations of rivers, lagoons, wetlands, estuaries, and streams throughout Argentina, where participants engage through a mobile application to record semiquantitative ecological indices, environmental conditions, human uses, and wildlife presence. Data are standardized through predefined survey forms and geolocated using mobile GPS. The calculated habitat index is supported by up to 25 complementary variables and a precision score estimating response reliability and is based on published riverine habitat indices for the country. To date, PreserVamos includes over 1200 observations from diverse waterbodies and biogeographic regions in the country, and an additional dataset is included with similar to 100 observations from other countries. Streams and rivers from the sierras (low mountain ranges) were among the most frequently sampled systems (n = 312) and exhibited the highest ecological quality, with a mean index of 78.38 +/- 9.45 (SD) on a scale of 0-100. Mountain streams (n = 55) also showed high ecological scores, averaging 70.36 (+/- 6.75). In contrast, estuaries (n = 34) demonstrated lower ecological quality, with a mean index of 61.89 (+/- 15.03). Lowland rivers (n = 558), the most represented waterbody type, had a moderate mean index of 68.57 (+/- 18.89). Lowland lagoons or lakes (n = 228) showed lower ecological conditions, with an average score of 62.90 (+/- 14.82). Patagonian forest lakes (n = 29) had a high mean index of 78.34 (+/- 11.06), while Patagonian Forest rivers (n = 12) showed moderate conditions at 69.20 (+/- 9.40). Patagonian steppe rivers were only represented by two observations, with a preliminary mean of 74.15 (+/- 9.40). The dataset provides a unique opportunity to analyze spatial and seasonal ecological trends, assess the effectiveness of citizen science in environmental monitoring, and inform ecosystem management. This dataset is published under a Creative Commons Attribution 4.0 International License (CC-BY 4.0). Users may reuse the dataset with proper citation.</t>
  </si>
  <si>
    <t>[Cochero, Joaquin; Pecile, Maria Agostina; Sathicq, Maria Belen; Gelis, Maria Mercedes Nicolosi; Mujica, Micaela Ailen; Pazos, Rocio Soledad] Univ Nacl La Plata UNLP, Consejo Nacl Invest Cient &amp; Tecn CONICET, Inst Limnol Dr Raul A Ringuelet, La Plata, Buenos Aires, Argentina; [Bonifacio, Alejo Fabian; Zambrano, Micaela; Tagliaferro, Marina; Brito, Juan Manuel; Ballesteros, Maria Laura; Hued, Andrea] Univ Nacl Cordoba UNC, Fac Ciencias Exactas, Consejo Nacl Invest Cient &amp; Tecn CONICET, Inst Divers &amp; Ecol Anim, Cordoba, Cordoba, Argentina; [Bengolea, Milagros] Univ Nacl Cordoba UNC, Consejo Nacl Invest Cient &amp; Tecn CONICET, Fac Psicol,IIPsi, Invest Psicol &amp; Ciencias Comportamiento, Cordoba, Cordoba, Argentina; [Tagliaferro, Marina] Consejo Nacl Invest Cient &amp; Tecn CONICET, Ctr Austral Invest Cient, Ushuaia, Tierra Del Fueg, Argentina; [Halac, Silvana] Univ Nacl Cordoba UNC, Ctr Invest Ciencias Tierra, Consejo Nacl Invest Cient &amp; Tecn CONICET, Ingeniero Ismael Bordabehere &amp; Haya Torre, Ciudad Univ, Cordoba, Cordoba, Argentina; [Albarran, Katya Karla; Kuroda, Jorge Ariel; Demicheli, Mariela Ana; Castineira, Leandro Manuel; Novarese, Daiana Pamela] Minist Turismo Ambiente &amp; Recursos Nat, Ctr Ecol Aplicada Neuquen, Direcc Ecosistemas Acuat, Neuquen, Argentina; [Herbert, Lucila T.] Consejo Nacl Invest Cient &amp; Tecn, Inst Invest Biodivers &amp; Medioambiente, Lab Ecotoxicol Acuat, UNCo CEAN,INIBIOMA, Neuquen, Argentina; [Fernandez, Jose Carlos; Laffitte, Lorena Noemi] Minist Energia &amp; Recursos Nat, Direcc Gen Biodivers &amp; Sostenibil Secretaria Ambie, Neuquen, Argentina</t>
  </si>
  <si>
    <t>Consejo Nacional de Investigaciones Cientificas y Tecnicas (CONICET); National University of La Plata; Consejo Nacional de Investigaciones Cientificas y Tecnicas (CONICET); Consejo Nacional de Investigaciones Cientificas y Tecnicas (CONICET); Consejo Nacional de Investigaciones Cientificas y Tecnicas (CONICET); Consejo Nacional de Investigaciones Cientificas y Tecnicas (CONICET); National University of Cordoba; Cicterra; Consejo Nacional de Investigaciones Cientificas y Tecnicas (CONICET)</t>
  </si>
  <si>
    <t>Cochero, J (corresponding author), Univ Nacl La Plata UNLP, Consejo Nacl Invest Cient &amp; Tecn CONICET, Inst Limnol Dr Raul A Ringuelet, La Plata, Buenos Aires, Argentina.</t>
  </si>
  <si>
    <t>jcochero@ilpla.edu.ar</t>
  </si>
  <si>
    <t>Zambrano, Micaela/0000-0003-4681-2664</t>
  </si>
  <si>
    <t>0012-9658</t>
  </si>
  <si>
    <t>1939-9170</t>
  </si>
  <si>
    <t>e70316</t>
  </si>
  <si>
    <t>10.1002/ecy.70316</t>
  </si>
  <si>
    <t>EN8PB</t>
  </si>
  <si>
    <t>WOS:001705520500024</t>
  </si>
  <si>
    <t>Wu, YQ; Washbourne, C; Haklay, M</t>
  </si>
  <si>
    <t>Wu, Yaqian; Washbourne, Carla; Haklay, Muki</t>
  </si>
  <si>
    <t>Citizen science in China's water resources monitoring: current status and future prospects</t>
  </si>
  <si>
    <t>Sustainable development goals; water; citizen science; environmental policy; China</t>
  </si>
  <si>
    <t>The global challenges of sustainability are encapsulated in the UN Sustainable Development Goals (SDGs), to which 193 member states are committed. However, a key challenge remains in identifying appropriate methods, indicators, and the ability to monitor progress towards these 2030 Agenda goals. Citizen Science (CS), as a scientific activity in which non-professionals voluntarily participate and cooperate with experts, has been used in Western countries to meet this challenge. Whether it also applies to achieving the SDGs of Asian countries like China is a question that needs to be answered with evidence. On this basis, the tasks of this study are twofold: first, through a literature review, we identify CS projects relevant to water that are happening in China; Second, we analyse the selected projects from three dimensions (scientific, participant, socio-ecological and economic) under an adjusted CS evaluation framework to determine their suitability in China. The results show that at least 19 water-related citizen science projects emerged in China since 2005, most of which are dedicated to improving water quality, with a few focusing on biodiversity monitoring. Multiple stakeholders, including non-governmental (NGO)/non-profit (NPO) organisations, academic institutions, governments and companies participate in these activities, with NGOs accounting for the most. CS has not expanded rapidly in the past 15 years, but most of the projects are still active, which shows the possibility of CS's further development in China after a good strategic framework has been formulated.</t>
  </si>
  <si>
    <t>[Wu, Yaqian; Haklay, Muki] UCL, Geog Dept, Extreme Citizen Sci Excites, London, England; [Washbourne, Carla] UCL, Dept Sci Technol Engn &amp; Publ Policy Steapp, London, England</t>
  </si>
  <si>
    <t>University of London; University College London; University of London; University College London</t>
  </si>
  <si>
    <t>Wu, YQ (corresponding author), UCL, Geog Dept, Extreme Citizen Sci Excites, London, England.;Wu, YQ (corresponding author), UCL, Pearson Bldg,Gower St, London WC1E 6BT, England.</t>
  </si>
  <si>
    <t>ucfawug@ucl.ac.uk</t>
  </si>
  <si>
    <t>Haklay, Mordechai/AAN-6892-2021; Washbourne, Carla-Leanne/AAK-9118-2020</t>
  </si>
  <si>
    <t>Haklay, Mordechai/0000-0001-6117-3026; Washbourne, Carla-Leanne/0000-0001-7818-918X</t>
  </si>
  <si>
    <t>APR 3</t>
  </si>
  <si>
    <t>10.1080/13504509.2021.2013973</t>
  </si>
  <si>
    <t>JAN 2022</t>
  </si>
  <si>
    <t>ZW9UT</t>
  </si>
  <si>
    <t>WOS:000740888000001</t>
  </si>
  <si>
    <t>Leocadio, JN; Ghilardi-Lopes, NP; Koffler, S; Barbiéri, C; Francoy, TM; Albertini, B; Saraiva, AM</t>
  </si>
  <si>
    <t>Leocadio, Jailson N.; Ghilardi-Lopes, Natalia P.; Koffler, Sheina; Barbieri, Celso; Francoy, Tiago M.; Albertini, Bruno; Saraiva, Antonio M.</t>
  </si>
  <si>
    <t>Data Reliability in a Citizen Science Protocol for Monitoring Stingless Bees Flight Activity</t>
  </si>
  <si>
    <t>biodiversity monitoring; data quality; meliponini; protocol validation; volunteer participation</t>
  </si>
  <si>
    <t>DATA QUALITY; VOLUNTEER; ACCURACY; ASSESSMENTS; DEFENSE</t>
  </si>
  <si>
    <t>Simple Summary This work aims to validate a citizen science protocol for monitoring the flight activity of stingless bees. The count of flight activity (entrance, exit, and entrance carrying pollen) filmed in 30 s videos was compared among three different groups: original citizen scientists (group that filmed and performed the count in their own videos), replicator citizen scientists (group of citizen scientists who performed flight activity counts on videos shot by other citizen scientists), and experts (researchers who work with bees and who performed the counts on videos shot by citizen scientists). The analysis was divided into two levels: perception (detection of activity in videos) and counting. The results of this analysis revealed that citizen scientists and experts have similar perception and count of bee entrance and exit activity, as no statistical differences were found in these two items. However, replicator citizen scientists noticed more bees carrying pollen than original citizen scientists and experts. Despite this, considering only the videos in which the groups agreed on the presence of pollen, the count was similar for both. These results enabled the validation of the protocol and indicated high quality of data produced by individuals who participate in scientific practices following a citizen science approach. Although the quality of citizen science (CS) data is often a concern, evidence for high-quality CS data increases in the scientific literature. This study aimed to assess the data reliability of a structured CS protocol for monitoring stingless bees' flight activity. We tested (1) data accuracy for replication among volunteers and for expert validation and (2) precision, comparing dispersion between citizen scientists and expert data. Two distinct activity dimensions were considered: (a) perception of flight activity and (b) flight activity counts (entrances, exits, and pollen load). No significant differences were found among groups regarding entrances and exits. However, replicator citizen scientists presented a higher chance of perceiving pollen than original data collectors and experts, likely a false positive. For those videos in which there was an agreement about pollen presence, the effective pollen counts were similar (with higher dispersion for citizen scientists), indicating the reliability of CS-collected data. The quality of the videos, a potential source of variance, did not influence the results. Increasing practical training could be an alternative to improve pollen data quality. Our study shows that CS provides reliable data for monitoring bee activity and highlights the relevance of a multi-dimensional approach for assessing CS data quality.</t>
  </si>
  <si>
    <t>[Leocadio, Jailson N.; Albertini, Bruno; Saraiva, Antonio M.] Univ Sao Paulo, Escola Politecn, Av Prof Luciano Gualberto 158,Tv 3, BR-05508010 Sao Paulo, SP, Brazil; [Ghilardi-Lopes, Natalia P.] Fed Univ ABC, Ctr Ciencias Nat &amp; Humanas, R Arcturus 3, BR-09606070 Sao Bernardo Do Campo, SP, Brazil; [Koffler, Sheina; Saraiva, Antonio M.] Univ Sao Paulo, Inst Estudos Avancados, R Praca Relogio 109, BR-05508970 Sao Paulo, SP, Brazil; [Barbieri, Celso; Francoy, Tiago M.] Univ Sao Paulo, Escola Artes Ciencias &amp; Humanidades, R Arlindo Bettio 1000, BR-03828000 Sao Paulo, SP, Brazil</t>
  </si>
  <si>
    <t>Universidade de Sao Paulo; Universidade Federal do ABC (UFABC); Universidade de Sao Paulo; Institute Estudos Avancados University Sao Paulo; Universidade de Sao Paulo</t>
  </si>
  <si>
    <t>Leocadio, JN (corresponding author), Univ Sao Paulo, Escola Politecn, Av Prof Luciano Gualberto 158,Tv 3, BR-05508010 Sao Paulo, SP, Brazil.</t>
  </si>
  <si>
    <t>jailsonleocadio@usp.br; natalia.lopes@ufabc.edu.br; sheina.koffler@usp.br; celso.barbieri@usp.br; tfrancoy@usp.br; balbertini@usp.br; saraiva@usp.br</t>
  </si>
  <si>
    <t>Barbieri, Celso/GXG-8680-2022; Nunes Leocadio, Jailson/AAF-6290-2021; Francoy, Tiago Mauricio/AFW-5399-2022; Saraiva, Antonio/B-6350-2011; Koffler, Sheina/AAF-3614-2020; de Carvalho Albertini, Bruno/J-5779-2013; Ghilardi-Lopes, Natalia/F-2710-2012</t>
  </si>
  <si>
    <t>Barbieri, Celso/0000-0002-7790-1371; Nunes Leocadio, Jailson/0000-0002-7104-7207; Francoy, Tiago Mauricio/0000-0002-2413-966X; Saraiva, Antonio/0000-0003-2283-1123; Koffler, Sheina/0000-0002-1126-8999; Ghilardi-Lopes, Natalia/0000-0001-6213-8871</t>
  </si>
  <si>
    <t>Fundacao de Amparo e Apoio a Pesquisa do Estado de Sao Paulo (FAPESP) [2018/14994-1, 2019/26760-8]; Coordenacao de Aperfeicoamento de Pessoal de Nivel Superior - Brazil (CAPES) [001, 88882.333367/2019-01, 88882.377160/2019-01]; Conselho Nacional de Desenvolvimento Cientifico e Tecnologico - Brazil (CNPq) [312.605/2018-8]</t>
  </si>
  <si>
    <t>Fundacao de Amparo e Apoio a Pesquisa do Estado de Sao Paulo (FAPESP)(Fundacao de Amparo a Pesquisa do Estado de Sao Paulo (FAPESP)); Coordenacao de Aperfeicoamento de Pessoal de Nivel Superior - Brazil (CAPES)(Coordenacao de Aperfeicoamento de Pessoal de Nivel Superior (CAPES)); Conselho Nacional de Desenvolvimento Cientifico e Tecnologico - Brazil (CNPq)(Conselho Nacional de Desenvolvimento Cientifico e Tecnologico (CNPQ))</t>
  </si>
  <si>
    <t>This research was funded by Fundacao de Amparo e Apoio a Pesquisa do Estado de Sao Paulo (FAPESP, grant numbers 2018/14994-1 and 2019/26760-8). This study was financed in part by the Coordenacao de Aperfeicoamento de Pessoal de Nivel Superior -Brazil (CAPES) -Finance Code 001; J.N.L grant number 88882.333367/2019-01; C.B. grant number 88882.377160/2019-01 and also by Conselho Nacional de Desenvolvimento Cientifico e Tecnologico -Brazil (CNPq) A.M.S grant number 312.605/2018-8.</t>
  </si>
  <si>
    <t>10.3390/insects12090766</t>
  </si>
  <si>
    <t>UV5FB</t>
  </si>
  <si>
    <t>WOS:000699503000001</t>
  </si>
  <si>
    <t>Fraisl, D; See, L; Bowers, R; Seidu, O; Fredua, KB; Bowser, A; Meloche, M; Weller, S; Amaglo-Kobla, T; Ghafari, D; Bayas, JCL; Campbell, J; Cameron, G; Fritz, S; McCallum, I</t>
  </si>
  <si>
    <t>Fraisl, Dilek; See, Linda; Bowers, Rachel; Seidu, Omar; Fredua, Kwame Boakye; Bowser, Anne; Meloche, Metis; Weller, Sarah; Amaglo-Kobla, Tyler; Ghafari, Dany; Bayas, Juan Carlos Laso; Campbell, Jillian; Cameron, Grant; Fritz, Steffen; McCallum, Ian</t>
  </si>
  <si>
    <t>The contributions of citizen science to SDG monitoring and reporting on marine plastics</t>
  </si>
  <si>
    <t>SUSTAINABILITY SCIENCE</t>
  </si>
  <si>
    <t>Citizen science; Data; Official statistics; Sustainable Development Goals (SDGs); SDG monitoring; Beach litter; Marine plastics; Plastic pollution; Policymaking</t>
  </si>
  <si>
    <t>CHALLENGES; PARTICIPATION; MOTIVATIONS; SCIENTISTS; FRAMEWORK; BEACHES; PROJECT</t>
  </si>
  <si>
    <t>The accumulation of plastic litter in marine environments is a major environmental challenge along with the difficulties in their measurement because of the massive size of the oceans and vast circulation of plastic litter, which is being addressed as part of the United Nations (UN) Sustainable Development Goals (SDGs). Citizen science, public participation in scientific research and knowledge production, represents a potential source of data for SDG monitoring and reporting of marine plastic litter, yet there has been no evidence of its use to date. Here, we show how Ghana has become the first country to integrate existing citizen science data on marine plastic litter in their official monitoring and reporting of SDG indicator 14.1.1b for the years 2016-2020, which has also helped to bridge local data collection efforts with global monitoring processes and policy agendas by leveraging the SDG framework. The results have been used in Ghana's 2022 Voluntary National Review of the SDGs, and reported on the UN SDG Global Database, as well as helping to inform relevant policies in Ghana. In addition, here, we present a pathway that can be adopted by the relevant government authorities in other countries that have an interest in following a similar citizen science data validation and reporting process for this indicator and potentially others.</t>
  </si>
  <si>
    <t>[Fraisl, Dilek; See, Linda; Bayas, Juan Carlos Laso; Fritz, Steffen; McCallum, Ian] Int Inst Appl Syst Anal IIASA, Laxenburg, Austria; [Bowers, Rachel; Seidu, Omar] Ghana Stat Serv GSS, Accra, Ghana; [Fredua, Kwame Boakye] Environm Protect Agcy EPA, Accra, Ghana; [Bowser, Anne; Meloche, Metis] Woodrow Wilson Int Ctr Scholars, Washington, DC USA; [Bowser, Anne] Nat Serve, Arlington, VA USA; [Weller, Sarah] Ocean Conservancy, Washington, DC USA; [Amaglo-Kobla, Tyler] Smart Nat Freak Youth Volunteers Fdn SNFYVF, Accra, Ghana; [Ghafari, Dany; Campbell, Jillian] United Nations Environm Programme UNEP, Nairobi, Kenya; [Campbell, Jillian] Secretariat UNEP Convent Biol Divers CBD, Montreal, PQ, Canada; [Cameron, Grant] Sustainable Dev Solut Network SDSN, New York, NY USA</t>
  </si>
  <si>
    <t>International Institute for Applied Systems Analysis (IIASA)</t>
  </si>
  <si>
    <t>Fraisl, D (corresponding author), Int Inst Appl Syst Anal IIASA, Laxenburg, Austria.</t>
  </si>
  <si>
    <t>Bowers, Rachel/KCY-3892-2024; Fraisl, Dilek/ITT-4754-2023</t>
  </si>
  <si>
    <t>Fraisl, Dilek/0000-0001-7523-7967; Laso Bayas, Juan Carlos/0000-0003-2844-3842</t>
  </si>
  <si>
    <t>Citizen Science for the SDGs project - Sustainable Development Solutions Network (SDSN); International Institute for Applied Systems~Analysis (IIASA); National Member Organizations</t>
  </si>
  <si>
    <t>This research was supported by the Citizen Science for the SDGs project funded by the Sustainable Development Solutions Network (SDSN).~Additionally,~DF, LS, JCLB, SF and IM gratefully acknowledge funding from the~International Institute for Applied Systems~Analysis (IIASA) and the National Member Organizations that support IIASA.</t>
  </si>
  <si>
    <t>SPRINGER JAPAN KK</t>
  </si>
  <si>
    <t>TOKYO</t>
  </si>
  <si>
    <t>SHIROYAMA TRUST TOWER 5F, 4-3-1 TORANOMON, MINATO-KU, TOKYO, 105-6005, JAPAN</t>
  </si>
  <si>
    <t>1862-4065</t>
  </si>
  <si>
    <t>1862-4057</t>
  </si>
  <si>
    <t>SUSTAIN SCI</t>
  </si>
  <si>
    <t>Sustain. Sci.</t>
  </si>
  <si>
    <t>10.1007/s11625-023-01402-4</t>
  </si>
  <si>
    <t>SEP 2023</t>
  </si>
  <si>
    <t>Green &amp; Sustainable Science &amp; Technology; Environmental Sciences</t>
  </si>
  <si>
    <t>W0JT0</t>
  </si>
  <si>
    <t>WOS:001066424600001</t>
  </si>
  <si>
    <t>Benabbas, A; Geisselbrecht, M; Nikol, GM; Mahr, L; Nähr, D; Steuer, S; Wiesemann, G; Müller, T; Nicklas, D; Wieland, T</t>
  </si>
  <si>
    <t>Benabbas, Aboubakr; Geisselbrecht, Martin; Nikol, Gabriel Martin; Mahr, Lukas; Naehr, Daniel; Steuer, Simon; Wiesemann, Gabriele; Mueller, Thomas; Nicklas, Daniela; Wieland, Thomas</t>
  </si>
  <si>
    <t>Measure particulate matter by yourself: data-quality monitoring in a citizen science project</t>
  </si>
  <si>
    <t>JOURNAL OF SENSORS AND SENSOR SYSTEMS</t>
  </si>
  <si>
    <t>AIR-QUALITY; POLLUTION; GERMANY</t>
  </si>
  <si>
    <t>The concern about air quality in urban areas and the impact of particulate matter (PM) on public health is turning into a big debate. A good solution to sensitize people to this issue is to involve them in the process of air quality monitoring. This paper presents contributions in the field of PM measurements using low-cost sensors. We show how a low-cost PM sensor can be extended to transfer data not only over Wi-Fi but also over the LoRa protocol. Then, we identify some of the correlations existing in the data through data analysis. Afterwards, we show how semantic technologies can help model and control sensor data quality in an increasing PM sensor network. We finally wrap up with a conclusion and plans for future work.</t>
  </si>
  <si>
    <t>[Benabbas, Aboubakr; Geisselbrecht, Martin; Nikol, Gabriel Martin; Steuer, Simon; Mueller, Thomas; Nicklas, Daniela] Otto Friedrich Univ Bamberg, Bamberg, Germany; [Mahr, Lukas; Naehr, Daniel; Wieland, Thomas] Hsch Coburg, Coburg, Germany; [Wiesemann, Gabriele] Transit Bamberg, Bamberg, Germany</t>
  </si>
  <si>
    <t>Otto Friedrich University Bamberg; Hochschule Coburg</t>
  </si>
  <si>
    <t>Benabbas, A (corresponding author), Otto Friedrich Univ Bamberg, Bamberg, Germany.</t>
  </si>
  <si>
    <t>aboubakr.benabbas@uni-bamberg.de</t>
  </si>
  <si>
    <t>Nicklas, Daniela/0000-0001-7012-6010; Benabbas, Aboubakr El Hacen/0000-0002-5712-9740</t>
  </si>
  <si>
    <t>Technologie Allianz Oberfranken (TAO); Zentrum Digitalisierung.Bayern (ZD.B)</t>
  </si>
  <si>
    <t>We would like to thank the Technologie Allianz Oberfranken (TAO)11 as well as the Zentrum Digitalisierung.Bayern (ZD.B)12 for their support and funding, without which the equipment and setting up of the Living Lab Bamberg would not have been possible. We would also like to thank Bernd Spaderna for his valuable input and help in the process of writing the paper. Also, we would like to thank Florian Beetz, Frank Phillip Kaiser, Thomas Ostrowski, and Rajko Zschiegner for their collaboration in the first version of the paper (Steuer et al., 2018).</t>
  </si>
  <si>
    <t>COPERNICUS GESELLSCHAFT MBH</t>
  </si>
  <si>
    <t>GOTTINGEN</t>
  </si>
  <si>
    <t>BAHNHOFSALLEE 1E, GOTTINGEN, 37081, GERMANY</t>
  </si>
  <si>
    <t>2194-8771</t>
  </si>
  <si>
    <t>2194-878X</t>
  </si>
  <si>
    <t>J SENS SENS SYST</t>
  </si>
  <si>
    <t>J. Sens. Sens. Systems</t>
  </si>
  <si>
    <t>NOV 5</t>
  </si>
  <si>
    <t>10.5194/jsss-8-317-2019</t>
  </si>
  <si>
    <t>Instruments &amp; Instrumentation</t>
  </si>
  <si>
    <t>JL2VF</t>
  </si>
  <si>
    <t>WOS:000495389200001</t>
  </si>
  <si>
    <t>Norman, LC</t>
  </si>
  <si>
    <t>Norman, Lara Clare</t>
  </si>
  <si>
    <t>No Butterfly Catchers Here! Citizen Science Involvement in Environmental Impact Assessment Compliance Monitoring</t>
  </si>
  <si>
    <t>ENVIRONMENTAL AND PLANNING LAW JOURNAL</t>
  </si>
  <si>
    <t>GOVERNANCE</t>
  </si>
  <si>
    <t>The goals of environmental impact assessment (EIA) include ensuring that environmental harms are minimised, and in maintaining public trust in project proponents and government regulators. However, a lack of capacity and resource to scrutinise the actual environmental impacts of projects subverts the purpose of EIA. This article will argue that an opportunity arises for citizen science to contribute to the regulatory framework of EIA follow-up. A new legislative model is proposed under the Environment Protection and Biodiversity Conservation Act 1999 (Cth) (EPBC Act) in relation to compliance monitoring during the implementation phase of a project. Features of the model include a trigger threshold test for compliance monitoring and an expanded s 134 of the EPBC Act to incorporate the application of citizen science in project approval conditions. Challenges such as the credibility of data and the level of influence of citizen scientists within project management are discussed.</t>
  </si>
  <si>
    <t>[Norman, Lara Clare] Univ Melbourne, Melbourne, Vic, Australia</t>
  </si>
  <si>
    <t>University of Melbourne</t>
  </si>
  <si>
    <t>Norman, LC (corresponding author), Univ Melbourne, Melbourne, Vic, Australia.</t>
  </si>
  <si>
    <t>LAWBOOK CO LTD</t>
  </si>
  <si>
    <t>PYRMONT</t>
  </si>
  <si>
    <t>LEVEL 6, 19 HARRIS ST, PYRMONT, NSW 2009, AUSTRALIA</t>
  </si>
  <si>
    <t>0813-300X</t>
  </si>
  <si>
    <t>ENVIRON PLAN LAW J</t>
  </si>
  <si>
    <t>Environ. Plan. Law J.</t>
  </si>
  <si>
    <t>Law</t>
  </si>
  <si>
    <t>Government &amp; Law</t>
  </si>
  <si>
    <t>GT0FK</t>
  </si>
  <si>
    <t>WOS:000444105300005</t>
  </si>
  <si>
    <t>Loy, RH; Rong, CP; Lai, S; Leong, B; Tun, K</t>
  </si>
  <si>
    <t>Loy, Rebecca H. Y.; Rong, Cheo Pei; Lai, Samantha; Leong, Bryan; Tun, Karenne</t>
  </si>
  <si>
    <t>Citizen science monitoring uncovers resilience of intertidal assemblages in a tropical urban environment</t>
  </si>
  <si>
    <t>5th Asia-Pacific Coral Reef Symposium (APCRS)</t>
  </si>
  <si>
    <t>JUN 19-23, 2023</t>
  </si>
  <si>
    <t>Nus, SINGAPORE</t>
  </si>
  <si>
    <t>COMMUNITY STRUCTURE; MARINE ECOSYSTEMS; COASTAL HABITATS; BIODIVERSITY; DIVERSITY; SEAGRASSES; MANAGEMENT; WATERS; CARBON</t>
  </si>
  <si>
    <t>Coastal intertidal sand and mudflats are home to a rich and uniquely evolved ecological community. With increasing knowledge of the importance of these ecosystems and the threats they are facing, efforts to conserve them have become a priority to many coastal managers. However, these can be constrained by knowledge gaps and resource limitations, and citizen science is an emerging strategy to complement traditional methods of data collection. Intertidal Watch is a citizen science program that was set up in Singapore in 2016 to better understand and monitor the biodiversity of Singapore's urban tropical intertidal ecosystems. It also aims to increase public awareness of marine habitats by involving members of the community in citizen science. Through analyzing eight years of data collected by Intertidal Watch, this study documented rich ecological diversities in four intertidal sand and mudflats located in areas that had been reclaimed between the 1970s and 1980s, with evident community distinctions between a macroalgae-dominant site and the remaining seagrass-dominant sites. While there were fluctuations in biological populations over time, study sites were observed to largely remain resilient to changes in direct anthropogenic pressures. Our study highlights the power of citizen science in facilitating systematic conservation while bringing about positive community benefits.</t>
  </si>
  <si>
    <t>[Loy, Rebecca H. Y.; Lai, Samantha; Leong, Bryan; Tun, Karenne] Natl Pk Board, Natl Biodivers Ctr, Singapore, Singapore; [Rong, Cheo Pei] Republ Polytech, Sch Sports Hlth &amp; Leisure, Singapore, Singapore</t>
  </si>
  <si>
    <t>Loy, RH (corresponding author), Natl Pk Board, Natl Biodivers Ctr, Singapore, Singapore.</t>
  </si>
  <si>
    <t>Rebecca_Loy@nparks.gov.sg</t>
  </si>
  <si>
    <t>, Rebecca/0000-0001-5546-6957</t>
  </si>
  <si>
    <t>10.5343/bms.2023.0104</t>
  </si>
  <si>
    <t>1OY9T</t>
  </si>
  <si>
    <t>WOS:001470213700003</t>
  </si>
  <si>
    <t>Vikström, S; Järvenpää, E; Lehtoranta, V; Lindholm, M; Peltola, T</t>
  </si>
  <si>
    <t>Vikstrom, Suvi; Jarvenpaa, Elise; Lehtoranta, Virpi; Lindholm, Matti; Peltola, Taru</t>
  </si>
  <si>
    <t>Making Sense within Citizen Science: Meanings and Usability of Collective Water Monitoring Data</t>
  </si>
  <si>
    <t>citizen science; environmental monitoring; knowledge co-production; waters; Lake-Sea Wiki; sensemaking</t>
  </si>
  <si>
    <t>In addition to relevant and reliable data, sustainability governance depends on the ability of the data to foster shared understanding. Drawing on critical data studies, this study investigates the process of sensemaking embedded in the data practises of digital citizen science (CS), focusing on the Finnish platform Lake-Sea Wiki. Originally developed in response to citizen initiatives and maintained by a research institute responsible for official national water monitoring, the platform integrates data on water bodies from both citizen observers and authorities. Through qualitative analysis of two surveys and a workshop for citizen observers and water monitoring experts, as well as media content and collaborative observations, the study investigates how actors involved in water monitoring perceive the meanings and usability of CS and the data it produces. The results indicate that the case information system fosters communication among actors, but mostly indirectly, limiting the development of shared understanding. A central inconsistency in sensemaking lies in experts perceiving CS producing more valuable information when citizens are solely involved as observers, whereas active citizen observers emphasise the value of more engaged forms of collaboration, allowing their knowledge of data practises to be utilised. Furthermore, while significant sources of motivation for citizen observers are internal factors, such as benefitting scientific understanding and environmental decision-making, experts rely on external means of motivation. This study highlights the need for transparent, inclusive, and context-sensitive formulation of data practises to enhance the quality, usability, and actionability of CS.</t>
  </si>
  <si>
    <t>[Vikstrom, Suvi] Finnish Environm Inst Syke, Helsinki, Finland; [Vikstrom, Suvi] Univ Eastern Finland, Kuopio, Finland</t>
  </si>
  <si>
    <t>Finnish Environment Institute; University of Eastern Finland</t>
  </si>
  <si>
    <t>Vikström, S (corresponding author), Finnish Environm Inst Syke, Helsinki, Finland.;Vikström, S (corresponding author), Univ Eastern Finland, Kuopio, Finland.</t>
  </si>
  <si>
    <t>suvi.vikstrom@syke.fi</t>
  </si>
  <si>
    <t>; Vikström, Suvi/AAC-2525-2021</t>
  </si>
  <si>
    <t>Järvenpää, Elise/0009-0000-7486-5304;</t>
  </si>
  <si>
    <t>Research Council of Finland [343193, 349984]</t>
  </si>
  <si>
    <t>Research Council of Finland(Research Council of Finland)</t>
  </si>
  <si>
    <t>This study was funded by the Research Council of Finland [grants no 343193 and 349984] .</t>
  </si>
  <si>
    <t>10.5334/cstp.889</t>
  </si>
  <si>
    <t>AU7IU</t>
  </si>
  <si>
    <t>WOS:001657226700001</t>
  </si>
  <si>
    <t>Koedel, U; Dietrich, P; Herrmann, T; Liang, CSE; Ritter, O; Roettenbacher, J; Schuetze, FM; Schuetze, SV; Thoboell, JC; Schuetze, C</t>
  </si>
  <si>
    <t>Koedel, Uta; Dietrich, Peter; Herrmann, Thora; Liang, Christine; Ritter, Oscar; Roettenbacher, Johannes; Schuetze, Fabian M.; Schuetze, Sophia V.; Thoboell, Jakob C.; Schuetze, Claudia</t>
  </si>
  <si>
    <t>Enhancing citizen science impact in environmental monitoring: Targeted engagement strategies with stakeholder groups</t>
  </si>
  <si>
    <t>citizen science (CS); environmental monitoring; urban climate; stakeholder analysis; value proposition canvas (VPC); key performance indicators (KPIs); business marketing strategies</t>
  </si>
  <si>
    <t>Understanding the motivations and benefits of citizen science (CS) participants is critical to the success of environmental science projects that rely on data collection from engaged citizens. Tailored communication with citizen scientists is essential, leading to the need to target specific societal groups for extensive and high-quality data sets. The purpose of the study was to apply marketing concepts such as stakeholder analysis, value proposition canvas (VPC), and key performance indicators (KPIs) to CS projects. The study examined the extent to which these strategies can be applied to CS projects and add value, resulting in improved recruitment and retention of participants, as well as improved project management. The dynamic landscape of CS projects requires adapted business-oriented approaches supporting ongoing participation with high motivation, acknowledging community needs, and recognizing institutional scientists, akin to targeting potential customers. The case study focuses on the CityCLIM initiative, an EU-funded project collecting urban climate data, especially air temperature, using mobile weather stations. The CityCLIM VPC, analyzing stakeholder groups, facilitated tailored communication strategies by analyzing stakeholder groups and highlighting the effectiveness of the CS cycling initiative within the Stadtradeln program. Impact KPIs served as a roadmap for strategic refinement, while data quality KPIs identified deficiencies, guiding adjustments to the campaign. Applied marketing tools improved project planning, engagement, and evaluation, demonstrating the potential of this concept. Adapting marketing tools to recruitment and communication strategies benefits CS projects by targeting specific groups. The holistic integration of stakeholder analysis, VPC, and KPIs streamlines project management and creates a framework for sustainable success. This adaptation forms a robust toolkit for CS project coordinators, contributing to effective communication, engagement, and impact assessment. Applying marketing tools significantly increases CS projects' reach and impact, ensuring long-term success and meaningful scientific contributions.</t>
  </si>
  <si>
    <t>[Koedel, Uta; Dietrich, Peter; Liang, Christine; Schuetze, Fabian M.; Schuetze, Sophia V.; Schuetze, Claudia] Helmholtz Ctr Environm Res GmbH UFZ, Dept Monitoring &amp; Explorat Technol, Leipzig, Germany; [Dietrich, Peter] Eberhard Karls Univ Tubingen, Fac Sci, Work Grp Environm &amp; Engn Geophys, Tubingen, Germany; [Herrmann, Thora] Univ Oulu, Biodiverse Anthropocenes Profiling Program, Hist Culture &amp; Commun Studies Res Unit, Fac Humanities, Oulu, Finland; [Herrmann, Thora] Helmholtz Ctr Environm Res GmbH UFZ, Dept Biodivers &amp; People, Leipzig, Germany; [Ritter, Oscar] Leibniz Inst Tropospher Res eV, Leipzig, Germany; [Roettenbacher, Johannes; Thoboell, Jakob C.] Univ Leipzig, Leipzig Inst Meteorol, Leipzig, Germany; [Schuetze, Fabian M.] Leipzig Univ Appl Sci HTWK Leipzig, Fac Engn, Leipzig, Germany; [Schuetze, Sophia V.] Univ Cape Town, UTC Grad Sch Business, Cape Town, South Africa</t>
  </si>
  <si>
    <t>Helmholtz Association; Helmholtz Center for Environmental Research (UFZ); Eberhard Karls University of Tubingen; University of Oulu; Helmholtz Association; Helmholtz Center for Environmental Research (UFZ); Leipzig University; University of Cape Town</t>
  </si>
  <si>
    <t>Koedel, U (corresponding author), Helmholtz Ctr Environm Res GmbH UFZ, Dept Monitoring &amp; Explorat Technol, Leipzig, Germany.</t>
  </si>
  <si>
    <t>uta.koedel@ufz.de</t>
  </si>
  <si>
    <t>; Schuetze, Claudia/F-4566-2015; Dietrich, Peter/L-9919-2014</t>
  </si>
  <si>
    <t>Ritter, Oscar/0009-0007-7550-0412; Liang, Yiqing/0000-0003-2709-7060;</t>
  </si>
  <si>
    <t>HORIZON 2020 Research and Innovation Program [101036814]; German Federal Ministry of Education and Research</t>
  </si>
  <si>
    <t>HORIZON 2020 Research and Innovation Program(Horizon 2020); German Federal Ministry of Education and Research(Federal Ministry of Education &amp; Research (BMBF))</t>
  </si>
  <si>
    <t>The completion of this scientific paper was made possible by the dedicated efforts of the CityCLIM project. We would like to thank the European Union's HORIZON 2020 Research and Innovation Program for providing essential funding under Grant Agreement No. 101036814. This support has been instrumental in advancing our research and contributing to the success of the CityCLIM CS initiative.r The author(s) declare financial support was received for the research, authorship, and/or publication of this article. HORIZON 2020 Research and Innovation Program, Grant Agreement No. 101036814. The Meteorologie hautnah project was funded by the Hochschulwettbewerb 2022, a project of the German Federal Ministry of Education and Research.</t>
  </si>
  <si>
    <t>MAY 20</t>
  </si>
  <si>
    <t>10.3389/fenvs.2024.1375675</t>
  </si>
  <si>
    <t>ST6B5</t>
  </si>
  <si>
    <t>WOS:001236726200001</t>
  </si>
  <si>
    <t>Pucino, N; Kennedy, DM; Carvalho, RC; Allan, B; Ierodiaconou, D</t>
  </si>
  <si>
    <t>Pucino, Nicolas; Kennedy, David M.; Carvalho, Rafael C.; Allan, Blake; Ierodiaconou, Daniel</t>
  </si>
  <si>
    <t>Citizen science for monitoring seasonal-scale beach erosion and behaviour with aerial drones</t>
  </si>
  <si>
    <t>FROM-MOTION PHOTOGRAMMETRY; UAV PHOTOGRAMMETRY; SANDY BEACHES; LOW-COST; TERRESTRIAL LIDAR; SHORELINE CHANGE; COASTAL EROSION; TIME-SERIES; VEHICLES; TOPOGRAPHY</t>
  </si>
  <si>
    <t>Sandy beaches are highly dynamic systems which provide natural protection from the impact of waves to coastal communities. With coastal erosion hazards predicted to increase globally, data to inform decision making on erosion mitigation and adaptation strategies is becoming critical. However, multi-temporal topographic data over wide geographical areas is expensive and time consuming and often requires highly trained professionals. In this study we demonstrate a novel approach combining citizen science with low-cost unmanned aerial vehicles that reliably produces survey-grade morphological data able to model sediment dynamics from event to annual scales. The high-energy wave-dominated coast of south-eastern Australia, in Victoria, is used as a field laboratory to test the reliability of our protocol and develop a set of indices to study multi-scale erosional dynamics. We found that citizen scientists provide unbiased data as accurate as professional researchers. We then observed that open-ocean beaches mobilise three times as much sediment as embayed beaches and distinguished between slowed and accelerated erosional modes. The data was also able to assess the efficiency of sand nourishment for shore protection. Our citizen science protocol provides high quality monitoring capabilities, which although subject to important legislative preconditions, it is applicable in other parts of the world and transferable to other landscape systems where the understanding of sediment dynamics is critical for management of natural or anthropogenic processes.</t>
  </si>
  <si>
    <t>[Pucino, Nicolas; Carvalho, Rafael C.; Allan, Blake; Ierodiaconou, Daniel] Deakin Univ, Sch Life &amp; Environm Sci, Warrnambool, Australia; [Kennedy, David M.] Univ Melbourne, Sch Geog, Melbourne, Vic, Australia</t>
  </si>
  <si>
    <t>Deakin University; University of Melbourne</t>
  </si>
  <si>
    <t>Pucino, N (corresponding author), Deakin Univ, Sch Life &amp; Environm Sci, Warrnambool, Australia.</t>
  </si>
  <si>
    <t>npucino@deakin.edu.au</t>
  </si>
  <si>
    <t>Ierodiaconou, Daniel/B-9915-2008; Carvalho, Rafael/AAX-1985-2021</t>
  </si>
  <si>
    <t>Allan, Blake/0000-0003-0101-3412; Carvalho, Rafael/0000-0003-0790-5614; Pucino, Nicolas/0000-0001-6260-6647</t>
  </si>
  <si>
    <t>State of Victoria Department of Environment, Land, Water and Planning (DELWP) under the Victorian Coastal Monitoring Program, Deakin University; University of Melbourne</t>
  </si>
  <si>
    <t>State of Victoria Department of Environment, Land, Water and Planning (DELWP) under the Victorian Coastal Monitoring Program, Deakin University; University of Melbourne(University of Melbourne)</t>
  </si>
  <si>
    <t>Funding for this project was provided by the State of Victoria Department of Environment, Land, Water and Planning (DELWP) under the Victorian Coastal Monitoring Program, Deakin University and The University of Melbourne. Apollo Bay nourishment data has been provided by Hannah Fallon (DELWP). We are grateful to Karina Sorrell and all the citizen scientists involved in the collection of the data.</t>
  </si>
  <si>
    <t>10.1038/s41598-021-83477-6</t>
  </si>
  <si>
    <t>QT6VP</t>
  </si>
  <si>
    <t>WOS:000626728100029</t>
  </si>
  <si>
    <t>Saoud, Z; Fontaine, C; Loïs, G; Julliard, R; Rakotoniaina, I</t>
  </si>
  <si>
    <t>Saoud, Zakaria; Fontaine, Colin; Lois, Gregoire; Julliard, Romain; Rakotoniaina, Iandry</t>
  </si>
  <si>
    <t>Miss-identification detection in citizen science platform for biodiversity monitoring using machine learning</t>
  </si>
  <si>
    <t>ECOLOGICAL INFORMATICS</t>
  </si>
  <si>
    <t>Citizen sciences; Machine learning; Data validation; Data mining; SPIPOLL</t>
  </si>
  <si>
    <t>In the recent years, several citizen science platforms for biodiversity monitoring have emerged. These platforms represent a powerful tool for collecting biodiversity data for researchers and increasing the knowledge of participants. Typical biodiversity data are species names observed at a given time and place by numerous participants. The use of photos to document observations allows data validation, in particular validation of species identification, a key aspect needed for the quality control of such databases. However, the increasing amount of data collected represents a major challenge given the limited number of co-opted experts dedicated to data validation. Therefore, detecting miss identifications can be very helpful to focus the limited expert workforce on dubious identifications. In this paper, we test various machine learning approaches to detect miss-identifications in such databases based on various features extracted form the history of validated observations. The proposed model can be used to automate the data validation process in the SPIPOLL platform.</t>
  </si>
  <si>
    <t>[Saoud, Zakaria; Fontaine, Colin; Lois, Gregoire; Julliard, Romain; Rakotoniaina, Iandry] Museum Natl Hist Nat, Ctr Ecol &amp; Sci Conservat, UMR 7204 CNRS MNHN SU, 61 Rue Buffon, F-75005 Paris, France</t>
  </si>
  <si>
    <t>Museum National d'Histoire Naturelle (MNHN)</t>
  </si>
  <si>
    <t>Saoud, Z (corresponding author), Museum Natl Hist Nat, Ctr Ecol &amp; Sci Conservat, UMR 7204 CNRS MNHN SU, 61 Rue Buffon, F-75005 Paris, France.</t>
  </si>
  <si>
    <t>zsaoud@mnhn.fr; colin.fontaine@mnhn.fr; gregoire.lois@mnhn.fr; romain.julliard@mnhn.fr; iandry.rakotoniaina@mnhn.fr</t>
  </si>
  <si>
    <t>Fontaine, Colin/N-6469-2015</t>
  </si>
  <si>
    <t>Fontaine, Colin/0000-0001-5367-5675</t>
  </si>
  <si>
    <t>l'Agence Nationale de la Recherche (ANR); National Museum of Natural History (MNHN); Office for Insects and their Environment (Opie)</t>
  </si>
  <si>
    <t>l'Agence Nationale de la Recherche (ANR)(Agence Nationale de la Recherche (ANR)); National Museum of Natural History (MNHN); Office for Insects and their Environment (Opie)</t>
  </si>
  <si>
    <t>This study was supported by l'Agence Nationale de la Recherche (ANR), the National Museum of Natural History (MNHN) and the Office for Insects and their Environment (Opie). We thank Mathieu De Flores (Opie) for his precious help with all the entomological work and Gregoire LOIS for providing us the SPIPOLL data. Further, we are grateful to all active SPIPOLL users who helped with data collection: Barbara Mai, Gilles Jardinier, Sagittaire06, MichelMarly, Ascalaf07, Janmar, Prisca and Leonlebourdoun.</t>
  </si>
  <si>
    <t>1574-9541</t>
  </si>
  <si>
    <t>1878-0512</t>
  </si>
  <si>
    <t>ECOL INFORM</t>
  </si>
  <si>
    <t>Ecol. Inform.</t>
  </si>
  <si>
    <t>10.1016/j.ecoinf.2020.101176</t>
  </si>
  <si>
    <t>OV0SP</t>
  </si>
  <si>
    <t>WOS:000591931200002</t>
  </si>
  <si>
    <t>Milagres, TD; Bermejo, A; de Felipe, ML; da Silva, OS; Mora-Urda, AI; Galvez, R</t>
  </si>
  <si>
    <t>Milagres, Tarcisio de Freitas; Bermejo, Angela; de Felipe, Marcos Lopez; da Silva, Onilda Santos; Mora-Urda, Ana I.; Galvez, Rosa</t>
  </si>
  <si>
    <t>Thinking outside the box: Citizen science to monitor phlebotomine sand flies in Spain</t>
  </si>
  <si>
    <t>ACTA TROPICA</t>
  </si>
  <si>
    <t>Sustainability; Innovation; Sand fly; Citizen science; Education; Flebocollect; map</t>
  </si>
  <si>
    <t>SERGENTOMYIA-MINUTA; VECTOR; LEISHMANIASIS; KNOWLEDGE; SPREAD; SURVEILLANCE; EUROPE</t>
  </si>
  <si>
    <t>The Flebocollect project is a citizen science (CS) initiative in which a diverse group of participants, mainly highschool students, were requested to monitor sand flies (fm. Psychodidae; sfm. Phlebotominae), vectors of Leishmania parasites and Phlebovirus. The project generated entomological data that was then used to prepare an online free-access sand fly monitoring map providing information about the distribution areas of this vector group in Spain. This initiative contributes to our understanding of sand fly dynamics and thus of the risk of disease transmission, while promoting education and public health engagement in line with Sustainable Development Goals (SDGs). We were also able to confirm the potential of CS for advancing research and strengthening sustainable vector surveillance, thus meeting the demands of The Global Vector Control Response 2017-2030 program. Didactic impact was analyzed through a test distributed to the participants before and after the educational program (pre- and post-test respectively) to assess the potential of CS as a learning tool and to promote a better attitude towards science. The project's success in Spain demonstrates that similar citizen science initiatives could be replicated elsewhere, provided they receive funding through dedicated scientific outreach budgets and are designed with long-term sustainability in mind.</t>
  </si>
  <si>
    <t>[Milagres, Tarcisio de Freitas; Bermejo, Angela; de Felipe, Marcos Lopez; Mora-Urda, Ana I.; Galvez, Rosa] Flebocollect Med Entomol Citizen Sci Grp, Madrid, Spain; [Bermejo, Angela; Mora-Urda, Ana I.; Galvez, Rosa] Univ Autonoma Madrid, Sch Educ &amp; Teacher Training, Dept Specif Didact, Madrid, Spain; [de Felipe, Marcos Lopez] Inst Salud Carlos III, Lab Med Entomol, Natl Ctr Microbiol, Madrid, Spain; [da Silva, Onilda Santos] Univ Fed Rio Grande do Sul, Dept Microbiol Immunol &amp; Parasitol, Porto Alegre, Brazil</t>
  </si>
  <si>
    <t>Autonomous University of Madrid; Instituto de Salud Carlos III; Centro Nacional de Microbiologia (CNM); Universidade Federal do Rio Grande do Sul</t>
  </si>
  <si>
    <t>Bermejo, A; Galvez, R (corresponding author), Flebocollect Med Entomol Citizen Sci Grp, Madrid, Spain.;Bermejo, A; Galvez, R (corresponding author), Univ Autonoma Madrid, Sch Educ &amp; Teacher Training, Dept Specif Didact, Madrid, Spain.</t>
  </si>
  <si>
    <t>angela.bermejo@estudiante.uam.es; rosa.galvez@uam.es</t>
  </si>
  <si>
    <t>Mora-Urda, Ana/AAF-5828-2019; de Freitas Milagres, Tarcísio/AAM-6172-2020; da Silva, Onilda/K-3606-2013; Gálvez, Rosa/B-4859-2014; Lopez de Felipe, Marcos/OKT-2669-2025</t>
  </si>
  <si>
    <t>de Freitas Milagres, Tarcísio/0000-0002-7397-1612; Gálvez, Rosa/0000-0001-9247-3136;</t>
  </si>
  <si>
    <t>Spanish Foundation for Science and Technology-Ministry of Science and Innovation [592032, FCT-21-16782]</t>
  </si>
  <si>
    <t>Spanish Foundation for Science and Technology-Ministry of Science and Innovation</t>
  </si>
  <si>
    <t>This study was funded by the Spanish Foundation for Science and Technology-Ministry of Science and Innovation, to carry out activities in the field for the promotion of scientific, technological and innovation culture (Id. BDNS n degrees 592032) through the project Flebocollect: Didactic strategy for the development of scientific competence through the study of emerging diseases reference FCT-21-16782.</t>
  </si>
  <si>
    <t>0001-706X</t>
  </si>
  <si>
    <t>1873-6254</t>
  </si>
  <si>
    <t>ACTA TROP</t>
  </si>
  <si>
    <t>Acta Trop.</t>
  </si>
  <si>
    <t>10.1016/j.actatropica.2025.107619</t>
  </si>
  <si>
    <t>APR 2025</t>
  </si>
  <si>
    <t>2RY8B</t>
  </si>
  <si>
    <t>WOS:001489887000001</t>
  </si>
  <si>
    <t>Mahajan, S; Mondardini, R; Helbing, D</t>
  </si>
  <si>
    <t>Mahajan, Sachit; Mondardini, Rosy; Helbing, Dirk</t>
  </si>
  <si>
    <t>Democratizing air: A co-created citizen science approach to indoor air quality monitoring</t>
  </si>
  <si>
    <t>SUSTAINABLE CITIES AND SOCIETY</t>
  </si>
  <si>
    <t>Citizen science; Indoor air quality; Co-creation; Open source; Value-sensitive design</t>
  </si>
  <si>
    <t>PARTICULATE MATTER; FRAMEWORK; POLLUTION; EXPOSURE</t>
  </si>
  <si>
    <t>Indoor air quality (IAQ) is crucial for public health, yet many remain unaware of indoor pollutants. Although Citizen Science has enhanced outdoor air quality understanding, its application to IAQ remains underexplored. This study introduces anew co-creation methodology that addresses key limitations in existing IAQ monitoring practices by integrating value-sensitive design principles and a 'facilitated emergence' paradigm. Through three co-creation workshops, we engaged multiple stakeholders in every stage, from problem definition to data interpretation. We employed adaptive facilitation strategies to effectively balance power dynamics among stakeholders, ensuring inclusive decision-making and mitigating potential biases. Our 30-day data collection campaign provided real-time measurements of Particulate Matter (PM) concentrations. Analysis revealed several locations with Indoor/Outdoor (I/O) PM2.5 ratios close to or above 1, uncovering hidden IAQ complexities and emphasizing the need for localized monitoring. We showed how citizen-generated data can improve spatial resolution, detecting local variations missed by official networks. Feedback from the co-creation workshops demonstrated shifts in participants' perceptions regarding IAQ, accountability, and their role in environmental decision-making, moving from passive awareness to active engagement. Our findings demonstrate how this value-sensitive and community-driven bottom-up approach can enhance air quality assessment, inform targeted IAQ management strategies, and empower citizens in environmental health decisions.</t>
  </si>
  <si>
    <t>[Mahajan, Sachit; Helbing, Dirk] Swiss Fed Inst Technol, Computat Social Sci, Stampfenbachstr 48, CH-8092 Zurich, Switzerland; [Mondardini, Rosy] Citizen Sci Zurich, Kurvenstr 17, CH-8006 Zurich, Switzerland; [Helbing, Dirk] Complex Sci Hub Vienna, Josefstadter Str 39, A-1080 Vienna, Austria</t>
  </si>
  <si>
    <t>Swiss Federal Institutes of Technology Domain; ETH Zurich</t>
  </si>
  <si>
    <t>Mahajan, S (corresponding author), Swiss Fed Inst Technol, Computat Social Sci, Stampfenbachstr 48, CH-8092 Zurich, Switzerland.</t>
  </si>
  <si>
    <t>sachit.mahajan@gess.ethz.ch</t>
  </si>
  <si>
    <t>Mahajan, Sachit/0000-0001-9558-8895; Mondardini, Maria Rosa/0000-0001-5691-4918</t>
  </si>
  <si>
    <t>European Research Council (ERC) under the European Union's Horizon 2020 research and innovation programme [833168]; Project FuturICT 2.0-Large scale experiments and simulations for the second generation of FuturICT [170226]</t>
  </si>
  <si>
    <t>European Research Council (ERC) under the European Union's Horizon 2020 research and innovation programme(European Research Council (ERC)); Project FuturICT 2.0-Large scale experiments and simulations for the second generation of FuturICT</t>
  </si>
  <si>
    <t>Sachit Mahajan and Dirk Helbing acknowledge support through the project CoCi: Co-Evolving City Life, which received funding from the European Research Council (ERC) under the European Union's Horizon 2020 research and innovation programme under grant agreement No. 833168. The authors are grateful to all the participants who contributed to our co-creation workshops. The authors would further like to ex-press their sincere thanks to Ms. Ursina Roffler for her organisational assistance and contributions throughout the project.An earlier phase of the development of the air quality sensor was supported by the project FuturICT 2.0-Large scale experiments and simulations for the second generation of FuturICT under grant no. 170226 (for more information see https://futurict2.eu) . In this connec-tion, we would like to thank Stefan Klauser, Fatime Ahmeti, Mark Ballandies, Yugdeep Bangar, Marcus Dapp, Christoph Laib, Open Geneva (Thomas Maillart et al.) , Octanis (Sam Sulaimanov et al.) , Logair, Sensirion, and ublox for the great collaboration.</t>
  </si>
  <si>
    <t>2210-6707</t>
  </si>
  <si>
    <t>2210-6715</t>
  </si>
  <si>
    <t>SUSTAIN CITIES SOC</t>
  </si>
  <si>
    <t>Sust. Cities Soc.</t>
  </si>
  <si>
    <t>10.1016/j.scs.2024.105890</t>
  </si>
  <si>
    <t>OCT 2024</t>
  </si>
  <si>
    <t>Construction &amp; Building Technology; Green &amp; Sustainable Science &amp; Technology; Energy &amp; Fuels</t>
  </si>
  <si>
    <t>Construction &amp; Building Technology; Science &amp; Technology - Other Topics; Energy &amp; Fuels</t>
  </si>
  <si>
    <t>L0E3K</t>
  </si>
  <si>
    <t>WOS:001347536800001</t>
  </si>
  <si>
    <t>Lehtiniemi, M; Outinen, O; Puntila-Dodd, R</t>
  </si>
  <si>
    <t>Lehtiniemi, Maiju; Outinen, Okko; Puntila-Dodd, Riikka</t>
  </si>
  <si>
    <t>Citizen science provides added value in the monitoring for coastal non-indigenous species</t>
  </si>
  <si>
    <t>Public observations; Non-indigenous species; Rhithropanopeus harrisii; Monitoring; Targeted management; Community science</t>
  </si>
  <si>
    <t>CRAB RHITHROPANOPEUS-HARRISII; MUD CRAB; ECOLOGICAL RESEARCH; DATA QUALITY; BALTIC SEA; GOULD; INFORMATION; OCCUPANCY; VOLUNTEER; INVASIONS</t>
  </si>
  <si>
    <t>Continuous and comprehensive monitoring is one of the most important practices to trace changes in the state of the environment and target management efforts. Yet, governmental resources are often insufficient for monitoring all required environmental parameters, and therefore authorities have started to utilize citizen observations to supplement and increase the scale of monitoring. The aims of the present study were to show the potential of citizen science in environmental monitoring by utilising citizen observations of the non-indigenous Harris mud crab Rhithropanopeus harrisii in Finnish waters, where coastal monitoring is insufficient to estimate the distribution and spread of non-indigenous species. Harris mud crab has shown measurable impact locally and is considered invasive. For reporting the status of invasions to national and European authorities and planning for potential eradication efforts, up to date knowledge on NIS ranges are needed. Citizen observations on the species were collected from the first observation onwards between 2009 and 2018, at first via email and later through an active citizen observation web portal (Invasive Alien Species Portal). The outcomes of the study indicate that species-specific citizen observations can be a beneficial addition to supplement national monitoring programs to fulfil legislative reporting requirements and to target potential management. Recognizable species and geographical areas with low biodiversity provide a good opportunity to utilize citizen observations. Moreover, citizen observations may enable distribution assessments for certain species that would otherwise require excessive resources and sampling efforts.</t>
  </si>
  <si>
    <t>[Lehtiniemi, Maiju; Outinen, Okko; Puntila-Dodd, Riikka] Finnish Environm Inst, Marine Res Ctr, Latokartanonkaari 11, Helsinki 00790, Finland</t>
  </si>
  <si>
    <t>Lehtiniemi, M (corresponding author), Finnish Environm Inst, Marine Res Ctr, Latokartanonkaari 11, Helsinki 00790, Finland.</t>
  </si>
  <si>
    <t>maiju.lehtiniemi@ymparisto.fi</t>
  </si>
  <si>
    <t>; Lehtiniemi, Maiju/AAN-6012-2020</t>
  </si>
  <si>
    <t>Puntila, Riikka/0000-0002-9843-9112; Outinen, Okko/0000-0001-8786-7560</t>
  </si>
  <si>
    <t>Finnish Ministry of Environment; Interreg Baltic Sea Region Programme</t>
  </si>
  <si>
    <t>Lauri Urho (LUKE), Anna Pakkala, Matti Lindholm (SYKE) and the LUOMUS IAS portal team are greatly acknowledged for the development work with the Baltic IAS observation platforms. The research leading to these results has received funding from the Finnish Ministry of Environment (project VISEVARIS) and the Interreg Baltic Sea Region Programme 2014-2020 for the Completing management options in the Baltic Sea Region to reduce risk of invasive species introduction by shipping (COMPLETE). The funders have no role in the study design or in the preparation of the manuscript. We would also like to thank all citizen observers that contributed to our study and wish that recreationists keep reporting observations and remain active in the future. 4 anonymous referees are also acknowledged for fruitful comments.</t>
  </si>
  <si>
    <t>10.1016/j.jenvman.2020.110608</t>
  </si>
  <si>
    <t>LO3JO</t>
  </si>
  <si>
    <t>WOS:000533525100015</t>
  </si>
  <si>
    <t>Valerio, F</t>
  </si>
  <si>
    <t>Valerio, Federico</t>
  </si>
  <si>
    <t>Citizen science to monitor the demolition of the Morandi bridge in Genoa (Italy)</t>
  </si>
  <si>
    <t>EPIDEMIOLOGIA &amp; PREVENZIONE</t>
  </si>
  <si>
    <t>Italian</t>
  </si>
  <si>
    <t>[Valerio, Federico] Ecoist Reggio Emilia &amp; Genova, Genoa, Italy</t>
  </si>
  <si>
    <t>Valerio, F (corresponding author), Ecoist Reggio Emilia &amp; Genova, Genoa, Italy.</t>
  </si>
  <si>
    <t>federico.valerio@icloud.com</t>
  </si>
  <si>
    <t>INFERENZE SCARL</t>
  </si>
  <si>
    <t>MILANO</t>
  </si>
  <si>
    <t>VIA RICCIARELLI N 29, MILANO, 20148, ITALY</t>
  </si>
  <si>
    <t>1120-9763</t>
  </si>
  <si>
    <t>2385-1937</t>
  </si>
  <si>
    <t>EPIDEMIOL PREV</t>
  </si>
  <si>
    <t>Epidemiol. Prev.</t>
  </si>
  <si>
    <t>JUL-AUG</t>
  </si>
  <si>
    <t>10.19191/EP19.4.P221.075</t>
  </si>
  <si>
    <t>Public, Environmental &amp; Occupational Health</t>
  </si>
  <si>
    <t>NX0SP</t>
  </si>
  <si>
    <t>WOS:000575429500009</t>
  </si>
  <si>
    <t>Rajagopalan, P; Andamon, MM; Paolini, R</t>
  </si>
  <si>
    <t>Rajagopalan, Priyadarsini; Andamon, Mary Myla; Paolini, Riccardo</t>
  </si>
  <si>
    <t>Investigating thermal comfort and energy impact through microclimate monitoring- a citizen science approach</t>
  </si>
  <si>
    <t>ENERGY AND BUILDINGS</t>
  </si>
  <si>
    <t>Microclimate monitoring; Citizen science; Low-income housing; Energy simulation; Thermal discomfort</t>
  </si>
  <si>
    <t>1995 HEAT-WAVE; CLIMATE-CHANGE; LOCAL CLIMATE; PERFORMANCE; HEALTH; INDEX; TEMPERATURE; MELBOURNE</t>
  </si>
  <si>
    <t>The increasing frequency of extreme hot days has a considerable impact on health and energy. Heat stress related to high temperatures cause increased rates of mortality and morbidity, particularly amongst vulnerable populations such as those belonging to lower socio-economic groups. Most studies on heat related mortality and morbidity generally use temperatures from weather stations that do not consider the urban heat island (UHI) effect, leading to inaccurate predictions, particularly during heat waves. This study uses data collected by citizen scientists in predicting outdoor thermal comfort as well as indoor heat stress and peak cooling energy for low income housing in Australia. The results show that the outdoor Universal thermal climate index (UTCI) values estimated during hot afternoon ranged from 26 degrees C to 46 degrees C which equate to moderate to extreme heat stress. The indoor Discomfort index (DI) values calculated inside the living and bedrooms were below the heat stress limits (DI &lt; 28) when Bureau of Meteorology (BoM) data was used as the input for calculation. However, indoor DI exceeded the threshold when actual on-ground data was used in the calculations, indicating that people will be at severe risks of heat related illnesses. It was also found that 60% of the time DI exceeded the threshold value as opposed to 2% with the use of BoM data. Furthermore, the peak cooling load was increased by 24% when on-ground data was used. The results show that low income houses and the neighbourhoods where they are located can cause significant heat related health risks which are normally overlooked in typical simulation studies. This study demonstrated a cost-effective way of collecting microclimate data for urban heat island mitigation and adaptation studies. (C) 2020 Published by Elsevier B.V.</t>
  </si>
  <si>
    <t>[Rajagopalan, Priyadarsini; Andamon, Mary Myla] RMIT Univ, Sustainable Bldg Innovat Lab, Melbourne, Vic, Australia; [Paolini, Riccardo] Univ New South Wales, Fac Built Environm, Sydney, NSW, Australia</t>
  </si>
  <si>
    <t>Royal Melbourne Institute of Technology (RMIT); University of New South Wales Sydney</t>
  </si>
  <si>
    <t>Rajagopalan, P (corresponding author), RMIT Univ, Sustainable Bldg Innovat Lab, Melbourne, Vic, Australia.</t>
  </si>
  <si>
    <t>Priyadarsini.rajagopalan@rmit.edu.au</t>
  </si>
  <si>
    <t>Andamon, Mary Myla/AFL-7281-2022; Paolini, Riccardo/I-6937-2015</t>
  </si>
  <si>
    <t>Andamon, Mary Myla/0000-0003-2979-277X;</t>
  </si>
  <si>
    <t>Citizen Science Grants element of the Inspiring Australia - Science Engagement Programme by the Department of Industry, Innovation and Scince, Australia, Innovation and Science [CSG55969]</t>
  </si>
  <si>
    <t>Citizen Science Grants element of the Inspiring Australia - Science Engagement Programme by the Department of Industry, Innovation and Scince, Australia, Innovation and Science</t>
  </si>
  <si>
    <t>This project is funded through the Citizen Science Grants element of the Inspiring Australia - Science Engagement Programme (CSG55969) by the Department of Industry, Innovation and Scince, Australia, Innovation and Science. The authors would like to thank the Australian Government for this opportunity. The authors would also like to thank Prof Mat Santamouris and other members of the project team for contribution in the project. The authors would also like to thank Dr Jonathan Duverge for assisting with the energy simulation.</t>
  </si>
  <si>
    <t>ELSEVIER SCIENCE SA</t>
  </si>
  <si>
    <t>PO BOX 564, 1001 LAUSANNE, SWITZERLAND</t>
  </si>
  <si>
    <t>0378-7788</t>
  </si>
  <si>
    <t>1872-6178</t>
  </si>
  <si>
    <t>ENERG BUILDINGS</t>
  </si>
  <si>
    <t>Energy Build.</t>
  </si>
  <si>
    <t>DEC 15</t>
  </si>
  <si>
    <t>10.1016/j.enbuild.2020.110526</t>
  </si>
  <si>
    <t>Construction &amp; Building Technology; Energy &amp; Fuels; Engineering, Civil</t>
  </si>
  <si>
    <t>Construction &amp; Building Technology; Energy &amp; Fuels; Engineering</t>
  </si>
  <si>
    <t>OI0EA</t>
  </si>
  <si>
    <t>WOS:000582959200007</t>
  </si>
  <si>
    <t>Plummer, KE; Dadam, D; Brereton, T; Dennis, EB; Massimino, D; Risely, K; Siriwardena, GM; Toms, MP</t>
  </si>
  <si>
    <t>Plummer, Kate E.; Dadam, Daria; Brereton, Tom; Dennis, Emily B.; Massimino, Dario; Risely, Kate; Siriwardena, Gavin M.; Toms, Mike P.</t>
  </si>
  <si>
    <t>Trends in butterfly populations in UK gardens-New evidence from citizen science monitoring</t>
  </si>
  <si>
    <t>INSECT CONSERVATION AND DIVERSITY</t>
  </si>
  <si>
    <t>biodiversity; gardens; insect declines; invertebrates; Lepidoptera; population trends; urban; wildlife monitoring</t>
  </si>
  <si>
    <t>ABUNDANCE INDEX; INDICATORS; CONSERVATION; DECLINES; PREDICT; COUNTS; COMMON</t>
  </si>
  <si>
    <t>1. Private gardens are recognised as potentially important refugia for butterflies. Yet little is known about how gardens might be contributing to butterfly conservation, as their restricted accessibility has meant that garden habitats are not well-represented in traditional monitoring schemes. 2. Garden BirdWatch (GBW) is the UK's largest structured bird survey, comprising over 25 years of weekly bird counts from more than 14,000 gardens, predominantly occupying suburban and rural locations. Since 2007, a subset of GBW participants have additionally recorded the weekly abundances of butterflies. Using data for 14 seasons (2007-2020) from 7971 gardens with consistent butterfly monitoring, we present the first garden-specific, national trends for 22 widespread butterfly species (37% of all UK butterflies). 3. Half of the species investigated increased significantly in abundance in gardens between 2007 and 2020. Conversely, only one species, Wall (Lasiommata megera), showed a marginal reduction, though this change was not statistically significant. 4. A strong, positive association between these new, habitat-focused trends and those for UK butterflies more broadly, previously reported by the UK Butterfly Monitoring Scheme (UKBMS), indicates that patterns of abundance in gardens are largely a reflection of the changes that are occurring nationally. However, butterflies do appear to be faring better in gardens compared to the wider landscape. Averaging trends across non-migratory species revealed that GBW recorded significantly greater increases over time than UKBMS. 5. Effective monitoring of butterflies in gardens can produce reliable and informative population trends, and it provides important evidence of the significant role gardens play in sustaining butterfly populations.</t>
  </si>
  <si>
    <t>[Plummer, Kate E.; Dadam, Daria; Massimino, Dario; Risely, Kate; Siriwardena, Gavin M.; Toms, Mike P.] British Trust Ornithol, Nunnery, Thetford, England; [Plummer, Kate E.] Univ Exeter, Ctr Ecol &amp; Conservat, Cornwall, England; [Brereton, Tom; Dennis, Emily B.] Butterfly Conservat, East Lulworth, England; [Dennis, Emily B.] Sch Math Stat &amp; Actuarial Sci, Canterbury, England; [Plummer, Kate E.] British Trust Ornithol, Nunnery, Thetford IP24 2PU, Norfolk, England; [Dadam, Daria] Nat England, Woking, England; [Brereton, Tom] MARINElife, Ringwood, Hants, England; [Risely, Kate] Nat England, Dragonfly House,2 Gilders Way, Norwich NR3 1UB, Norfolk, England</t>
  </si>
  <si>
    <t>British Trust for Ornithology; University of Exeter; British Trust for Ornithology</t>
  </si>
  <si>
    <t>Plummer, KE (corresponding author), British Trust Ornithol, Nunnery, Thetford IP24 2PU, Norfolk, England.</t>
  </si>
  <si>
    <t>kate.plummer@bto.org</t>
  </si>
  <si>
    <t>Massimino, Dario/A-8113-2010</t>
  </si>
  <si>
    <t>Massimino, Dario/0000-0002-5855-4060; Risely, Kate/0000-0002-8003-9364; Dennis, Emily/0000-0003-2692-4415; Plummer, Kate E/0000-0003-0076-4505</t>
  </si>
  <si>
    <t>Garden BirdWatch Research Appeal</t>
  </si>
  <si>
    <t>BTO Garden BirdWatch is funded by its participants through an annual subscription and additional donations, and would not be possible without their generosity and support. This analysis was funded through the Garden BirdWatch Research Appeal and we are very grateful to those who donated so generously to the Appeal. We would like to note our particular thanks to John McCaig, whose interest in and support of this research has been especially generous. Thanks also to Clare Simm for her involvement in the earlier stages of this work, and other GBW and IS staff and volunteers for help with data processing and logistical support.</t>
  </si>
  <si>
    <t>1752-458X</t>
  </si>
  <si>
    <t>1752-4598</t>
  </si>
  <si>
    <t>INSECT CONSERV DIVER</t>
  </si>
  <si>
    <t>Insect. Conserv. Divers.</t>
  </si>
  <si>
    <t>10.1111/icad.12645</t>
  </si>
  <si>
    <t>Biodiversity Conservation; Entomology</t>
  </si>
  <si>
    <t>Biodiversity &amp; Conservation; Entomology</t>
  </si>
  <si>
    <t>LB9G6</t>
  </si>
  <si>
    <t>WOS:000994027700001</t>
  </si>
  <si>
    <t>Stenhouse, A; Perry, T; Grützner, F; Lewis, M; Koh, LP</t>
  </si>
  <si>
    <t>Stenhouse, Alan; Perry, Tahlia; Grutzner, Frank; Lewis, Megan; Koh, Lian Pin</t>
  </si>
  <si>
    <t>EchidnaCSI - Improving monitoring of a cryptic species at continental scale using Citizen Science</t>
  </si>
  <si>
    <t>Biodiversity monitoring; Citizen Science; Conservation; Echidna; Mobile app; Protected area; Remoteness; ARIA plus index</t>
  </si>
  <si>
    <t>PROTECTED AREAS; AUSTRALIAN MAMMALS; BIODIVERSITY CONSERVATION; CLIMATE-CHANGE; PATTERNS; IMPLEMENTATION; EXTINCTION; MANAGEMENT; PAYMENT; DESIGN</t>
  </si>
  <si>
    <t>Short-beaked echidna (Tachyglossus aculeatus) are a cryptic and iconic monotreme found throughout the continent of Australia. Despite observational records spanning many years aggregated in national and state biodiversity databases, the spatial and temporal intensity of sightings is limited. Although the species is of least conservation concern at the global level, a subspecies has been declared endangered on Kangaroo Island in South Australia. We need better population data over the whole continent to inform this species' conservation management. To increase the temporal and spatial resolution of observations which may be used for more accurate population assessments, we developed a mobile app for citizen scientists to easily record echidna sightings and improve the quantity, quality and distribution of data collected for monitoring this species. EchidnaCSI is a free, cross-platform (Android &amp; iOS), open-source app that we developed to collect echidna observational data around Australia. EchidnaCSI has been in use since September 2017 and uses mobile phone sensors to transparently and automatically record metadata, such as species observation location and time and GPS location precision. We examine differences in spatial coverage between these observations and those in existing data repositories in the Atlas of Living Australia and state biodiversity databases, especially in relation to observations in protected areas and to an index of remoteness and accessibility. EchidnaCSI has contributed over 8000 echidna observations from around Australia, more than recorded in all state systems combined, with similar spatial distribution. Although coverage was more limited in some protected areas than the reference data sources, numbers of observations in all remote areas were greater than the reference scientific data except for very remote regions. EchidnaCSI has improved the spatial and temporal intensity of observations for this iconic species and provides a complement to scientific surveys, which might usefully focus on highly protected areas and very remote regions. (c) 2021 The Authors. Published by Elsevier B.V. CC_BY_4.0</t>
  </si>
  <si>
    <t>[Stenhouse, Alan; Perry, Tahlia; Grutzner, Frank; Lewis, Megan] Univ Adelaide, Sch Biol Sci, Adelaide, SA 5005, Australia; [Perry, Tahlia; Grutzner, Frank; Lewis, Megan] Univ Adelaide, Environm Inst, Adelaide, SA 5005, Australia; [Koh, Lian Pin] Natl Univ Singapore, Dept Biol Sci, Singapore, Singapore</t>
  </si>
  <si>
    <t>Adelaide University; University of Adelaide; Adelaide University; University of Adelaide; National University of Singapore</t>
  </si>
  <si>
    <t>Stenhouse, A (corresponding author), Univ Adelaide, Sch Biol Sci, Adelaide, SA 5005, Australia.;Koh, LP (corresponding author), Natl Univ Singapore, Dept Biol Sci, Singapore, Singapore.</t>
  </si>
  <si>
    <t>alan.stenhouse@adelaide.edu.au; lianpinkoh@nus.edu.sg</t>
  </si>
  <si>
    <t>Koh, Lian/A-5794-2010; Grutzner, Frank/ABB-2820-2021; Perry, Tahlia/AAV-9784-2021; Stenhouse, Alan/KEI-0046-2024</t>
  </si>
  <si>
    <t>Grutzner, Frank/0000-0002-3088-7314; Perry, Tahlia/0000-0002-1592-5343; Stenhouse, Alan/0000-0001-9727-4232</t>
  </si>
  <si>
    <t>Australian Government Research Training Program Scholarships; Singapore National Research Foundation [NRF-RSS2019-007]; ARC Future Fellowship [FT160100267]; Australian Research Council [FT160100267] Funding Source: Australian Research Council</t>
  </si>
  <si>
    <t>Australian Government Research Training Program Scholarships(Australian Government); Singapore National Research Foundation(National Research Foundation, Singapore); ARC Future Fellowship(Australian Research Council); Australian Research Council(Australian Research Council)</t>
  </si>
  <si>
    <t>AS and TP were supported by Australian Government Research Training Program Scholarships. LPK is supported by the Singapore National Research Foundation (NRF-RSS2019-007) . FG is supported by an ARC Future Fellowship (FT160100267) . Thanks to other members of the echidnaCSI team: Isabella Wilson, Ella West, Ima Perfetto, Michelle Coulson and Peggy Rismiller. Jarrod Lange from the Hugo Centre for Population and Housing at the University of Adelaide kindly provided assis-tance and advice on evaluating geographic distribution using ARIA+ (2016) and extracted ARIA+ values for our observations. Many thanks to Peter Brenton and colleagues from the Atlas of Living Australia for assistance and advice throughout the project; and also to our app testers and especially all the participants in echidnaCSI who submitted observations. Human ethics clearance for the echidnaCSI project was approved by the University of Adelaide (HREC2019156) .</t>
  </si>
  <si>
    <t>e01626</t>
  </si>
  <si>
    <t>10.1016/j.gecco.2021.e01626</t>
  </si>
  <si>
    <t>TZ0RT</t>
  </si>
  <si>
    <t>WOS:000684184500005</t>
  </si>
  <si>
    <t>Janssen, J; Bogert, M; Gold, M; De Vries, S</t>
  </si>
  <si>
    <t>Janssen, Jordy; Bogert, Marit; Gold, Margaret; De Vries, Sandra</t>
  </si>
  <si>
    <t>Evaluating Participant Outcomes in the Weather Monitoring Citizen Science Project Delft Meet Regen</t>
  </si>
  <si>
    <t>citizen science; participant; outcomes; impact; evaluation; framework</t>
  </si>
  <si>
    <t>AVAILABILITY; RELIABILITY; ENGAGEMENT; KNOWLEDGE; BEHAVIOR</t>
  </si>
  <si>
    <t>Understanding the outcomes and impacts achieved in citizen science (CS) initiatives is essential for evaluating and enhancing participatory research practices. There is increasing attention paid in the literature to the broad range of benefits experienced by participants in CS initiatives. While existing frameworks provide structured guidance for the evaluation of participant outcomes, they might overlook nuanced participant experiences. This study explores outcomes reported by participants from the Delft Meet Regen (Delft Measures Rain, DMR) project, a CS initiative focused on environmental monitoring. Using semi-structured qualitative interviews to inductively collect participant outcomes, we applied a combination of the Individual Learning Outcomes (ILO) and Impact Domain (ID) frameworks to reflect on these outcomes with participants. Participants reported meaningful experiences such as a sense of contribution, increased awareness of rainfall patterns, and strengthened feelings of pre-existing environmental stewardship. These outcomes did not neatly align with predefined categories of the ILO and ID frameworks, and this illustrates the complexity of evaluating participant outcomes. Our findings highlight the value of integrating inductive qualitative methods within structured evaluations. By sharing these findings, we aim to support the continued development of comprehensive evaluation tools that fully capture the complex experiences of citizen scientists.</t>
  </si>
  <si>
    <t>[Janssen, Jordy; Gold, Margaret] Leiden Univ, Citizen Sci Lab, Leiden, Netherlands; [Janssen, Jordy; De Vries, Sandra] Pulsaqua, WaterLab, Rotterdam, Netherlands; [Bogert, Marit] TU Delft Sci Ctr, WaterLab, Delft, Netherlands</t>
  </si>
  <si>
    <t>Leiden University; Leiden University - Excl LUMC</t>
  </si>
  <si>
    <t>Janssen, J (corresponding author), Leiden Univ, Citizen Sci Lab, Leiden, Netherlands.</t>
  </si>
  <si>
    <t>janssenj4@vuw.leidenuniv.nl</t>
  </si>
  <si>
    <t>Janssen, Jordy/0000-0003-1335-1312; de Vries, Sana/0000-0002-7477-2447; Gold, Margaret/0000-0003-4853-2463</t>
  </si>
  <si>
    <t>TU Delft Open Science Program; TU Delft Faculty of Civil Engineering and Geosciences</t>
  </si>
  <si>
    <t>This project was funded with internal funds from the TU Delft Open Science Program, the TU Delft Faculty of Civil Engineering and Geosciences, and the municipality of Delft.</t>
  </si>
  <si>
    <t>10.5334/cstp.757</t>
  </si>
  <si>
    <t>6KT7R</t>
  </si>
  <si>
    <t>WOS:001555709800008</t>
  </si>
  <si>
    <t>Pengsakun, S; Yeemin, T; Sutthacheep, M; Rangseethampanya, P; Yossundara, N; Yossundara, S</t>
  </si>
  <si>
    <t>Pengsakun, Sittiporn; Yeemin, Thamasak; Sutthacheep, Makamas; Rangseethampanya, Ploypailin; Yossundara, Nangnoys; Yossundara, Somyos</t>
  </si>
  <si>
    <t>A citizen science approach in monitoring coral reefs to support ecotourism in Thailand</t>
  </si>
  <si>
    <t>[Pengsakun, Sittiporn; Rangseethampanya, Ploypailin] Ramkhamhang Univ, Fac Sci, Dept Biol, Marine Biodivers Res Grp, Bangkok, Thailand; [Yeemin, Thamasak; Sutthacheep, Makamas] Ramkhamhang Univ, Fac Sci, Dept Biol, Bangkok, Thailand; [Yossundara, Nangnoys; Yossundara, Somyos] Save Our Sea, Bangkok, Thailand</t>
  </si>
  <si>
    <t>Ramkhamhaeng University; Ramkhamhaeng University</t>
  </si>
  <si>
    <t>marine_ru@hotmail.com</t>
  </si>
  <si>
    <t>3NR9I</t>
  </si>
  <si>
    <t>WOS:001504692000463</t>
  </si>
  <si>
    <t>Farhadinia, MS; Moll, RJ; Montgomery, RA; Ashrafi, S; Johnson, PJ; Hunter, LTB; Macdonald, DW</t>
  </si>
  <si>
    <t>Farhadinia, Mohammad S.; Moll, Remington J.; Montgomery, Robert A.; Ashrafi, Sohrab; Johnson, Paul J.; Hunter, Luke T. B.; Macdonald, David W.</t>
  </si>
  <si>
    <t>Citizen science data facilitate monitoring of rare large carnivores in remote montane landscapes</t>
  </si>
  <si>
    <t>ECOLOGICAL INDICATORS</t>
  </si>
  <si>
    <t>Citizen science; Hierarchical occupancy models; Panthera pardus saxicolor; Sign survey; Spatial dependency</t>
  </si>
  <si>
    <t>PROTECTED AREAS; SNOW LEOPARDS; OCCUPANCY; PATTERNS; FOREST; DETECTABILITY; DETERMINANTS; BIODIVERSITY; TRENDS; SCALE</t>
  </si>
  <si>
    <t>Population monitoring of large carnivores, particularly in remote montane landscapes, represents a considerable conservation challenge. Occupancy modeling using repeated detection/non-detection surveys offers a practical and robust tool for assessments of this type. Sign surveys or photographic detections have been the two primary survey methods to inform occupancy models. However, these approaches are expensive to implement and resource-intensive. Thus, their applicability for assessing the distribution of rare large carnivores residing in inaccessible landscapes is limited, particularly when large scale species monitoring is desired. Here, our intent was to predict the occupancy of the endangered Persian leopard (Panthera pardus saxicolor) inhabiting the rugged mountains of northeastern Iran. Using a Bayesian occupancy modeling framework, we compared patterns of leopard occupancy derived from standardized monitoring data implemented using spatially-replicated sign surveys to those informed by citizen scientist observations. We found that leopard occupancy probability was comparable between the two survey methods (sign survey = 0.92, 95% CI 0.85-1 and citizen science = 0.94, 95% CI 0.88-1) though detection probability varied (sign survey = 0.52, 95% CI 0.46-0.58 and citizen science = 0.25, 95% CI 0.18-0.32). The magnitude of effect among the environmental covariates that predicted leopard occupancy probability was also similar for the two methods. Thus, while yielding comparable predictions, the citizen science approaches were half the cost of sign surveys. The implementation of the effective citizen scientist data enabled us to expand by two-fold the monitored area while halving the costs in comparison to the area investigated via sign surveys. Our paper demonstrates that citizen science surveys represent a costeffective, reliable, and surprisingly overlooked means to efficiently assess occupancy, particularly for rare large carnivores inhabiting mountainous landscapes.</t>
  </si>
  <si>
    <t>[Farhadinia, Mohammad S.; Montgomery, Robert A.; Johnson, Paul J.; Macdonald, David W.] Univ Oxford, Wildlife Conservat Res Unit, Dept Zool, Recanati Kaplan Ctr, Abingdon OX13 5QL, Oxon, England; [Moll, Remington J.; Montgomery, Robert A.] Michigan State Univ, Dept Fisheries &amp; Wildlife, Res Ecol Carnivores &amp; Their Prey Lab, 480 Wilson Rd, E Lansing, MI 48824 USA; [Ashrafi, Sohrab] Univ Tehran, Dept Environm Sci, Fac Nat Resources, Tehran, Iran; [Hunter, Luke T. B.] Panthera, 8 West 40th St,18th Floor, New York, NY 10018 USA; [Hunter, Luke T. B.] Univ KwaZulu Natal, Sch Life Sci, Westville Campus, ZA-4000 Durban, South Africa</t>
  </si>
  <si>
    <t>University of Oxford; Michigan State University; University of Tehran; University of Kwazulu Natal</t>
  </si>
  <si>
    <t>Farhadinia, MS (corresponding author), Univ Oxford, Wildlife Conservat Res Unit, Dept Zool, Recanati Kaplan Ctr, Abingdon OX13 5QL, Oxon, England.</t>
  </si>
  <si>
    <t>mohammad.farhadinia@zoo.ox.ac.uk; rjmoll@msu.edu; montg164@nisu.edu; sohrab.ashrafi@ut.ac.ir; paul.johnson@zoo.ox.ac.uk; lhunter@panthera.org; david.maedonald@zoo.ox.ac.uk</t>
  </si>
  <si>
    <t>Hunter, Luke/H-3324-2019; Farhadinia, Mohammad/LKK-4184-2024; Montgomery, Robert A/C-5541-2019</t>
  </si>
  <si>
    <t>Farhadinia, Mohammad/0000-0002-5385-6254; Montgomery, Robert A/0000-0001-5894-0589</t>
  </si>
  <si>
    <t>People's Trust for Endangered Species; IdeaWild; National Science Foundation Graduate Research Fellowship</t>
  </si>
  <si>
    <t>People's Trust for Endangered Species; IdeaWild; National Science Foundation Graduate Research Fellowship(National Science Foundation (NSF))</t>
  </si>
  <si>
    <t>This work was supported by the People's Trust for Endangered Species and IdeaWild. RJM was supported by a National Science Foundation Graduate Research Fellowship.</t>
  </si>
  <si>
    <t>1470-160X</t>
  </si>
  <si>
    <t>1872-7034</t>
  </si>
  <si>
    <t>ECOL INDIC</t>
  </si>
  <si>
    <t>Ecol. Indic.</t>
  </si>
  <si>
    <t>10.1016/j.ecolind.2018.06.064</t>
  </si>
  <si>
    <t>Biodiversity Conservation; Environmental Sciences</t>
  </si>
  <si>
    <t>HD6XB</t>
  </si>
  <si>
    <t>WOS:000452692500029</t>
  </si>
  <si>
    <t>Chase, SK; Levine, A</t>
  </si>
  <si>
    <t>Chase, Sarah K.; Levine, Arielle</t>
  </si>
  <si>
    <t>A framework for evaluating and designing citizen science programs for natural resources monitoring</t>
  </si>
  <si>
    <t>citizen science; environmental education; evaluation framework; natural resource management; public participation research; science literacy; social-ecological systems; volunteer monitoring</t>
  </si>
  <si>
    <t>MEGAPTERA-NOVAEANGLIAE; VOLUNTEER; CONSERVATION; TOOL; BAY</t>
  </si>
  <si>
    <t>We present a framework of resource characteristics critical to the design and assessment of citizen science programs that monitor natural resources. To develop the framework we reviewed 52 citizen science programs that monitored a wide range of resources and provided insights into what resource characteristics are most conducive to developing citizen science programs and how resource characteristics may constrain the use or growth of these programs. We focused on 4 types of resource characteristics: biophysical and geographical, management and monitoring, public awareness and knowledge, and social and cultural characteristics. We applied the framework to 2 programs, the Tucson (U.S.A.) Bird Count and the Maui (U.S.A.) Great Whale Count. We found that resource characteristics such as accessibility, diverse institutional involvement in resource management, and social or cultural importance of the resource affected program endurance and success. However, the relative influence of each characteristic was in turn affected by goals of the citizen science programs. Although the goals of public engagement and education sometimes complimented the goal of collecting reliable data, in many cases trade-offs must be made between these 2 goals. Program goals and priorities ultimately dictate the design of citizen science programs, but for a program to endure and successfully meet its goals, program managers must consider the diverse ways that the nature of the resource being monitored influences public participation in monitoring.</t>
  </si>
  <si>
    <t>[Chase, Sarah K.; Levine, Arielle] San Diego State Univ, Dept Geog, 5500 Campanile Dr, San Diego, CA 92182 USA</t>
  </si>
  <si>
    <t>California State University System; San Diego State University</t>
  </si>
  <si>
    <t>Chase, SK (corresponding author), San Diego State Univ, Dept Geog, 5500 Campanile Dr, San Diego, CA 92182 USA.</t>
  </si>
  <si>
    <t>sarahchase025@gmail.com</t>
  </si>
  <si>
    <t>; Levine, Arielle/AAA-4817-2021</t>
  </si>
  <si>
    <t>MacFarland, Sarah/0009-0005-2710-1578; Levine, Arielle/0000-0002-3556-4143</t>
  </si>
  <si>
    <t>1523-1739</t>
  </si>
  <si>
    <t>JUN</t>
  </si>
  <si>
    <t>10.1111/cobi.12697</t>
  </si>
  <si>
    <t>DR5LX</t>
  </si>
  <si>
    <t>WOS:000379945600003</t>
  </si>
  <si>
    <t>Conrad, CC; Hilchey, KG</t>
  </si>
  <si>
    <t>Conrad, Cathy C.; Hilchey, Krista G.</t>
  </si>
  <si>
    <t>A review of citizen science and community-based environmental monitoring: issues and opportunities</t>
  </si>
  <si>
    <t>Citizen science; Community-based monitoring; Social capital; Environmental democratization</t>
  </si>
  <si>
    <t>PUBLIC-PARTICIPATION; NATURAL-RESOURCES; DECISION-MAKING; GREAT-BRITAIN; CONSERVATION; VOLUNTEERS; MANAGEMENT; TRENDS; ABUNDANCE; TOOL</t>
  </si>
  <si>
    <t>Worldwide, decision-makers and nongovernment organizations are increasing their use of citizen volunteers to enhance their ability to monitor and manage natural resources, track species at risk, and conserve protected areas. We reviewed the last 10 years of relevant citizen science literature for areas of consensus, divergence, and knowledge gaps. Different community-based monitoring (CBM) activities and governance structures were examined and contrasted. Literature was examined for evidence of common benefits, challenges, and recommendations for successful citizen science. Two major gaps were identified: (1) a need to compare and contrast the success (and the situations that induce success) of CBM programs which present sound evidence of citizen scientists influencing positive environmental changes in the local ecosystems they monitor and (2) more case studies showing use of CBM data by decision-makers or the barriers to linkages and how these might be overcome. If new research focuses on these gaps, and on the differences of opinions that exist, we will have a much better understanding of the social, economic, and ecological benefits of citizen science.</t>
  </si>
  <si>
    <t>[Hilchey, Krista G.] Nova Scotia Dept Environm, Water &amp; Wastewater Branch, Halifax, NS B3J 2P8, Canada; [Conrad, Cathy C.] St Marys Univ, Dept Geog, Halifax, NS B3H 3C3, Canada</t>
  </si>
  <si>
    <t>Saint Marys University - Canada</t>
  </si>
  <si>
    <t>Hilchey, KG (corresponding author), Nova Scotia Dept Environm, Water &amp; Wastewater Branch, 5151 Terminal Rd,POB 442, Halifax, NS B3J 2P8, Canada.</t>
  </si>
  <si>
    <t>cconrad@smu.ca; hilchekg@gov.ns.ca</t>
  </si>
  <si>
    <t>Community-Based Environmental Monitoring Network at Saint Mary's University; Nova Scotia Department of Natural Resources; Nova Scotia Department of Environment</t>
  </si>
  <si>
    <t>We would like to acknowledge the Community-Based Environmental Monitoring Network at Saint Mary's University for research support and the Nova Scotia Department of Natural Resources and the Nova Scotia Department of Environment. Thanks to the referees for the substantive input and comments, which enabled this to be a more comprehensive and meaningful review.</t>
  </si>
  <si>
    <t>1-4</t>
  </si>
  <si>
    <t>10.1007/s10661-010-1582-5</t>
  </si>
  <si>
    <t>746NX</t>
  </si>
  <si>
    <t>WOS:000289255100021</t>
  </si>
  <si>
    <t>Malek, R; Tattoni, C; Ciolli, M; Corradini, S; Andreis, D; Ibrahim, A; Mazzoni, V; Eriksson, A; Anfora, G</t>
  </si>
  <si>
    <t>Malek, Robert; Tattoni, Clara; Ciolli, Marco; Corradini, Stefano; Andreis, Daniele; Ibrahim, Aya; Mazzoni, Valerio; Eriksson, Anna; Anfora, Gianfranco</t>
  </si>
  <si>
    <t>Coupling Traditional Monitoring and Citizen Science to Disentangle the Invasion of Halyomorpha halys</t>
  </si>
  <si>
    <t>ISPRS INTERNATIONAL JOURNAL OF GEO-INFORMATION</t>
  </si>
  <si>
    <t>Pentatomidae; Environmental niche modeling; citizen science; crowdsourcing; MaxEnt; QGIS; brown marmorated stink bug</t>
  </si>
  <si>
    <t>MARMORATED STINK BUG; PEST DROSOPHILA-SUZUKII; HEMIPTERA-PENTATOMIDAE; NORTH-AMERICA; SPECIES DISTRIBUTIONS; PHENOLOGY; REQUIREMENTS; MANAGEMENT; KNOWLEDGE; ABUNDANCE</t>
  </si>
  <si>
    <t>The brown marmorated stink bug, Halyomorpha halys Stal (Hemiptera: Pentatomidae), is an invasive pest that has expanded its range outside of its original confinements in Eastern Asia, spreading through the United States, Canada and most of the European and Eurasian countries. The invasiveness of this agricultural and public nuisance pest is facilitated by the availability of an array of suitable hosts, an r-selected life history and the release from natural enemies in the invaded zones. Traditional monitoring methods are usually impeded by the lack of time and resources to sufficiently cover large geographical ranges. Therefore, the citizen science initiative BugMap was conceived to complement and assist researchers in breaking down the behavior of this invasive pest via a user-friendly, freely available mobile application. The collected data were employed to forecast its predicted distribution and to identify the areas at risk in Trentino, Northern Italy. Moreover, they permitted the uncovering of the seasonal invasion dynamics of this insect, besides providing insight into its phenological patterns, life cycle and potential management methods. Hence, the outcomes of this work emphasize the need to further integrate citizens in scientific endeavors to resolve ecological complications and reduce the gap between the public and science.</t>
  </si>
  <si>
    <t>[Malek, Robert; Tattoni, Clara; Ciolli, Marco] Univ Trento, Dept Civil Environm &amp; Mech Engn, I-38123 Trento, Italy; [Malek, Robert; Ibrahim, Aya; Mazzoni, Valerio; Eriksson, Anna; Anfora, Gianfranco] Edmund Mach Fdn, Res &amp; Innovat Ctr, I-38010 San Michele All Adige, Italy; [Corradini, Stefano; Andreis, Daniele] Edmund Mach Fdn, Technol Transfer Ctr, I-38010 San Michele All Adige, Italy; [Ibrahim, Aya] Univ Udine, Dept Agr Food Environm &amp; Anim Sci, I-33100 Udine, Italy; [Anfora, Gianfranco] Univ Trento, Ctr Agr Food &amp; Environm, I-38010 San Michele All Adige, Italy</t>
  </si>
  <si>
    <t>University of Trento; Fondazione Edmund Mach; Fondazione Edmund Mach; University of Udine; University of Trento</t>
  </si>
  <si>
    <t>Malek, R (corresponding author), Univ Trento, Dept Civil Environm &amp; Mech Engn, I-38123 Trento, Italy.;Malek, R (corresponding author), Edmund Mach Fdn, Res &amp; Innovat Ctr, I-38010 San Michele All Adige, Italy.</t>
  </si>
  <si>
    <t>robertnehme.malek@unitn.it; clara.tattoni@unitn.it; marco.ciolli@unitn.it; stefano.corradini@fmach.it; daniele.andreis@fmach.it; ibrahim.aya@spes.uniud.it; valerio.mazzoni@fmach.it; anna.eriksson@fmach.it; gianfranco.anfora@fmach.it</t>
  </si>
  <si>
    <t>; Ciolli, Marco/D-8613-2014; Tattoni, Clara/AAG-6917-2020; Mazzoni, Valerio/ABE-4661-2021</t>
  </si>
  <si>
    <t>ANFORA, Gianfranco/0000-0003-2545-1409; Ciolli, Marco/0000-0001-8370-9039; Malek, Robert/0000-0002-5980-5271; Tattoni, Clara/0000-0003-1555-5669; Mazzoni, Valerio/0000-0003-4036-5322; Aneis, Daniele/0000-0002-4898-8076</t>
  </si>
  <si>
    <t>E-STaR, Bando I comunicatori STAR della scienza-legge provinciale 2 agosto 2005 [14, 22]; Autonomous Province of Trento; APOT, Associazione Produttori Orto-Frutticoli Provincia di Trento</t>
  </si>
  <si>
    <t>E-STaR, Bando I comunicatori STAR della scienza-legge provinciale 2 agosto 2005; Autonomous Province of Trento(Autonomous Province of Trento); APOT, Associazione Produttori Orto-Frutticoli Provincia di Trento</t>
  </si>
  <si>
    <t>The authors wish to extend their gratitude to all the citizens who participated in this inquiry; their collaboration was essential for shaping and completing this project. We also thank all the technicians who took part in the monitoring activities and the BugMap validating experts. This work has been partly funded by E-STaR, Bando I comunicatori STAR della scienza-legge provinciale 2 agosto 2005, n. 14, art 22, the Autonomous Province of Trento and by APOT, Associazione Produttori Orto-Frutticoli Provincia di Trento.</t>
  </si>
  <si>
    <t>2220-9964</t>
  </si>
  <si>
    <t>ISPRS INT J GEO-INF</t>
  </si>
  <si>
    <t>ISPRS Int. J. Geo-Inf.</t>
  </si>
  <si>
    <t>10.3390/ijgi7050171</t>
  </si>
  <si>
    <t>Computer Science, Information Systems; Geography, Physical; Remote Sensing</t>
  </si>
  <si>
    <t>Computer Science; Physical Geography; Remote Sensing</t>
  </si>
  <si>
    <t>GJ3KW</t>
  </si>
  <si>
    <t>WOS:000435194700011</t>
  </si>
  <si>
    <t>Kuca, P; Helebrant, J; Bossew, P</t>
  </si>
  <si>
    <t>Kuca, P.; Helebrant, J.; Bossew, P.</t>
  </si>
  <si>
    <t>Characterization of the bGeigie Nano instrument used in Citizen Science dose-rate monitoring</t>
  </si>
  <si>
    <t>EUROPEAN PHYSICAL JOURNAL-SPECIAL TOPICS</t>
  </si>
  <si>
    <t>Safecast, a Citizen Science project devoted to monitoring ambient dose rate, initiated in Japan 2011 after the Fukushima NPP accident and soon spread worldwide. Its standard instrument is bGeigie Nano, featuring a pancake-type thin-window GM-sensor coupled to a GPS receiver and data-storage, in a sturdy plastic case allowing field use. Recorded ADR tracks are shown on a publicly accessible map on Safecast.org, containing almost 200 M records by 2022. Interpretability of results depends on quality assurance of the measurement process, covering both metrological characterization of the instrument and its practical use-relevant because users are citizens in general not familiar with metrological procedures, measurement statistics, the concept of representativeness, etc. Here we focus on the former aspect. In field use, the source of GM response is internal background (BG), ambient gamma-rays and secondary cosmic radiation (SCR). Through dedicated experiments, mainly performed on lakes (where the terrestrial gamma component is largely absent), we quantified the BG and SCR response and investigated the variance of response between instruments. We investigated conformity to count-rates Poisson statistics and the occurrence of spurious extreme signals, which can lead to artefacts in ADR maps. Impact of experimental results on practice and uncertainties are discussed.</t>
  </si>
  <si>
    <t>[Kuca, P.; Helebrant, J.] Natl Radiat Protect Inst SURO, Prague, Czech Republic; [Bossew, P.] Bundesamt Strahlenschutz, Berlin, Germany</t>
  </si>
  <si>
    <t>National Radiation Protection Institute</t>
  </si>
  <si>
    <t>Kuca, P (corresponding author), Natl Radiat Protect Inst SURO, Prague, Czech Republic.</t>
  </si>
  <si>
    <t>petr.kuca@suro.cz</t>
  </si>
  <si>
    <t>Kuča, Petr/0000-0003-2258-9445; Helebrant, Jan/0000-0002-8262-3310</t>
  </si>
  <si>
    <t>1951-6355</t>
  </si>
  <si>
    <t>1951-6401</t>
  </si>
  <si>
    <t>EUR PHYS J-SPEC TOP</t>
  </si>
  <si>
    <t>Eur. Phys. J.-Spec. Top.</t>
  </si>
  <si>
    <t>10.1140/epjs/s11734-023-00877-7</t>
  </si>
  <si>
    <t>Physics, Multidisciplinary</t>
  </si>
  <si>
    <t>Physics</t>
  </si>
  <si>
    <t>O3ZO2</t>
  </si>
  <si>
    <t>WOS:000997992600003</t>
  </si>
  <si>
    <t>Polidoro, B; Clement, C</t>
  </si>
  <si>
    <t>Polidoro, Beth; Clement, Cassandra</t>
  </si>
  <si>
    <t>BEYOND CITIZEN SCIENCE: MULTIGENERATIONAL EDUCATION AND MENTORING IN ENVIRONMENTAL MONITORING-A CASE STUDY</t>
  </si>
  <si>
    <t>INTEGRATED ENVIRONMENTAL ASSESSMENT AND MANAGEMENT</t>
  </si>
  <si>
    <t>[Polidoro, Beth; Clement, Cassandra] Arizona State Univ, New Coll Interdisciplinary Arts &amp; Sci, Glendale, CA 85306 USA</t>
  </si>
  <si>
    <t>Arizona State University</t>
  </si>
  <si>
    <t>Polidoro, B (corresponding author), Arizona State Univ, New Coll Interdisciplinary Arts &amp; Sci, Glendale, CA 85306 USA.</t>
  </si>
  <si>
    <t>beth.polidoro@asu.edu</t>
  </si>
  <si>
    <t>1551-3777</t>
  </si>
  <si>
    <t>1551-3793</t>
  </si>
  <si>
    <t>INTEGR ENVIRON ASSES</t>
  </si>
  <si>
    <t>Integr. Environ. Assess. Manag.</t>
  </si>
  <si>
    <t>10.1002/ieam.4043</t>
  </si>
  <si>
    <t>Environmental Sciences; Toxicology</t>
  </si>
  <si>
    <t>Environmental Sciences &amp; Ecology; Toxicology</t>
  </si>
  <si>
    <t>GJ3XO</t>
  </si>
  <si>
    <t>WOS:000435263300013</t>
  </si>
  <si>
    <t>Delaney, DG; Sperling, CD; Adams, CS; Leung, B</t>
  </si>
  <si>
    <t>Delaney, David G.; Sperling, Corinne D.; Adams, Christiaan S.; Leung, Brian</t>
  </si>
  <si>
    <t>Marine invasive species: validation of citizen science and implications for national monitoring networks</t>
  </si>
  <si>
    <t>carcinus maenas; citizen science; community-based monitoring; Hemigrapsus sanguineus; marine invasive species; quality assurance; validation</t>
  </si>
  <si>
    <t>CRAB HEMIGRAPSUS-SANGUINEUS; BIOLOGICAL INVASIONS; CARCINUS-MAENAS; UNITED-STATES; DISPERSAL; BRACHYURA; DECAPODA; PROGRAM; HABITAT; SEA</t>
  </si>
  <si>
    <t>Approximately 1,000 volunteers assessed the presence of invasive (Carcinus maenas and Hemigrapsus sanguineus) and native crabs within the intertidal zone of seven coastal states of the US, from New Jersey to Maine. Identification of crab species and determination of the gender of the observed crabs was documented at all 52 sites across a 725-km coastal transect. Using quantitative measures of accuracy of data collected by citizen scientists, a significant predictor of a volunteer's ability was determined and eligibility criteria were set. Students in grade three and seven had the ability to differentiate between species of crabs with over 80% and 95% accuracy, respectively. Determination of gender of the crabs was more challenging and accuracy exceeded 80% for seventh grade students, while 95% accuracy was found for students with at least 2 years of university education. We used the data collected by citizen scientists to create a large-scale standardized database of the distribution and abundance of the native and invasive crabs. Hemigrapsus sanguineus dominated the rocky intertidal zone from Sandy Hook, New Jersey to Boston Harbor, Massachusetts while C. maenas dominated the northern extent of the sampled coastline. A citizen scientist of this monitoring network detected a range expansion of H. sanguineus. We identified obstacles to creating a national monitoring network and proposed recommendations that addressed these issues.</t>
  </si>
  <si>
    <t>[Delaney, David G.; Sperling, Corinne D.; Leung, Brian] McGill Univ, Dept Biol, Montreal, PQ H3A 1B1, Canada; [Delaney, David G.; Sperling, Corinne D.; Leung, Brian] McGill Univ, Sch Environm, Montreal, PQ H3A 1B1, Canada; [Adams, Christiaan S.] MIT, MIT Sea Grant Coll Program, Cambridge, MA 02139 USA</t>
  </si>
  <si>
    <t>McGill University; McGill University; Massachusetts Institute of Technology (MIT)</t>
  </si>
  <si>
    <t>Delaney, DG (corresponding author), McGill Univ, Dept Biol, 1205 Doctor Penfield Ave, Montreal, PQ H3A 1B1, Canada.</t>
  </si>
  <si>
    <t>david.delaney@mail.mcgill.ca</t>
  </si>
  <si>
    <t>10.1007/s10530-007-9114-0</t>
  </si>
  <si>
    <t>252VD</t>
  </si>
  <si>
    <t>WOS:000252473900013</t>
  </si>
  <si>
    <t>Manshur, T; Luiu, C; Avis, WR; Bukachi, V; Gatari, M; Mulligan, J; Nganga, D; Radcliffe, J; Singh, A; Waiguru, E; Wandera, A; Pope, FD</t>
  </si>
  <si>
    <t>Manshur, Talib; Luiu, Carlo; Avis, William R.; Bukachi, Vera; Gatari, Michael; Mulligan, Joe; Nganga, David; Radcliffe, Jonathan; Singh, Ajit; Waiguru, Ezequiel; Wandera, Amos; Pope, Francis D.</t>
  </si>
  <si>
    <t>A citizen science approach for air quality monitoring in a Kenyan informal development</t>
  </si>
  <si>
    <t>CITY AND ENVIRONMENT INTERACTIONS</t>
  </si>
  <si>
    <t>Citizen science; Air quality; Sensors; Informal settlements; Nairobi; Kenya</t>
  </si>
  <si>
    <t>ENVIRONMENTAL JUSTICE; PARTICIPATORY RESEARCH; POLLUTION; HEALTH; RISK; EDUCATION; SAMPLERS; PROMISE; PROJECT; BURDEN</t>
  </si>
  <si>
    <t>This paper investigates the use of a citizen science approach for air quality monitoring to explore the likely pollution impacts of the new Missing Link #12 road passing through the informal settlement of Kibera, within Nairobi. Citizen science approaches are gaining relevance in air quality monitoring thanks to the advancement in environmental monitoring technology and the opportunities created for community-based organizations to collect data on air pollution through low-cost sensors. Fourteen households located in proximity to the Missing Link#12 were equipped with optical particle sensors. Data collected indicated that people living along the road are exposed to levels of PM2.5 and PM10 above WHO recommendations, mainly due to the particulate generated by the construction site and fuels used for indoor cooking. A community engagement workshop revealed that participatory approaches are useful for improving awareness of air pollution and associated health implications. It also allowed the community to enhance their capability to gain and use scientific tools to address local issues, and potentially lobby decision-makers to solve them. In the context of transport infrastructure development in African cities, such an approach can be a means of collecting data and monitoring the impacts of air pollution during and after road building.</t>
  </si>
  <si>
    <t>[Manshur, Talib; Bukachi, Vera; Wandera, Amos] Kounkuey Design Initiat, Nairobi, Kenya; [Luiu, Carlo] Univ Birmingham, Inst Global Innovat, Birmingham, England; [Avis, William R.] Univ Birmingham, Sch Govt, Int Dev Dept, Birmingham, England; [Bukachi, Vera] UCL, Fac Built Environm, Bartlett Sch Sustainable Construct, London, England; [Bukachi, Vera] Arup East Africa Ltd, Nairobi, Kenya; [Gatari, Michael; Nganga, David; Waiguru, Ezequiel] Univ Nairobi, Inst Nucl Sci &amp; Technol, Nairobi, Kenya; [Mulligan, Joe] KTH Royal Inst Technol, Dept Sustainable Dev Environm Sci &amp; Engn, Stockholm, Sweden; [Radcliffe, Jonathan] Univ Birmingham, Sch Chem Engn, Birmingham, England; [Luiu, Carlo; Singh, Ajit; Pope, Francis D.] Univ Birmingham, Sch Geog Earth &amp; Environm Sci, Birmingham, England; [Singh, Ajit] Univ Birmingham, Inst Appl Hlth Res, Birmingham, England; [Mulligan, Joe] Kounkuey Design Initiat, Stockholm, Sweden</t>
  </si>
  <si>
    <t>University of Birmingham; University of Birmingham; University of London; University College London; University of Nairobi; Royal Institute of Technology; University of Birmingham; University of Birmingham; University of Birmingham</t>
  </si>
  <si>
    <t>Pope, FD (corresponding author), Univ Birmingham, Sch Geog Earth &amp; Environm Sci, Birmingham, England.</t>
  </si>
  <si>
    <t>f.pope@bham.ac.uk</t>
  </si>
  <si>
    <t>Luiu, Carlo/J-2359-2019; Radcliffe, Jonathan/HKF-2759-2023; Pope, Francis/F-8552-2012</t>
  </si>
  <si>
    <t>Singh, Ajit/0000-0003-0986-2064; Radcliffe, Jonathan/0000-0001-7671-6265; Talib, Manshur/0000-0002-8598-6483; Pope, Francis/0000-0001-6583-8347; NGANGA, DAVID/0000-0002-3126-9606</t>
  </si>
  <si>
    <t>Royal Academy of Engineering through the Frontier of Engineering for Development scheme [FoDSF \1819\1\12]; Institute for Global Innovation/Institute of Advanced Studies (IGI/IAS) of the University of Birmingham; Global Challenges Research Fund; Engineering and Physical Sciences Research Council [EP/R002193/1] Funding Source: researchfish</t>
  </si>
  <si>
    <t>Royal Academy of Engineering through the Frontier of Engineering for Development scheme; Institute for Global Innovation/Institute of Advanced Studies (IGI/IAS) of the University of Birmingham; Global Challenges Research Fund; Engineering and Physical Sciences Research Council(UK Research &amp; Innovation (UKRI)Engineering &amp; Physical Sciences Research Council (EPSRC))</t>
  </si>
  <si>
    <t>This study was supported by the Royal Academy of Engineering through the Frontier of Engineering for Development scheme (FoDSF \1819\1\12) . The authors are grateful for funding from The Institute for Global Innovation/Institute of Advanced Studies (IGI/IAS) of the University of Birmingham, and the Global Challenges Research Fund, which has helped support this project. The authors would like to thank all participants that contributed to this study.</t>
  </si>
  <si>
    <t>2590-2520</t>
  </si>
  <si>
    <t>CITY ENVIRON INTERAC</t>
  </si>
  <si>
    <t>City Environ. Interact.</t>
  </si>
  <si>
    <t>10.1016/j.cacint.2023.100105</t>
  </si>
  <si>
    <t>Environmental Sciences; Environmental Studies; Meteorology &amp; Atmospheric Sciences</t>
  </si>
  <si>
    <t>Environmental Sciences &amp; Ecology; Meteorology &amp; Atmospheric Sciences</t>
  </si>
  <si>
    <t>I3BF2</t>
  </si>
  <si>
    <t>WOS:001001560200001</t>
  </si>
  <si>
    <t>Kaufman, A; Williams, R; Barzyk, T; Greenberg, M; O'Shea, M; Sheridan, P; Hoang, A; Ash, C; Teitz, A; Mustafa, M; Garvey, S</t>
  </si>
  <si>
    <t>Kaufman, Amanda; Williams, Ron; Barzyk, Timothy; Greenberg, Molly; O'Shea, Marie; Sheridan, Patricia; Hoang, Anhthu; Ash, Christine; Teitz, Avraham; Mustafa, Mustafa; Garvey, Sam</t>
  </si>
  <si>
    <t>A Citizen Science and Government Collaboration: Developing Tools to Facilitate Community Air Monitoring</t>
  </si>
  <si>
    <t>ENVIRONMENTAL JUSTICE</t>
  </si>
  <si>
    <t>citizen science; air pollution monitoring; air sensors; community engagement</t>
  </si>
  <si>
    <t>The U.S. Environmental Protection Agency (EPA) is actively involved in supporting citizen science projects and providing communities with information and assistance for conducting their own air pollution monitoring. As part of a Regional Applied Research Effort (RARE) project, EPA's Office of Research and Development (ORD) worked collaboratively with EPA Region 2 and the Ironbound Community Corporation (ICC) in Newark, New Jersey, to develop and test the Air Sensor Toolbox for Citizen Scientists.'' In this collaboration, citizen scientists measured local gaseous and particulate air pollution levels by using a customized low-cost sensor pod designed and fabricated by EPA. This citizen science air quality measurement project provided an excellent opportunity for EPA to evaluate and improve the Toolbox resources available to communities. The Air Sensor Toolbox, developed in coordination with the ICC, can serve as a template for communities across the country to use in developing their own air pollution monitoring programs in areas where air pollution is a concern. This pilot project provided an opportunity for a highly motivated citizen science organization and the EPA to work together directly to address environmental concerns within the community. Useful lessons were learned about how to improve coordination between the government and communities and the types of tools and technologies needed for conducting an effective citizen science project that can be applied to future efforts.</t>
  </si>
  <si>
    <t>Kaufman, A (corresponding author), US EPA, Outreach &amp; Informat Div, Off Air Qual Planning &amp; Stand, Res Triangle Pk, NC 27711 USA.</t>
  </si>
  <si>
    <t>kaufman.amanda@epa.gov</t>
  </si>
  <si>
    <t>O'Shea, Marie-Claire/AAC-5348-2020</t>
  </si>
  <si>
    <t>O'Shea, Marie-Claire/0000-0001-8226-7910</t>
  </si>
  <si>
    <t>U.S. EPA through its ORD; Alion Science and Technology [EP-D-10-070]; Jacobs Technology Inc. [EP-C-15-008]</t>
  </si>
  <si>
    <t>U.S. EPA through its ORD; Alion Science and Technology; Jacobs Technology Inc.</t>
  </si>
  <si>
    <t>The U.S. EPA through its ORD funded and conducted the research described here. It has been reviewed by the U.S. EPA and approved for publication. The effort was supported through contracts with Alion Science and Technology (EP-D-10-070) and Jacobs Technology Inc. (EP-C-15-008). A subcontractor, the ICC, provided a review and commentary of this publication. The mention of trade names or commercial products does not constitute endorsement or recommendation for use.</t>
  </si>
  <si>
    <t>MARY ANN LIEBERT, INC</t>
  </si>
  <si>
    <t>NEW ROCHELLE</t>
  </si>
  <si>
    <t>140 HUGUENOT STREET, 3RD FL, NEW ROCHELLE, NY 10801 USA</t>
  </si>
  <si>
    <t>1939-4071</t>
  </si>
  <si>
    <t>1937-5174</t>
  </si>
  <si>
    <t>ENVIRON JUSTICE</t>
  </si>
  <si>
    <t>Environ. Justice</t>
  </si>
  <si>
    <t>10.1089/env.2016.0044</t>
  </si>
  <si>
    <t>Environmental Studies</t>
  </si>
  <si>
    <t>ES6QN</t>
  </si>
  <si>
    <t>WOS:000399674100004</t>
  </si>
  <si>
    <t>Feng, JS; Khakipoor, B; May, J; Mulford, M; Davis, J; Siman, K; Russell, G; Smith, AW; King, H</t>
  </si>
  <si>
    <t>Feng, Jiansheng; Khakipoor, Banafsheh; May, Jacob; Mulford, Melissa; Davis, Joshua; Siman, Kelly; Russell, Gabrielle; Smith, Adam W.; King, Hunter</t>
  </si>
  <si>
    <t>An open-source dual-beam spectrophotometer for citizen-science-based water quality monitoring</t>
  </si>
  <si>
    <t>HARDWAREX</t>
  </si>
  <si>
    <t>Open source hardware and software; Water quality monitoring</t>
  </si>
  <si>
    <t>ACID-MINE DRAINAGE; IMPACT</t>
  </si>
  <si>
    <t>Efforts to understand and mediate threats to water supplies rely on collection of reliable data at large scale, a goal which is often limited by availability of tools that are both afford-able and reliable. We present here a low-cost, easy-to-use, do-it-yourself (DIY) spectrom-eter for measurement of a variety of relevant solute concentrations when coupled with inexpensive commercially-available reagents. Comparison of its performance with com-mercial options demonstrates the potential value of this device as transparent, versatile, and accurate-enough alternative for widespread application. Published by Elsevier Ltd.</t>
  </si>
  <si>
    <t>[Feng, Jiansheng; King, Hunter] Univ Akron, Dept Polymer Sci, Akron, OH 44325 USA; [Khakipoor, Banafsheh; Mulford, Melissa; Davis, Joshua; Siman, Kelly; Russell, Gabrielle; King, Hunter] Univ Akron, Dept Biol Integrated Biosci, Akron, OH 44325 USA; [May, Jacob; Smith, Adam W.] Univ Akron, Dept Chem, Akron, OH 44325 USA</t>
  </si>
  <si>
    <t>University System of Ohio; University of Akron; University System of Ohio; University of Akron; University System of Ohio; University of Akron</t>
  </si>
  <si>
    <t>Khakipoor, B (corresponding author), Univ Akron, Dept Biol Integrated Biosci, Akron, OH 44325 USA.</t>
  </si>
  <si>
    <t>hking@uakron.edu</t>
  </si>
  <si>
    <t>; Smith, Adam W/B-7156-2016; King, Hunter/JYQ-6252-2024</t>
  </si>
  <si>
    <t>Siman, Kelly/0000-0003-2482-1287; Mulford, Melissa/0000-0003-4010-1853; Smith, Adam W/0000-0001-5216-9017; King, Hunter/0000-0003-3299-5690</t>
  </si>
  <si>
    <t>National Science Foundation [CHE-1753060]; Great Lakes One Water (GLOW); ErieHack</t>
  </si>
  <si>
    <t>National Science Foundation(National Science Foundation (NSF)); Great Lakes One Water (GLOW); ErieHack</t>
  </si>
  <si>
    <t>This work was additionally supported with funding from the National Science Foundation under Grant No. CHE-1753060 (AWS, JM). We have received a grant from Great Lakes One Water (GLOW), as well as ErieHack and Be the Change entrepreneurship competitions. Related work also was accepted and participated in regional I-Corps program. This support has led to creation of an LLC with the hope of providing large scale monitoring capacity by collaborating with public and private sector.</t>
  </si>
  <si>
    <t>2468-0672</t>
  </si>
  <si>
    <t>HardwareX</t>
  </si>
  <si>
    <t>e00241</t>
  </si>
  <si>
    <t>10.1016/j.ohx.2021.e00241</t>
  </si>
  <si>
    <t>Engineering, Electrical &amp; Electronic; Instruments &amp; Instrumentation; Materials Science, Multidisciplinary</t>
  </si>
  <si>
    <t>Engineering; Instruments &amp; Instrumentation; Materials Science</t>
  </si>
  <si>
    <t>XU7UH</t>
  </si>
  <si>
    <t>WOS:000734464500003</t>
  </si>
  <si>
    <t>Castell, N; Grossberndt, S; Gray, L; Fredriksen, MF; Skaar, JS; Hoiskar, BAK</t>
  </si>
  <si>
    <t>Castell, Nuria; Grossberndt, Sonja; Gray, Laura; Fredriksen, Mirjam F. F.; Skaar, Joran S.; Hoiskar, Britt Ann K.</t>
  </si>
  <si>
    <t>Implementing Citizen Science in Primary Schools: Engaging Young Children in Monitoring Air Pollution</t>
  </si>
  <si>
    <t>FRONTIERS IN CLIMATE</t>
  </si>
  <si>
    <t>air quality; low-tech monitoring; citizen science; primary schools; inclusiveness; knowledge integration</t>
  </si>
  <si>
    <t>Most European cities have air pollution levels that exceed the threshold for human health protection. Children are sensitive to air pollution and thus it is important to ensure they are not exposed to high concentrations of air pollutants. In order to make a positive change toward cleaner air, a joint effort is needed, involving all civil society actors. Schools and local communities have a decisive role, and can, for example, become engaged in citizen science initiatives and knowledge coproduction. In 2019, with the aim of raising awareness for air quality, NILU developed a citizen science toolbox to engage primary schools in monitoring air quality using a simple and affordable measuring method based on paper and petroleum jelly. This is a very visual method, where the students can clearly see differences from polluted and non-polluted places by looking at how dirty is the paper. In addition to the qualitative analysis, we have developed an air meter scale making possible for the students to obtain an indicative measurement of the air pollution level. The comparison between the paper and petroleum jelly method against reference PM10 data collected at two official air quality stations showed a good agreement. The method is a strong candidate for dust monitoring in citizen science projects, making participation possible and empowering people with simple tools at hand. The toolbox is targeted at primary schools and children aged 6-12 years, although it can easily be adapted to other age groups. The main objective of the toolbox is to involve young children who are usually not targeted in air quality citizen science activities, to develop research skills and critical thinking, as well as increase their awareness about the air they breathe. The toolbox is designed to engage students in hands-on activities, that challenge them to create hypotheses, design scientific experiments, draw conclusions and find creative solutions to the air pollution problem. The toolbox includes all the necessary material for the teachers, including guidance, background information and templates facilitating the incorporation in the school curricula. The toolbox was launched as part of the Oslo European Green Capital in March 2019 and was later included as part of the European Clean Air Day initiative coordinated by the European Citizen Science Association (ECSA) working group on air quality. A total of 30 schools and 60 4th grade classes (aged 8-9 years) participated in the Oslo campaign. The citizen science approach employed in the schools, combined the four key elements that promote knowledge integration: elicit ideas, add new ideas, distinguish among ideas and reflect and sort out ideas. Although the main goal of the study was to provide simple but robust tools for engaging young children in air quality monitoring, we also carried out ex-ante and ex-post evaluations in 12 of the participating classes using a 10-question multiple choice test to have an indication of the contribution of the activity to knowledge integration. The results show that there is an increase in the number of correct answers, as well as a reduction in the misconceptions after conducting the activity. These results indicate that applying a citizen science approach improved science instruction and helped knowledge integration by including students' views and taking advantage of the diverse ideas students generated. Citizen science gives learners an insight into the ways that scientists generate solutions for societal problems.</t>
  </si>
  <si>
    <t>[Castell, Nuria; Grossberndt, Sonja; Gray, Laura; Fredriksen, Mirjam F. F.; Skaar, Joran S.; Hoiskar, Britt Ann K.] Norsk Inst luftforskning NILU, Norwegian Inst Air Res, Kjeller, Norway</t>
  </si>
  <si>
    <t>NILU</t>
  </si>
  <si>
    <t>Castell, N (corresponding author), Norsk Inst luftforskning NILU, Norwegian Inst Air Res, Kjeller, Norway.</t>
  </si>
  <si>
    <t>ncb@nilu.no</t>
  </si>
  <si>
    <t>; Gray, Linsay/A-6741-2010</t>
  </si>
  <si>
    <t>Graff, Sonja/0000-0001-6687-2440; Freiksen, Mirjam/0000-0002-8329-4926; Castell, Nuria/0000-0002-2312-8168;</t>
  </si>
  <si>
    <t>ExtraStiftelsen project Ren luft for alle [2019/HE1-263918]</t>
  </si>
  <si>
    <t>ExtraStiftelsen project Ren luft for alle</t>
  </si>
  <si>
    <t>The creation of the citizen science toolbox for the campaign in Norway was partially funded by the ExtraStiftelsen project 2019/HE1-263918 Ren luft for alle led by NILU-Norwegian Institute for Air Research. The translation of the materials to other languages and the subsequent campaigns was done by members of the ECSA working group on air quality, without specific allocated funding.</t>
  </si>
  <si>
    <t>2624-9553</t>
  </si>
  <si>
    <t>FRONT CLIM</t>
  </si>
  <si>
    <t>Front. Clim.</t>
  </si>
  <si>
    <t>MAR 24</t>
  </si>
  <si>
    <t>10.3389/fclim.2021.639128</t>
  </si>
  <si>
    <t>L4WP7</t>
  </si>
  <si>
    <t>WOS:001023288300001</t>
  </si>
  <si>
    <t>Safford, H; Peters, CA</t>
  </si>
  <si>
    <t>Safford, Hannah; Peters, Catherine A.</t>
  </si>
  <si>
    <t>Citizen Science for Dissolved Oxygen Monitoring: Case Studies from Georgia and Rhode Island</t>
  </si>
  <si>
    <t>ENVIRONMENTAL ENGINEERING SCIENCE</t>
  </si>
  <si>
    <t>citizen science; dissolved oxygen; rivers; streams; U; S; Geological Survey; water monitoring</t>
  </si>
  <si>
    <t>Citizen science is emerging as an increasingly viable way to support existing water monitoring efforts. This article assesses whether water quality data collected by large numbers of volunteers are as reliable as data collected under strict oversight of a government agency, and considers the potential of citizen science to expand spatial and temporal coverage of water monitoring networks. The analysis hinges on comparison of data on water temperature and dissolved oxygen (DO) in freshwater streams and rivers collected by four entities: the United States Geological Survey (USGS) network of field scientists, the USGS network of automated sensors, the Georgia Adopt-A-Stream volunteer water monitoring program, and the University of Rhode Island Watershed Watch (URIWW) volunteer water monitoring program. We find that volunteer-collected data exhibit the expected relationship between temperature and DO. Furthermore, we find that volunteer- and USGS-collected data lie in roughly the same range, although volunteer-collected DO measurements are lower on average (by approximately 1mg/L in Georgia and 1.8mg/L in Rhode Island). The results indicate that volunteer-collected data can provide reliable information about freshwater DO levels. These data could be useful for informing water management decisionssuch as deciding where to focus restoration effortsbut may not be appropriate for applications in which highly precise data are required. We also comment on the growth potential of volunteer water monitoring efforts. Encouraging volunteers to collect data in high-priority or undersampled areas may help expand spatial and temporal coverage of volunteer monitoring networks while retaining high levels of participation.</t>
  </si>
  <si>
    <t>[Safford, Hannah; Peters, Catherine A.] Univ Calif Davis, Dept Civil &amp; Environm Engn, 2001 Ghausi Hall, Davis, CA 95616 USA</t>
  </si>
  <si>
    <t>University of California System; University of California Davis</t>
  </si>
  <si>
    <t>Safford, H (corresponding author), Univ Calif Davis, Dept Civil &amp; Environm Engn, 2001 Ghausi Hall, Davis, CA 95616 USA.</t>
  </si>
  <si>
    <t>hannahrsafford@gmail.com</t>
  </si>
  <si>
    <t>; Peters, Catherine/B-5381-2013</t>
  </si>
  <si>
    <t>Safford, Hannah/0000-0001-9283-2602; Peters, Catherine/0000-0003-2418-795X</t>
  </si>
  <si>
    <t>1092-8758</t>
  </si>
  <si>
    <t>1557-9018</t>
  </si>
  <si>
    <t>ENVIRON ENG SCI</t>
  </si>
  <si>
    <t>Environ. Eng. Sci.</t>
  </si>
  <si>
    <t>10.1089/ees.2017.0218</t>
  </si>
  <si>
    <t>Engineering, Environmental; Environmental Sciences</t>
  </si>
  <si>
    <t>Engineering; Environmental Sciences &amp; Ecology</t>
  </si>
  <si>
    <t>GB4FH</t>
  </si>
  <si>
    <t>WOS:000429015400010</t>
  </si>
  <si>
    <t>Schultz, CB; Brown, LM; Pelton, E; Crone, EE</t>
  </si>
  <si>
    <t>Schultz, Cheryl B.; Brown, Leone M.; Pelton, Emma; Crone, Elizabeth E.</t>
  </si>
  <si>
    <t>Citizen science monitoring demonstrates dramatic declines of monarch butterflies in western North America</t>
  </si>
  <si>
    <t>Citizen science; Count-based PVA; Danaus plexippus; Environmental stochasticity; MARSS; State-space model</t>
  </si>
  <si>
    <t>POPULATION; UNDERSTAND; HABITAT; GROWTH; PLANT; CYCLE; TIME</t>
  </si>
  <si>
    <t>Count-based PVA allows researchers to assess patterns of population change through time and to evaluate future persistence. We combined state-space models and citizen science data to evaluate viability of the western population of monarch butterflies over 36 years. A key feature of our analysis was combining irregular sampling from multiple sites to obtain a single estimate of total abundance using state-space models. The average population growth rate was negative, u = - 0.0762 (lambda = 0.927), average abundance in the 2000s was &lt; 5% of average abundance in the 1980s, and current quasi-extinction risk is 72% within 20 years. Despite wide confidence intervals in some parameter estimates, western monarch monitoring data provide unambiguous evidence for dramatic population declines. To obtain viable populations, managers could target historic abundance and high enough growth rates to avoid near-term extinction.</t>
  </si>
  <si>
    <t>[Schultz, Cheryl B.] Washington State Univ, Vancouver, WA 98686 USA; [Brown, Leone M.] Univ Georgia, Athens, GA 30602 USA; [Pelton, Emma] Xerces Soc, Portland, OR USA; [Crone, Elizabeth E.] Tufts Univ, Medford, MA 02155 USA</t>
  </si>
  <si>
    <t>Washington State University; University System of Georgia; University of Georgia; Tufts University</t>
  </si>
  <si>
    <t>Schultz, CB (corresponding author), Washington State Univ, Vancouver, WA 98686 USA.</t>
  </si>
  <si>
    <t>schultzc@wsu.edu</t>
  </si>
  <si>
    <t>Crone, Elizabeth/C-3935-2009</t>
  </si>
  <si>
    <t>Schultz, Cheryl/0000-0003-3388-8950</t>
  </si>
  <si>
    <t>USFWS</t>
  </si>
  <si>
    <t>USFWS(US Fish &amp; Wildlife Service)</t>
  </si>
  <si>
    <t>We thank USFWS for financial funding to support this project. We thank Mia Monroe and all the citizen scientists who collected decades of western monarch overwintering data.</t>
  </si>
  <si>
    <t>10.1016/j.biocon.2017.08.019</t>
  </si>
  <si>
    <t>FJ5JP</t>
  </si>
  <si>
    <t>WOS:000412788100038</t>
  </si>
  <si>
    <t>Zheng, H; Hong, Y; Long, D; Jing, H</t>
  </si>
  <si>
    <t>Zheng, Hang; Hong, Yang; Long, Di; Jing, Hua</t>
  </si>
  <si>
    <t>Monitoring surface water quality using social media in the context of citizen science</t>
  </si>
  <si>
    <t>HYDROLOGY AND EARTH SYSTEM SCIENCES</t>
  </si>
  <si>
    <t>VOLUNTEERED GEOGRAPHIC INFORMATION; PUBLIC-PARTICIPATION; COMMUNITY; MOTIVATION; NETWORK; DESIGN; GIS</t>
  </si>
  <si>
    <t>Surface water quality monitoring (SWQM) provides essential information for water environmental protection. However, SWQM is costly and limited in terms of equipment and sites. The global popularity of social media and intelligent mobile devices with GPS and photography functions allows citizens to monitor surface water quality. This study aims to propose a method for SWQM using social media platforms. Specifically, a WeChat-based application platform is built to collect water quality reports from volunteers, which have been proven valuable for water quality monitoring. The methods for data screening and volunteer recruitment are discussed based on the collected reports. The proposed methods provide a framework for collecting water quality data from citizens and offer a primary foundation for big data analysis in future research.</t>
  </si>
  <si>
    <t>[Zheng, Hang] Dongguan Univ Technol, Sch Environm &amp; Civil Engn, Dongguan 523106, Guangdong, Peoples R China; [Zheng, Hang] Univ Queensland, Sch Earth &amp; Environm Sci, Brisbane, Qld 4072, Australia; [Hong, Yang; Long, Di; Jing, Hua] Tsinghua Univ, Dept Hydraul Engn, State Key Lab Hydrosci &amp; Engn, Beijing 100084, Peoples R China</t>
  </si>
  <si>
    <t>Dongguan University of Technology; University of Queensland; Tsinghua University</t>
  </si>
  <si>
    <t>Zheng, H (corresponding author), Dongguan Univ Technol, Sch Environm &amp; Civil Engn, Dongguan 523106, Guangdong, Peoples R China.;Zheng, H (corresponding author), Univ Queensland, Sch Earth &amp; Environm Sci, Brisbane, Qld 4072, Australia.</t>
  </si>
  <si>
    <t>zhenghang@tsinghua.edu.cn</t>
  </si>
  <si>
    <t>Long, Di/N-8049-2013; Hong, Yang/D-5132-2009; JING, HUA/JEA-4542-2023; Zheng, Hang/G-9010-2012</t>
  </si>
  <si>
    <t>Long, Di/0000-0001-9033-5039; Hong, Yang/0000-0001-8720-242X;</t>
  </si>
  <si>
    <t>National Natural Science Foundation of China [51479089, 51323014]; 13th Five-Year Research Program from the Ministry of Science and Technology, China [2016YFC0401302]; Chinese Ministry of Water Resources Program [201401031]; State Key Laboratory of Hydroscience and Engineering, Tsinghua University [2014-KY-04]</t>
  </si>
  <si>
    <t>National Natural Science Foundation of China(National Natural Science Foundation of China (NSFC)); 13th Five-Year Research Program from the Ministry of Science and Technology, China; Chinese Ministry of Water Resources Program; State Key Laboratory of Hydroscience and Engineering, Tsinghua University</t>
  </si>
  <si>
    <t>This research is supported by the National Natural Science Foundation of China (51479089 and 51323014), the 13th Five-Year Research Program from the Ministry of Science and Technology, China (2016YFC0401302), the 2014 Chinese Ministry of Water Resources Program (201401031), and the State Key Laboratory of Hydroscience and Engineering, Tsinghua University (2014-KY-04).</t>
  </si>
  <si>
    <t>1027-5606</t>
  </si>
  <si>
    <t>1607-7938</t>
  </si>
  <si>
    <t>HYDROL EARTH SYST SC</t>
  </si>
  <si>
    <t>Hydrol. Earth Syst. Sci.</t>
  </si>
  <si>
    <t>FEB 15</t>
  </si>
  <si>
    <t>10.5194/hess-21-949-2017</t>
  </si>
  <si>
    <t>EM2RI</t>
  </si>
  <si>
    <t>WOS:000395162900002</t>
  </si>
  <si>
    <t>Kinchy, A</t>
  </si>
  <si>
    <t>Kinchy, Abby</t>
  </si>
  <si>
    <t>Citizen Science and Democracy: Participatory Water Monitoring in the Marcellus Shale Fracking Boom</t>
  </si>
  <si>
    <t>SCIENCE AS CULTURE</t>
  </si>
  <si>
    <t>democracy; voluntary associations; citizen science; natural gas; futures; preparedness</t>
  </si>
  <si>
    <t>NATURAL-GAS; IMPACTS; HISTORY; LAY</t>
  </si>
  <si>
    <t>Projections-the way that people collectively talk about the future-shape action in the present. This sociological observation has implications for citizen science initiatives that aim to confront powerful industries and produce social change. When people participate in citizen science associations-such as watershed monitoring organizations, the subject of this study-their actions and democratic sensibilities are affected by the ways that organizers and other volunteers project the future uses of the environmental data they are collecting. In this case, hundreds of people are participating in volunteer watershed monitoring groups in response to the fracking boom in the northeastern United States. Most of these efforts emphasize the collection of baseline data, which they view as essential to future efforts to hold polluters accountable. However, these projects tend to channel public concern about fracking toward future scientific controversies, instead of political action now to prevent pollution. Furthermore, baseline watershed monitoring efforts reinforce the epistemology of regulatory agencies, rather than generating alternative forms of knowledge about watershed health. Organizers actively work to convince volunteers that their work has meaning and that they are being empowered, but future-oriented data collection is often at odds with volunteers' current-day motivations. Scholars and activists have often heralded citizen science as a way to radically democratize environmental governance; however, to achieve this, citizen science must project futures that stimulate transformative actions in the present.</t>
  </si>
  <si>
    <t>[Kinchy, Abby] Rensselaer Polytech Inst, Sci &amp; Technol Studies Dept, Sage Lab Bldg,110 8th St, Troy, NY 12180 USA</t>
  </si>
  <si>
    <t>Kinchy, A (corresponding author), Rensselaer Polytech Inst, Sci &amp; Technol Studies Dept, Sage Lab Bldg,110 8th St, Troy, NY 12180 USA.</t>
  </si>
  <si>
    <t>kincha@rpi.edu</t>
  </si>
  <si>
    <t>National Science Foundation [1126235]; Direct For Social, Behav &amp; Economic Scie; Divn Of Social and Economic Sciences [1126235] Funding Source: National Science Foundation</t>
  </si>
  <si>
    <t>National Science Foundation(National Science Foundation (NSF)); Direct For Social, Behav &amp; Economic Scie; Divn Of Social and Economic Sciences(National Science Foundation (NSF)NSF - Directorate for Social, Behavioral &amp; Economic Sciences (SBE))</t>
  </si>
  <si>
    <t>This material is based upon work supported by the National Science Foundation under [grant number 1126235].</t>
  </si>
  <si>
    <t>0950-5431</t>
  </si>
  <si>
    <t>1470-1189</t>
  </si>
  <si>
    <t>SCI CULT-UK</t>
  </si>
  <si>
    <t>Sci. Cult.</t>
  </si>
  <si>
    <t>10.1080/09505431.2016.1223113</t>
  </si>
  <si>
    <t>Cultural Studies; History &amp; Philosophy Of Science</t>
  </si>
  <si>
    <t>Social Science Citation Index (SSCI); Arts &amp; Humanities Citation Index (A&amp;HCI)</t>
  </si>
  <si>
    <t>Cultural Studies; History &amp; Philosophy of Science</t>
  </si>
  <si>
    <t>EI7JG</t>
  </si>
  <si>
    <t>WOS:000392673000008</t>
  </si>
  <si>
    <t>Bitonto, FF; Costantino, R; Barberis, M; Bogo, G; Birtele, D; Cangelmi, G; Dal Cin, M; Devalez, J; Lenzi, L; Magagnoli, S; Minici, A; Sánchez, JM; Zenga, EL; Bortolotti, L; Navarro, L; Petanidou, T; Sgolastra, F; Traveset, A; Galloni, M</t>
  </si>
  <si>
    <t>Bitonto, Fortunato Fulvio; Costantino, Roberto; Barberis, Marta; Bogo, Gherardo; Birtele, Daniele; Cangelmi, Giacomo; Dal Cin, Matteo; Devalez, Jelle; Lenzi, Lucia; Magagnoli, Serena; Minici, Alessio; Sanchez, Jose Maria; Zenga, Emanuele Luigi; Bortolotti, Laura; Navarro, Luis; Petanidou, Theodora; Sgolastra, Fabio; Traveset, Anna; Galloni, Marta</t>
  </si>
  <si>
    <t>LIFE 4 Pollinators' platform: How citizen science can help monitoring plants and pollinators</t>
  </si>
  <si>
    <t>AOB PLANTS</t>
  </si>
  <si>
    <t>participatory web platform; threatened species; alien species; conservation; plant-pollinator interactions</t>
  </si>
  <si>
    <t>FALSE DISCOVERY RATE; BIODIVERSITY; SERVICES; BEES; CONSERVATION; DIVERSITY; PATTERNS; TOOLS</t>
  </si>
  <si>
    <t>Plant diversity is critical to ensure the future of humanity, as it provides essential ecosystem services and functioning. As recent estimates showed that animal-mediated pollination is crucial for the reproduction of approximately 90% of flowering plants, playing an essential role in maintaining biodiversity and agricultural productivity, effort to preserve plants cannot be disjoined from pollinator conservation initiatives. Despite their importance, pollinators have experienced alarming declines. The LIFE 4 Pollinators project was launched to involve people protecting wild bees and other pollinators in the Mediterranean. This study presents data collected through the project's web-platform, where users uploaded over 2,000 photographs of plant-pollinator interactions between 2021 and 2024. The dataset focuses on the identification of flower-visiting insects and plants, and the current study gives emphasis to citizen scientists' ability to identify plants and pollinators. 1,407 photo-records were analysed, revealing that bees and beetles were the most frequent pollinators, with plants of the Asteraceae and Cistaceae families being the most recorded. Users correctly identified 93.7% of insect taxonomic aggregations and 74.2% of plant species. The study also highlights the recording of threatened, alien, and invasive species, including the vulnerable Callicera spinolae and the invasive Vespa velutina. The plant-pollinator network analysis supports the floral syndrome concept, with floral morphologies like 'Head' and 'Disk' attracting a wide range of pollinators. The results indicate that citizen science contributes to the identification and monitoring of pollinators, generating knowledge that may be key to the conservation of these organisms and to better understand plant-pollinator interactions. Data collection through citizen-generated photographs allows to significantly expand the geographic area and the magnitude of studies, facilitating large-scale analyses that would be difficult to achieve with traditional monitoring methods. These findings provide a useful basis for future conservation initiatives and the development of policies aimed at mitigating pollinator decline.</t>
  </si>
  <si>
    <t>[Bitonto, Fortunato Fulvio; Barberis, Marta; Galloni, Marta] Univ Bologna, Dept Biol Geol &amp; Environm Sci, Via Irnerio 42, I-40126 Bologna, Italy; [Costantino, Roberto; Lenzi, Lucia; Magagnoli, Serena; Sgolastra, Fabio] Univ Bologna, Dept Agr &amp; Food Sci, Viale Giuseppe Fanin 42, I-40127 Bologna, Italy; [Costantino, Roberto] Reg Museum Nat Sci Torino, Via Giovanni Giolitti 36, I-10123 Turin, Italy; [Bogo, Gherardo; Zenga, Emanuele Luigi; Bortolotti, Laura] CREA Res Ctr Agr &amp; Environm, Via Corticella 133, I-40128 Bologna, Italy; [Birtele, Daniele] Reparto Carabinieri Biodivers Roma, Via Canale Lingua 74, I-00124 Rome, Italy; [Cangelmi, Giacomo] Univ Aquila, Dept Life Hlth &amp; Environm Sci, Via Vetoio 40, I-67100 Laquila, Italy; [Dal Cin, Matteo] Univ Siena, Dept Life Sci, Via Pier Andrea Mattioli 4, I-53100 Siena, Italy; [Devalez, Jelle; Petanidou, Theodora] Univ Aegean, Dept Geog, Lab Biogeog &amp; Ecol, Univ Hill, Mitilini 81100, Greece; [Minici, Alessio] Univ Verona, Dept Comp Sci, Str Grazie 15, I-37134 Verona, Italy; [Sanchez, Jose Maria; Navarro, Luis] Univ Vigo, Dept Plant Biol &amp; Soil Sci, Fac Sci, Campus Lagoas Marcosende, Vigo 36310, Spain; [Zenga, Emanuele Luigi] Univ Turin, Dept Agr Forest &amp; Food Sci, Largo Paolo Braccini 2, I-10095 Turin, Italy; [Traveset, Anna] Mediterranean Inst Adv Studies, Global Change Res Grp, C Miguel Marques 21, Mallorca 07190, Balearic Island, Spain</t>
  </si>
  <si>
    <t>University of Bologna; University of Bologna; University of L'Aquila; University of Siena; University of Aegean; University of Verona; Universidade de Vigo; University of Turin; Consejo Superior de Investigaciones Cientificas (CSIC); ATTITUS Educacao</t>
  </si>
  <si>
    <t>Barberis, M (corresponding author), Univ Bologna, Dept Biol Geol &amp; Environm Sci, Via Irnerio 42, I-40126 Bologna, Italy.</t>
  </si>
  <si>
    <t>marta.barberis2@unibo.it</t>
  </si>
  <si>
    <t>Barberis, Marta/AAT-5790-2020; Bitonto, Fortunato Fulvio/NSU-6945-2025; Bogo, Gherardo/AAX-9831-2021; Dal Cin, Matteo/LXW-4169-2024; Navarro, Luis/C-4175-2008; Galloni, Marta/K-4849-2015; Traveset, Anna/D-7802-2011; Sgolastra, Fabio/AAG-2839-2019; Petanidou, Theodora/C-9399-2011; Bortolotti, Laura/ABD-9669-2020; Costantino, Roberto/PJA-5122-2026</t>
  </si>
  <si>
    <t>Barberis, Marta/0000-0002-1062-4760; Minici, Alessio/0009-0009-4784-3789; Cangelmi, Giacomo/0009-0004-8411-4175; Bitonto, Fortunato Fulvio/0009-0008-9185-6758; Zenga, Emanuele Luigi/0009-0000-9821-4485; Bogo, Gherardo/0000-0001-7415-2224; Lenzi, Lucia/0000-0001-8838-822X; Dal Cin, Matteo/0009-0006-7216-1438; Navarro, Luis/0000-0002-8308-2237; Magagnoli, Serena/0000-0002-5276-4649; Galloni, Marta/0000-0001-5304-7820; Costantino, Roberto/0000-0003-3428-1077;</t>
  </si>
  <si>
    <t>Italian National Recovery and Resilience Plan (NRRP) [CUP J33C22001190001]; European Union; PolinIslas [OAPN 2713/2021]; IslandLife ERC project [101054177]; European Research Council (ERC) [101054177] Funding Source: European Research Council (ERC)</t>
  </si>
  <si>
    <t>Italian National Recovery and Resilience Plan (NRRP); European Union(European Union (EU)); PolinIslas; IslandLife ERC project; European Research Council (ERC)(European Research Council (ERC))</t>
  </si>
  <si>
    <t>Research project implemented under the LIFE 4 Pollinators Project (LIFE18/GIE/IT/000755). MG was partially sup-ported by the Italian National Recovery and Resilience Plan (NRRP), Project title 'National Biodiversity Future Center -NBFC'. CUP J33C22001190001. FFB's PhD grant was co-financed by the European Union- FSE REACT EU - PON R&amp;I 2014-2020. AT, JMS and LN were partially supported by PolinIslas (ref. OAPN 2713/2021) project. AT was also partially supported by IslandLife ERC project under the Horizon 2020 Research and Innovation Programme (ref. 101054177).</t>
  </si>
  <si>
    <t>2041-2851</t>
  </si>
  <si>
    <t>Aob Plants</t>
  </si>
  <si>
    <t>plaf023</t>
  </si>
  <si>
    <t>10.1093/aobpla/plaf023</t>
  </si>
  <si>
    <t>Plant Sciences; Ecology</t>
  </si>
  <si>
    <t>Plant Sciences; Environmental Sciences &amp; Ecology</t>
  </si>
  <si>
    <t>4CH5N</t>
  </si>
  <si>
    <t>WOS:001514615900001</t>
  </si>
  <si>
    <t>Richter, A; Comay, O; Svenningsen, CS; Larsen, JC; Hecker, S; Tottrup, AP; Pe'er, G; Dunn, RR; Bonn, A; Marselle, M</t>
  </si>
  <si>
    <t>Richter, Anett; Comay, Orr; Svenningsen, Cecilie S.; Larsen, Jonas Colling; Hecker, Susanne; Tottrup, Anders P.; Pe'er, Guy; Dunn, Robert R.; Bonn, Aletta; Marselle, Melissa</t>
  </si>
  <si>
    <t>Motivation and support services in citizen science insect monitoring: A cross-country study</t>
  </si>
  <si>
    <t>Citizen science; Monitoring; Motives; Engagement; Insects; Cross-country comparison</t>
  </si>
  <si>
    <t>INTRINSIC MOTIVATION; VOLUNTEERS; COMMUNITY; KNOWLEDGE; TERRESTRIAL; DECLINES; BARRIERS; SELF</t>
  </si>
  <si>
    <t>The design and successful performance of citizen science-based monitoring require an understanding of the motivation and the needs of participants. Herem we use a questionnaire to assess intrinsic and extrinsic motivations and investigate in links between project support service and motivations in 181 participants taking part in three insect-focused citizen science projects in Denmark, Germany and Israel. Across all three countries, main intrinsic motivation for participating in the projects were to have fun and to do something (good) for nature. Equally important across all countries were extrinsic motivations such as contribute to science and contribute to nature conservation. Interestingly, differences in the projects (country or program-type) were more strongly related to respondent's motivation than demographic variables such as age and gender. Linking project support services to participants' intrinsic and extrinsic motivations revealed that the intrinsic motivation of feeling a part of the community as well as the extrinsic motivation learning and the service to provide training on insect identification were positively related. Interestingly, the support service of monetary incentives was negatively related with the motivation to conserve species generally and conserve insects specifically. We conclude, that early identification of the citizen scientists' motivation and the assessment of how motivations may change over time are important to foster successful and sustainable citizen science monitoring programs. International networks of (potentially similar) biodiversity monitoring schemes should consider differences in cultural background and citizen scientist's requirements, and accordingly tailor the projects designs to activate, train, and support participants according to their needs.</t>
  </si>
  <si>
    <t>[Richter, Anett] Thunen Inst Biodivers, Bundesallee 50, D-38116 Braunschweig, Germany; [Richter, Anett; Comay, Orr; Hecker, Susanne; Pe'er, Guy; Bonn, Aletta; Marselle, Melissa] UFZ Helmholtz Ctr Environm Res, Dept Ecosyst Serv, Permoserstr 15, D-04318 Leipzig, Germany; [Richter, Anett; Comay, Orr; Hecker, Susanne; Pe'er, Guy; Bonn, Aletta; Marselle, Melissa] Halle Jena Leipzig, German Ctr Integrat Biodivers Res iDiv, Deutsch Pl 5e, D-04103 Leipzig, Germany; [Comay, Orr] Tel Aviv Univ, Sch Zool, IL-6997801 Tel Aviv, Israel; [Comay, Orr] Tel Aviv Univ, Steinhardt Museum Nat Hist, IL-6997801 Tel Aviv, Israel; [Svenningsen, Cecilie S.; Larsen, Jonas Colling; Tottrup, Anders P.] Univ Copenhagen, Nat Hist Museum Denmark, Oster Voldgade 5-7, DK-1350 Copenhagen, Denmark; [Pe'er, Guy] UFZ Helmholtz Ctr Environm Res, Dept Econ, Permoserstr 15, D-04318 Leipzig, Germany; [Pe'er, Guy] Univ Leipzig, Augustuspl 10, D-04109 Leipzig, Germany; [Dunn, Robert R.] North Carolina State Univ, Dept Appl Ecol, Raleigh, NC 27695 USA; [Bonn, Aletta] Friedrich Schiller Univ, Dept Biodivers, Dornburger Str 159, D-07743 Jena, Germany; [Marselle, Melissa] Univ Surrey, Sch Psychol, Environm Psychol Res Grp, Guildford, Surrey, England</t>
  </si>
  <si>
    <t>Johann Heinrich von Thunen Institute; Helmholtz Association; Helmholtz Center for Environmental Research (UFZ); German Research Foundation (DFG); German Centre for Integrative Biodiversity Research (iDiv); Tel Aviv University; Tel Aviv University; University of Copenhagen; Helmholtz Association; Helmholtz Center for Environmental Research (UFZ); Leipzig University; North Carolina State University; Friedrich Schiller University of Jena; University of Surrey</t>
  </si>
  <si>
    <t>Richter, A (corresponding author), Thunen Inst Biodivers, Bundesallee 50, D-38116 Braunschweig, Germany.</t>
  </si>
  <si>
    <t>anett.richter@thuenen.de</t>
  </si>
  <si>
    <t>Dunn, Robert/B-1360-2013; Bonn, Aletta/A-2164-2013; Svenningsen, Cecilie/U-8292-2017; Hecker, Susanne/AAE-7505-2020; Tøttrup, Anders/N-3836-2013</t>
  </si>
  <si>
    <t>Dunn, Robert/0000-0002-6030-4837; Bonn, Aletta/0000-0002-8345-4600; Marselle, Melissa/0000-0002-3245-7473; Svenningsen, Cecilie/0000-0002-9216-2917;</t>
  </si>
  <si>
    <t>10.1016/j.biocon.2021.109325</t>
  </si>
  <si>
    <t>WM0KA</t>
  </si>
  <si>
    <t>WOS:000710783000008</t>
  </si>
  <si>
    <t>Vianna, GMS; Meekan, MG; Bornovski, TH; Meeuwig, JJ</t>
  </si>
  <si>
    <t>Vianna, Gabriel M. S.; Meekan, Mark G.; Bornovski, Tova H.; Meeuwig, Jessica J.</t>
  </si>
  <si>
    <t>Acoustic Telemetry Validates a Citizen Science Approach for Monitoring Sharks on Coral Reefs</t>
  </si>
  <si>
    <t>UNDERWATER VISUAL-CENSUS; PATTERNS; RATES; IDENTIFICATION; PERFORMANCE; ABUNDANCE; BIAS</t>
  </si>
  <si>
    <t>Citizen science is promoted as a simple and cost-effective alternative to traditional approaches for the monitoring of populations of marine megafauna. However, the reliability of datasets collected by these initiatives often remains poorly quantified. We compared datasets of shark counts collected by professional dive guides with acoustic telemetry data from tagged sharks collected at the same coral reef sites over a period of five years. There was a strong correlation between the number of grey reef sharks (Carcharhinus amblyrhynchos) observed by dive guides and the telemetry data at both daily and monthly intervals, suggesting that variation in relative abundance of sharks was detectable in datasets collected by dive guides in a similar manner to data derived from telemetry at these time scales. There was no correlation between the number or mean depth of sharks recorded by telemetry and the presence of tourist divers, suggesting that the behaviour of sharks was not affected by the presence of divers during our study. Data recorded by dive guides showed that current strength and temperature were important drivers of the relative abundance of sharks at monitored sites. Our study validates the use of datasets of shark abundance collected by professional dive guides in frequently-visited dive sites in Palau, and supports the participation of experienced recreational divers as contributors to long-term monitoring programs of shark populations.</t>
  </si>
  <si>
    <t>[Vianna, Gabriel M. S.; Meeuwig, Jessica J.] Univ Western Australia, Sch Anim Biol, Perth, WA 6009, Australia; [Vianna, Gabriel M. S.; Meeuwig, Jessica J.] Univ Western Australia, UWA Oceans Inst, Perth, WA 6009, Australia; [Vianna, Gabriel M. S.; Meekan, Mark G.] Australian Inst Marine Sci, Perth, WA, Australia; [Bornovski, Tova H.] Micronesian Shark Fdn, Koror, Palau</t>
  </si>
  <si>
    <t>University of Western Australia; University of Western Australia; Australian Institute of Marine Science</t>
  </si>
  <si>
    <t>Vianna, GMS (corresponding author), Univ Western Australia, Sch Anim Biol, Perth, WA 6009, Australia.</t>
  </si>
  <si>
    <t>gabe.vianna@gmail.com</t>
  </si>
  <si>
    <t>Meekan, Mark/0000-0002-3067-9427; Meeuwig AM, Jessica/0000-0003-1169-8785</t>
  </si>
  <si>
    <t>Save Our Seas Foundation</t>
  </si>
  <si>
    <t>Financial support for the acoustic telemetry was provided by the Save Our Seas Foundation. The funders had no role in study design, data collection and analysis, decision to publish, or preparation of the manuscript.</t>
  </si>
  <si>
    <t>APR 23</t>
  </si>
  <si>
    <t>e95565</t>
  </si>
  <si>
    <t>10.1371/journal.pone.0095565</t>
  </si>
  <si>
    <t>AG3EI</t>
  </si>
  <si>
    <t>WOS:000335298200065</t>
  </si>
  <si>
    <t>Eby, R; Rosso, S; Copriviza, J; Scoles, R; Gideon, Y; Mancino, J; Mayer, K; Yee, J; Wasson, K</t>
  </si>
  <si>
    <t>Eby, Ron; Rosso, Susan; Copriviza, John; Scoles, Robert; Gideon, Yohn; Mancino, Joseph; Mayer, Karl; Yee, Julie; Wasson, Kerstin</t>
  </si>
  <si>
    <t>Sea otters in a California estuary: Detecting temporal and spatial dynamics with volunteer monitoring</t>
  </si>
  <si>
    <t>ECOSPHERE</t>
  </si>
  <si>
    <t>citizen science; estuary; marine mammal; monitoring; sea otter; seagrass</t>
  </si>
  <si>
    <t>SALT-MARSH; CONSERVATION; HABITAT; SCIENCE</t>
  </si>
  <si>
    <t>Volunteer monitoring can support conservation of imperiled wildlife, by providing higher resolution data in space and time than those available from professional scientists. However, concerns have been raised that data collected by amateurs are inaccurate or inconsistent and thus do not allow for robust detection of spatial or temporal trends. We evaluated the rigor and value of volunteer monitoring data for one iconic wildlife species, the southern sea otter (Enhydra lutris nereis), in Elkhorn Slough estuary in central California, USA, and explored whether volunteer monitoring could provide added value to complement limited professional surveys. First, we compiled and analyzed sea otter counts taken on daily ecotourist boat trips along the estuary, and then compared temporal patterns to data collected by professional scientists tasked with monitoring this federally listed species. Second, we analyzed data on sea otter abundance, habitat use, and behavior collected by a team of trained volunteers, the Elkhorn Slough Reserve Otter Monitoring Program. Overall, we demonstrated the ability to detect important ecological patterns relevant to sea otter conservation and wetland habitat management using volunteer-derived datasets. Long-term trends and inter-annual variability were similar between professional agency monitoring data and volunteer datasets. Moreover, the much higher frequency of volunteer observations allowed for seasonal and tidal dynamics to be detected that could not be revealed by less frequent professional monitoring. We found higher sea otter abundance in the estuary in spring-summer, indicating seasonality in use of the estuary. We detected differences in habitat use of the estuary between higher and lower tides, and greater frequency of foraging at low tide and in certain areas. Volunteer observations revealed fine-scale differences in habitat use: eelgrass beds were used much more heavily than adjacent areas only a few meters away. Volunteer data can thus provide critical information about coastal habitat use and behavior that can improve conservation strategies for threatened wildlife species.</t>
  </si>
  <si>
    <t>[Eby, Ron; Rosso, Susan; Copriviza, John; Scoles, Robert; Wasson, Kerstin] Elkhorn Slough Natl Estuarine Res Reserve, Watsonville, CA USA; [Gideon, Yohn; Mancino, Joseph] Elkhorn Slough Safari, Moss Landing, CA USA; [Mayer, Karl] Monterey Bay Aquarium, Monterey, CA USA; [Yee, Julie] Western Ecol Res Ctr, US Geol Survey, Santa Cruz, CA USA; [Wasson, Kerstin] Univ Calif Santa Cruz, Dept Ecol &amp; Evolutionary Biol, Santa Cruz, CA 95064 USA</t>
  </si>
  <si>
    <t>Monterey Bay Aquarium Research Institute; United States Department of the Interior; United States Geological Survey; University of California System; University of California Santa Cruz</t>
  </si>
  <si>
    <t>Wasson, K (corresponding author), Univ Calif Santa Cruz, Dept Ecol &amp; Evolutionary Biol, Santa Cruz, CA 95064 USA.</t>
  </si>
  <si>
    <t>kerstin.wasson@gmail.com</t>
  </si>
  <si>
    <t>Wasson, Kerstin/0000-0002-1858-4505; Yee, Julie/0000-0003-1782-157X</t>
  </si>
  <si>
    <t>2150-8925</t>
  </si>
  <si>
    <t>Ecosphere</t>
  </si>
  <si>
    <t>e4300</t>
  </si>
  <si>
    <t>10.1002/ecs2.4300</t>
  </si>
  <si>
    <t>6P8QZ</t>
  </si>
  <si>
    <t>WOS:000891192100001</t>
  </si>
  <si>
    <t>Kramer, ER; Klug, JL; White, R; Bollard, GL</t>
  </si>
  <si>
    <t>Kramer, Emma R.; Klug, Jennifer L.; White, Rebekah; Bollard, Gregory L.</t>
  </si>
  <si>
    <t>Volunteer monitoring reveals contrasting effects of invasive species and river inflow on water clarity</t>
  </si>
  <si>
    <t>LAKE AND RESERVOIR MANAGEMENT</t>
  </si>
  <si>
    <t>Citizen-Led Environmental Observatory (CLEO); invasive species; Lake Lillinonah; multiple stressors; reservoir; volunteer monitoring</t>
  </si>
  <si>
    <t>WATERMILFOIL MYRIOPHYLLUM-SPICATUM; EURASIAN WATERMILFOIL; ZEBRA MUSSELS; LAKE; IMPACTS; EUTROPHICATION; TRENDS; CLIMATE; QUALITY</t>
  </si>
  <si>
    <t>Kramer ER, Klug JL, White R, Bollard GL. 2025. Volunteer monitoring reveals contrasting effects of invasive species and river inflow on water clarity. Lake Reserv Manage. XXX-XXX.Water clarity is an easily recognizable feature of aquatic ecosystems and an important indicator of overall water quality. Variability in water clarity is driven by a variety of abiotic and biotic factors, and distinguishing the importance of each factor may be difficult. We used data from a volunteer water quality monitoring program to identify the important drivers of water clarity in Lake Lillinonah, a eutrophic hydroelectric reservoir in western Connecticut, USA. An increase in average weekly Secchi depth during our 11-yr study period was associated with an increase in 2 invasive species, Dreissena polymorpha (zebra mussels) and Myriophyllum spicatum (Eurasian watermilfoil). Other important drivers of intra- and interannual variability in water clarity were river discharge and nutrient concentration, which were associated with decreased water clarity. These results highlight the vital role that volunteers play in water quality monitoring and the importance of considering multiple interacting drivers when making decisions related to lake management.</t>
  </si>
  <si>
    <t>[Kramer, Emma R.; Klug, Jennifer L.] Fairfield Univ, Biol Dept, Fairfield, CT 06824 USA; [White, Rebekah; Bollard, Gregory L.] Friends Lake, Bridgewater, CT USA; [Kramer, Emma R.] Boston Coll, Biol Dept, Chestnut Hill, MA 02467 USA</t>
  </si>
  <si>
    <t>Fairfield University; Boston College</t>
  </si>
  <si>
    <t>Klug, JL (corresponding author), Fairfield Univ, Biol Dept, Fairfield, CT 06824 USA.</t>
  </si>
  <si>
    <t>jklug@fairfield.edu</t>
  </si>
  <si>
    <t>Klug, Jennifer/0000-0002-9659-2615</t>
  </si>
  <si>
    <t>Friends of the Lake; Meditz College of Arts and Sciences at Fairfield University</t>
  </si>
  <si>
    <t>Thank you to all past and present CLEO monitors! Your work is an important part of protecting Lake Lillinonah. Funding for CLEO is provided by Friends of the Lake, the Meditz College of Arts and Sciences at Fairfield University, and the Lake Lillinonah Authority. We thank Andrew Paterson and 3 anonymous reviewers for helpful feedback on an earlier version of this article.</t>
  </si>
  <si>
    <t>1040-2381</t>
  </si>
  <si>
    <t>2151-5530</t>
  </si>
  <si>
    <t>LAKE RESERV MANAGE</t>
  </si>
  <si>
    <t>Lake Reserv. Manag.</t>
  </si>
  <si>
    <t>OCT 2</t>
  </si>
  <si>
    <t>10.1080/10402381.2025.2562514</t>
  </si>
  <si>
    <t>SEP 2025</t>
  </si>
  <si>
    <t>Limnology; Marine &amp; Freshwater Biology; Water Resources</t>
  </si>
  <si>
    <t>Marine &amp; Freshwater Biology; Water Resources</t>
  </si>
  <si>
    <t>Q0377</t>
  </si>
  <si>
    <t>WOS:001597739400001</t>
  </si>
  <si>
    <t>Arazy, O; Malkinson, D</t>
  </si>
  <si>
    <t>Arazy, Ofer; Malkinson, Dan</t>
  </si>
  <si>
    <t>A Framework of Observer-Based Biases in Citizen Science Biodiversity Monitoring: Semi-Structuring Unstructured Biodiversity Monitoring Protocols</t>
  </si>
  <si>
    <t>citizen science; biodiversity; monitoring; biases; framework</t>
  </si>
  <si>
    <t>MODELS; TOOL; EBIRD</t>
  </si>
  <si>
    <t>Citizen science, whereby ordinary citizens participate in scientific endeavors, is widely used for biodiversity monitoring, most commonly by relying on unstructured monitoring approaches. Notwithstanding the potential of unstructured citizen science to engage the public and collect large amounts of biodiversity data, observers' considerations regarding what, where and when to monitor result in biases in the aggregate database, thus impeding the ability to draw conclusions about trends in species' spatio-temporal distribution. Hence, the goal of this study is to enhance our understanding of observer-based biases in citizen science for biodiversity monitoring. Toward this goals we: (a) develop a conceptual framework of observers' decision-making process along the steps of monitor - &gt; record and share, identifying the considerations that take place at each step, specifically highlighting the factors that influence the decisions of whether to record an observation (b) propose an approach for operationalizing the framework using a targeted and focused questionnaire, which gauges observers' preferences and behavior throughout the decision-making steps, and (c) illustrate the questionnaire's ability to capture the factors driving observer-based biases by employing data from a local project on the iNaturalist platform. Our discussion highlights the paper's theoretical contributions and proposes ways in which our approach for semi-structuring unstructured citizen science data could be used to mitigate observer-based biases, potentially making the collected biodiversity data usable for scientific and regulatory purposes.</t>
  </si>
  <si>
    <t>[Arazy, Ofer] Univ Haifa, Dept Informat Syst, Haifa, Israel; [Malkinson, Dan] Univ Haifa, Shamir Res Inst, Dept Geog &amp; Environm Studies, Haifa, Israel</t>
  </si>
  <si>
    <t>University of Haifa; University of Haifa</t>
  </si>
  <si>
    <t>Arazy, O (corresponding author), Univ Haifa, Dept Informat Syst, Haifa, Israel.</t>
  </si>
  <si>
    <t>oarazy@is.haifa.ac.il</t>
  </si>
  <si>
    <t>University of Haifa's Data Science Research Center (DSRC)</t>
  </si>
  <si>
    <t>This research was funded in part by the University of Haifa's Data Science Research Center (DSRC).</t>
  </si>
  <si>
    <t>JUL 19</t>
  </si>
  <si>
    <t>10.3389/fevo.2021.693602</t>
  </si>
  <si>
    <t>TT3CN</t>
  </si>
  <si>
    <t>WOS:000680228000001</t>
  </si>
  <si>
    <t>Millán, J; Rodríguez-Pastor, R; Muñoz-Hernández, C; Sánchez-Sánchez, M; Moraga-Fernández, A; Fernández-Ruiz, N; de Mera, IGF; Estrada-Peña, A</t>
  </si>
  <si>
    <t>Millan, Javier; Rodriguez-Pastor, Ruth; Munoz-Hernandez, Clara; Sanchez-Sanchez, Marta; Moraga-Fernandez, Alberto; Fernandez-Ruiz, Natalia; Fernandez de Mera, Isabel G.; Estrada-Pena, Agustin</t>
  </si>
  <si>
    <t>'Bites of Knowledge': Ticks and Tick-Borne Pathogens Unveiled Through a Citizen Science Programme in Northern Spain</t>
  </si>
  <si>
    <t>ZOONOSES AND PUBLIC HEALTH</t>
  </si>
  <si>
    <t>citizen science; north-eastern Spain; tick-borne diseases; ticks; wildlife</t>
  </si>
  <si>
    <t>BURGDORFERI SENSU-LATO; RICKETTSIA-MASSILIAE; DERMACENTOR-MARGINATUS; LYME-DISEASE; IXODIDAE; ACARI; DNA; IDENTIFICATION; DIVERSITY; INFECTION</t>
  </si>
  <si>
    <t>Introduction We present the findings of a citizen science project conducted in the Autonomous Region of Arag &amp; oacute;n (northern Spain), which engaged rural schoolchildren, wildlife rangers, hunters, and members of the general public.Methods Over the course of one year (April 2022-April 2023; three months for the schoolchildren), participants collected a total of 913 ticks (98.8% adult specimens) representing 13 species from across the region. The contributions included 373 ticks collected by schoolchildren, 319 by hunters, 108 by rangers, 91 by other volunteers, and 22 by the research team. Of these, 54 ticks were gathered from vegetation, 422 from wildlife (spanning nine animal species), 362 from pets, 44 from humans, and 30 from livestock.Results Species identified were Rhipicephalus sanguineus s.l., Rhipicephalus sanguineus s.s., Rhipicephalus pusillus, Rhipicephalus bursa, Dermacentor marginatus, Ixodes hexagonus, Ixodes ricinus, Ixodes frontalis, Haemaphysalis punctata, Haemaphysalis sulcata, Haemaphysalis inermis, Hyalomma marginatum, and Hyalomma lusitanicum. DNA of a subset of 349 individual ticks was extracted and the presence of Rickettsia spp., Anaplasmataceae, and Borrelia burgdorferi sensu lato (the latter, only in Ixodes spp.) was analysed either individually (n = 62) or in pools containing 2-5 ticks (n = 79), of which 101 resulted positive: 88 were positive for Rickettsia spp., revealing the presence of Rickettsia massiliae, Rickettsia slovaca, Rickettsia conorii subsp. raoultii, Rickettsia aeschlimannii, Rickettsia hoogstraalii, Rickettsia helvetica, and Candidatus Rickettsia barbariae; 34 for Anaplasmataceae (both Ehrlichia spp. and Anaplasma spp., but in many cases was identified as endosymbionts); and three for B. burgdorferi s.l., with only one readable sequence (Borrelia valaisiana). Pathogens detected in ticks from humans included R. massiliae (n = 3), R. conorii raoultii, R. aeschlimannii and Ca. R. barbariae.Conclusions This study identified previously unreported tick-host-pathogen associations and contributed to raising awareness about the public health significance of ticks and strategies for their prevention.</t>
  </si>
  <si>
    <t>[Millan, Javier; Rodriguez-Pastor, Ruth] Univ Zaragoza, Inst Agroalimentario Aragon IA2, CITA, Zaragoza, Spain; [Millan, Javier] Fdn ARAID, Avda Ranillas 1, Zaragoza, Spain; [Millan, Javier] Univ Andres Bello, One Hlth Inst, Fac Ciencias Vida, Santiago, Chile; [Munoz-Hernandez, Clara; Sanchez-Sanchez, Marta; Moraga-Fernandez, Alberto; Fernandez de Mera, Isabel G.] UCLM, JCCM, IREC, CSIC,SaBio Inst Invest Recursos Cineget, Ciudad Real, Spain; [Fernandez-Ruiz, Natalia; Estrada-Pena, Agustin] Univ Zaragoza, Fac Vet, Dept Patol Anim, Zaragoza, Spain; [Estrada-Pena, Agustin] Minist Sanidad CCAES, Madrid, Spain</t>
  </si>
  <si>
    <t>University of Zaragoza; Universidad Andres Bello; Universidad de Castilla-La Mancha; Consejo Superior de Investigaciones Cientificas (CSIC); CSIC - Instituto de Investigacion en Recursos Cinegeticos (IREC); University of Zaragoza</t>
  </si>
  <si>
    <t>Millán, J (corresponding author), Univ Zaragoza, Inst Agroalimentario Aragon IA2, CITA, Zaragoza, Spain.;Millán, J (corresponding author), Fdn ARAID, Avda Ranillas 1, Zaragoza, Spain.;Millán, J (corresponding author), Univ Andres Bello, One Hlth Inst, Fac Ciencias Vida, Santiago, Chile.</t>
  </si>
  <si>
    <t>syngamustrachea@hotmail.com</t>
  </si>
  <si>
    <t>Rodríguez-Pastor, Ruth/E-7922-2016; Millán, Javier/B-5399-2008; Muñoz-Hernández, Clara/T-6910-2017; Sánchez Sánchez, Marta/LZH-1204-2025; Moraga Fernández, Alberto/AAC-5715-2020; García Fernandez de Mera, Isabel/F-6623-2013</t>
  </si>
  <si>
    <t>Rodríguez-Pastor, Ruth/0000-0001-8435-6386; Millán, Javier/0000-0001-5608-781X; Muñoz-Hernández, Clara/0000-0001-9847-8616; Sánchez Sánchez, Marta/0000-0002-1114-6334; Moraga Fernández, Alberto/0000-0002-6303-2937; Estrada Peña, Agustín/0000-0001-7483-046X; García Fernandez de Mera, Isabel/0000-0001-5936-4018</t>
  </si>
  <si>
    <t>Fundacin Espaola para la Ciencia y la Tecnologa [FCT-20-15766]; European Regional Development Fund [2022-GRIN-34227]</t>
  </si>
  <si>
    <t>Fundacin Espaola para la Ciencia y la Tecnologa; European Regional Development Fund(European Union (EU))</t>
  </si>
  <si>
    <t>This study was funded by FECYT (FCT-20-15766). RRP was supported by a Maria Zambrano postdoctoral contract (aid for the requalification of the Spanish University System, for 2021-2023) funded by the Ministry of Universities and the European Union-NextGenerationEU. CMH was supported by a postdoctoral contract Margarita Salas (University of Murcia) from the Programme of Requalification of the Spanish University System (Spanish Ministry of Universities) financed by the European Union-NextGenerationEU. AMF was supported by the Research Plan of the University of Castilla-La Mancha, UCLM. MSS was supported by PTA2022-022349-I financed by MCIN/AEI/10.13039/501100011033 and FSE+ and by the JAE-PRE grant (JAEPR23054-CSIC). IGFM is part of the CSIC's Global Health Platform (PTI Salud Global). This received partial support from the 2022-GRIN-34227 grant funded by the UCLM and FEDER. The funders had no role in study design, data collection and analysis, decision to publish, or preparation of the manuscript.</t>
  </si>
  <si>
    <t>1863-1959</t>
  </si>
  <si>
    <t>1863-2378</t>
  </si>
  <si>
    <t>ZOONOSES PUBLIC HLTH</t>
  </si>
  <si>
    <t>Zoonoses Public Health</t>
  </si>
  <si>
    <t>10.1111/zph.70030</t>
  </si>
  <si>
    <t>Public, Environmental &amp; Occupational Health; Infectious Diseases; Veterinary Sciences</t>
  </si>
  <si>
    <t>DC1BE</t>
  </si>
  <si>
    <t>Green Published</t>
  </si>
  <si>
    <t>WOS:001630050600001</t>
  </si>
  <si>
    <t>Sgroi, G; D'Alessio, N; Marucci, G; Pacifico, L; Buono, F; Deak, G; Anastasio, A; Interisano, M; Fraulo, P; Pesce, A; Toscano, V; Romano, AC; Toce, M; Palazzo, L; De Carlo, E; Fioretti, A; Veneziano, V</t>
  </si>
  <si>
    <t>Sgroi, Giovanni; D'Alessio, Nicola; Marucci, Gianluca; Pacifico, Laura; Buono, Francesco; Deak, Georgiana; Anastasio, Aniello; Interisano, Maria; Fraulo, Pasquale; Pesce, Antonella; Toscano, Valerio; Romano, Antonella Cristina; Toce, Mariateresa; Palazzo, Lucia; De Carlo, Esterina; Fioretti, Alessandro; Veneziano, Vincenzo</t>
  </si>
  <si>
    <t>Trichinella britovi in wild boar meat from Italy, 2015-2021: A citizen science approach to surveillance</t>
  </si>
  <si>
    <t>ONE HEALTH</t>
  </si>
  <si>
    <t>Citizen science; Food safety; Game meat; Public health; Trichinella britovi; Wild boar</t>
  </si>
  <si>
    <t>INFECTION; TRICHINOSIS; SPIRALIS</t>
  </si>
  <si>
    <t>As a result of the increase of game meat intended for human consumption through Europe, a plethora of food-borne diseases, including trichinellosis, may occur in consumers, posing a relevant public health threat.Thus, this study aims to a citizen science approach to monitor the occurrence of Trichinella spp. in wild boar meat intended for human consumption, evaluating the risk of infection for consumers.Following the European Regulation 2015/1375 (laying down specific rules on official controls for Trichinella in meat), from 2015 to 2021, hunters (n = 478) were involved to collect diaphragm pillar samples of wild boars from mainland southern Italy, which were tested for Trichinella spp. L1 larvae via HCl-pepsin digestion and Multiplex PCR.Overall, 139,160 animals were collected (average of 19,880 per year), being 14 (i.e., 0.01%) tested positive to Trichinella britovi by the combined biochemical and molecular approach. An average larval burden of 28.4 L1 per gram of meat was found (minimum 3.2 -maximum 132.6). A statistically significant difference was found in the prevalence according to hunting seasons (p &lt; 0.01, with higher values in 2016 and 2021) and regions of the study area (p &lt; 0.01). No statistically significant decrease in the prevalence of T. britovi throughout the study period was found (p = 0.51), except in Apulia region (p &lt; 0.01).These findings revealed a stable prevalence of T. britovi in wild boar meat intended for human consumption, suggesting a risk of infection for consumers, especially hunters and local markets users. Citizen science sur-veillance models could be promoted to improve trichinellosis control and prevention in a One Health perspective.</t>
  </si>
  <si>
    <t>[Sgroi, Giovanni; D'Alessio, Nicola; Fraulo, Pasquale; Pesce, Antonella; De Carlo, Esterina] Expt Zooprophylact Inst Southern Italy, Dept Anim Hlth, Portici, Italy; [D'Alessio, Nicola; Veneziano, Vincenzo] Osservatorio Faunistico Venatorio, Naples, Campania, Italy; [Marucci, Gianluca; Interisano, Maria] Ist Super Sanita, Dept Infect Dis, Rome, Italy; [Pacifico, Laura] Dept Prevent Vet Publ Hlth &amp; Food Safety, Caserta, Italy; [Pacifico, Laura; Buono, Francesco; Anastasio, Aniello; Fioretti, Alessandro; Veneziano, Vincenzo] Univ Naples Federico II, Dept Vet Med &amp; Anim Prod, Naples, Italy; [Deak, Georgiana] Univ Agr Sci &amp; Vet Med, Dept Parasitol &amp; Parasit Dis, Cluj Napoca, Romania; [Toscano, Valerio] Reg Reference Ctr Urban Vet Hyg CRIUV, Naples, Italy; [Romano, Antonella Cristina; Toce, Mariateresa; Palazzo, Lucia] Expt Zooprophylact Inst Apulia &amp; Basilicata, Dept Anim Hlth, Foggia, Italy</t>
  </si>
  <si>
    <t>Istituto Superiore di Sanita (ISS); University of Naples Federico II; University of Agricultural Sciences &amp; Veterinary Medicine Cluj Napoca</t>
  </si>
  <si>
    <t>Deak, Georgiana/AAO-4742-2021; Toce, Mariateresa/AGO-5302-2022; INTERISANO, MARIA/O-2285-2015; Veneziano, Vincenzo/ABC-5774-2020; Romano, Antonella Cristina/AGO-4518-2022; MARUCCI, GIANLUCA/O-2289-2015; Buono, Francesco/HDO-0693-2022; Sgroi, Giovanni/KEI-1509-2024</t>
  </si>
  <si>
    <t>D'Alessio, Nicola/0000-0001-6266-998X; Buono, Francesco/0000-0002-8487-1051; Sgroi, Giovanni/0000-0002-5809-448X</t>
  </si>
  <si>
    <t>Italian~Ministry of Health [IZSME RC 04/18, 05/19, 04/20]</t>
  </si>
  <si>
    <t>Italian~Ministry of Health(Ministry of Health, Italy)</t>
  </si>
  <si>
    <t>This work was supported by the projects Ricerche correnti (grant numbers: IZSME RC 04/18, 05/19, 04/20) funded by the Italian Ministry of Health.</t>
  </si>
  <si>
    <t>2352-7714</t>
  </si>
  <si>
    <t>ONE HEALTH-AMSTERDAM</t>
  </si>
  <si>
    <t>One Health</t>
  </si>
  <si>
    <t>10.1016/j.onehlt.2022.100480</t>
  </si>
  <si>
    <t>JAN 2023</t>
  </si>
  <si>
    <t>Public, Environmental &amp; Occupational Health; Infectious Diseases</t>
  </si>
  <si>
    <t>H3WZ1</t>
  </si>
  <si>
    <t>WOS:000995316100001</t>
  </si>
  <si>
    <t>Luffman, I; Connors, D</t>
  </si>
  <si>
    <t>Luffman, Ingrid; Connors, Daniel</t>
  </si>
  <si>
    <t>Stream Stage Monitoring with Community Science-Contributed Stage Data</t>
  </si>
  <si>
    <t>HYDROLOGY</t>
  </si>
  <si>
    <t>community science; stage; rainfall-runoff response; text message; parser</t>
  </si>
  <si>
    <t>CITIZEN SCIENCE</t>
  </si>
  <si>
    <t>Volunteered Geographic Information, data contributed by community scientists, is an increasingly popular tool to collect scientific data, involve the community in scientific research, and provide information and education about a prominent issue. Johnson City, Tennnessee, USA has a long history of downtown flooding, and recent redevelopment of two land parcels has created new city parks that mitigate flooding through floodwater storage, additional channel capacity, and reduced impervious surfaces. At Founders Park, a project to collect stage data using text messages from community scientists has collected 1479 stage measurements from 597 participants from May 2017 through July 2021. Text messages were parsed to extract the stage and merged with local precipitation data to assess the stream's response to precipitation. Of 1479 observations, 96.7% were correctly parsed. Only 3% of observations were false positives (parser extracted incorrect stage value) or false negatives (parser unable to extract correct value but usable data were reported). Less than 2% of observations were received between 11 p.m. and 7 a.m., creating an overnight data gap, and fewer than 7% of observations were made during or immediately following precipitation. Regression models for stage using antecedent precipitation explained 21.6% of the variability in stream stage. Increased participation and development of an automated system to record stage data at regular intervals will provide data to validate community observations and develop more robust rainfall-runoff models.</t>
  </si>
  <si>
    <t>[Luffman, Ingrid] East Tennessee State Univ, Dept Geosci, Johnson City, TN 37614 USA; [Connors, Daniel] East Tennessee State Univ, Dept Engn Engn Technol &amp; Surveying, Johnson City, TN 37614 USA</t>
  </si>
  <si>
    <t>East Tennessee State University; East Tennessee State University</t>
  </si>
  <si>
    <t>Luffman, I (corresponding author), East Tennessee State Univ, Dept Geosci, Johnson City, TN 37614 USA.</t>
  </si>
  <si>
    <t>luffman@etsu.edu; connors@etsu.edu</t>
  </si>
  <si>
    <t>Luffman, Ingrid/H-9931-2019</t>
  </si>
  <si>
    <t>Luffman, Ingrid/0000-0003-4878-5348</t>
  </si>
  <si>
    <t>2306-5338</t>
  </si>
  <si>
    <t>HYDROLOGY-BASEL</t>
  </si>
  <si>
    <t>Hydrology</t>
  </si>
  <si>
    <t>10.3390/hydrology9010011</t>
  </si>
  <si>
    <t>ZC6JR</t>
  </si>
  <si>
    <t>WOS:000757624400001</t>
  </si>
  <si>
    <t>Potgieter, LJ; Cadotte, MW; Roets, F; Richardson, DM</t>
  </si>
  <si>
    <t>Potgieter, Luke J.; Cadotte, Marc W.; Roets, Francois; Richardson, David M.</t>
  </si>
  <si>
    <t>Monitoring urban biological invasions using citizen science: the polyphagous shot hole borer (Euwallacea fornicatus)</t>
  </si>
  <si>
    <t>Biological invasions; Citizen science; Pests and pathogens; Polyphagous shot hole borer; Monitoring; Urban</t>
  </si>
  <si>
    <t>AMBROSIA BEETLE; FUSARIUM-EUWALLACEAE; FOREST INSECTS; NORTH-AMERICA; COLEOPTERA; DISPERSAL; LANDFILLS; PROGRAMS; PATHWAY; HEALTH</t>
  </si>
  <si>
    <t>Benefits provided by urban trees are increasingly threatened by non-native pests and pathogens. Monitoring of these invasions is critical for the effective management and conservation of urban tree populations. However, a shortage of professionally collected species occurrence data is a major impediment to assessments of biological invasions in urban areas. We applied data from iNaturalist to develop a protocol for monitoring urban biological invasions using the polyphagous shot hole borer (PSHB) invasion in two urban areas of South Africa. iNaturalist records for all known PSHB reproductive host species were used together with data on localities of sites for processing plant biomass to map priority monitoring areas for detecting new and expanding PSHB infestations. Priority monitoring areas were also identified using the distribution of Acer negundo, a highly susceptible host that serves as a sentinel species for the detection of PSHB infestations. iNaturalist data provided close to 9000 observations for hosts in which PSHB is known to reproduce in our study area (349 of which were A. negundo). High-priority areas for PSHB monitoring include those with the highest density of PSHB reproductive hosts found close to the 140 plant biomass sites identified. We also identified high-priority roads for visual and baited trap surveys, providing operational guidance for practitioners. The monitoring protocol developed in this study highlights the value of citizen or community science data in informing the management of urban biological invasions. It also advocates for the use of platforms such as iNaturalist as essential tools for conservation monitoring in urban landscapes.</t>
  </si>
  <si>
    <t>[Potgieter, Luke J.; Richardson, David M.] Stellenbosch Univ, Ctr Invas Biol, Dept Bot &amp; Zool, Stellenbosch, South Africa; [Potgieter, Luke J.; Cadotte, Marc W.] Univ Toronto Scarborough, Dept Biol Sci, 1265 Mil Trail, Toronto, ON M1C 1A4, Canada; [Roets, Francois] Stellenbosch Univ, Dept Conservat Ecol &amp; Entomol, Stellenbosch, South Africa; [Richardson, David M.] Czech Acad Sci, Inst Bot, Dept Invas Ecol, Pruhonice, Czech Republic</t>
  </si>
  <si>
    <t>Stellenbosch University; University of Toronto; University Toronto Scarborough; Stellenbosch University; Czech Academy of Sciences; Institute of Botany of the Czech Academy of Sciences</t>
  </si>
  <si>
    <t>Potgieter, LJ (corresponding author), Stellenbosch Univ, Ctr Invas Biol, Dept Bot &amp; Zool, Stellenbosch, South Africa.;Potgieter, LJ (corresponding author), Univ Toronto Scarborough, Dept Biol Sci, 1265 Mil Trail, Toronto, ON M1C 1A4, Canada.</t>
  </si>
  <si>
    <t>lukepotgieter2@gmail.com; marc.cadotte@utoronto.ca; fr@sun.ac.za; rich@sun.ac.za</t>
  </si>
  <si>
    <t>Potgieter, Luke/H-4236-2019; Cadotte, Marc/AAG-8147-2020; Roets, Francois/HMP-4294-2023</t>
  </si>
  <si>
    <t>Potgieter, Luke/0000-0001-7790-2721;</t>
  </si>
  <si>
    <t>DSI-NRF Centre of Excellence for Invasion Biology</t>
  </si>
  <si>
    <t>The authors would like to thank Paul Barker and Phumudzo Ramabulana for their valuable contributions to this work.</t>
  </si>
  <si>
    <t>10.1007/s10340-024-01744-7</t>
  </si>
  <si>
    <t>JAN 2024</t>
  </si>
  <si>
    <t>H1B1R</t>
  </si>
  <si>
    <t>WOS:001150861100001</t>
  </si>
  <si>
    <t>Kirichenko, NI; Ryazanova, MA; Kosheleva, OV; Gomboc, S; Piskur, B; de Groot, M</t>
  </si>
  <si>
    <t>Kirichenko, Natalia I.; Ryazanova, Maria A.; Kosheleva, Oksana V.; Gomboc, Stanislav; Piskur, Barbara; de Groot, Maarten</t>
  </si>
  <si>
    <t>Overcoming Biases in Opportunistic Citizen Science for Studying Life History Traits of an Invasive Leaf-Mining Tree Insect Pest</t>
  </si>
  <si>
    <t>iNaturalist; invasive leaf miner; Macrosaccus robiniella; leaf mine types; Europe; North America</t>
  </si>
  <si>
    <t>LOCUST ROBINIA-PSEUDOACACIA; LEPIDOPTERA</t>
  </si>
  <si>
    <t>The aim of this study was to determine whether opportunistic citizen science can support the detection of life history traits in invasive insects. Using the invasive leaf-mining micromoth Macrosaccus robiniella (Clemens 1859) (Lepidoptera: Gracillariidae) as a model species, we analyzed data from iNaturalist submitted by citizen scientists to assess the variability in its leaf mines on its native host, Robinia pseudoacacia L., 1753 (Fabaceae), across both the moth's invaded (Europe, North America-Eastern United States) and native range (North America-Southern and Western Unites States, Eastern Canada). We examined 86,489 photographs collected over the past 20 years to compare the occurrence and proportions of different M. robiniella leaf mine types between invaded and native ranges using three search variants: (I) M. robiniella, (II) all endophagous invasive insects associated with R. pseudoacacia, and (III) the host plant itself. The first two datasets revealed differences in the ratio of leaf mine types between Europe and North America (when analyzed separately for native and invaded areas), whereas the third dataset showed no significant differences in either the presence or proportion of mine types between invaded and native ranges. Leaf mine types atypical of M. robiniella, which resemble damage caused by other invasive insects such as Parectopa robiniella Clemens, 1863 (Lepidoptera: Gracillariidae) and Obolodiplosis robiniae (Haldeman, 1847) (Diptera: Cecidomyiidae)-also associated with R. pseudoacacia-have been observed in Europe for at least a decade. Our main conclusion is that, when investigating the life history traits of invasive herbivorous insects, focusing data collection on the host plant rather than on the insect species alone can reduce biases associated with opportunistic citizen science and help reveal true ecological patterns.</t>
  </si>
  <si>
    <t>[Kirichenko, Natalia I.; Piskur, Barbara; de Groot, Maarten] Slovenian Forestry Inst, Vecna Pot 2, Ljubljana 1000, Slovenia; [Kirichenko, Natalia I.; Ryazanova, Maria A.] Russian Acad Sci, Fed Res Ctr Krasnoyarsk Sci Ctr SB RAS, Sukachev Inst Forest, Siberian Branch, Akademgorodok 50-28, Krasnoyarsk 660036, Russia; [Kirichenko, Natalia I.] All Russian Plant Quarantine Ctr VNIIKR, Pogranichnaya Str 32, Bykovo 140150, Moscow Region, Russia; [Kirichenko, Natalia I.; Ryazanova, Maria A.] Siberian Fed Univ, Inst Ecol &amp; Geog, Svobodny pr 79, Krasnoyarsk 660041, Russia; [Kosheleva, Oksana V.] All Russian Inst Plant Protect FSBSI VIZR, Podbelskogo 3, St Petersburg 196608, Russia; [Gomboc, Stanislav] Gancani 110, SI-9231 Beltinci, Slovenia</t>
  </si>
  <si>
    <t>Slovenian Forestry Institute; Russian Academy of Sciences; Siberian Branch of the Russian Academy of Sciences; Krasnoyarsk Science Center of the Siberian Branch of the Russian Academy of Sciences; Sukachev Institute of Forest, Siberian Branch, Russian Academy of Sciences; Siberian Federal University; All-Russian Institute of Plant Protection</t>
  </si>
  <si>
    <t>Kirichenko, NI; de Groot, M (corresponding author), Slovenian Forestry Inst, Vecna Pot 2, Ljubljana 1000, Slovenia.;Kirichenko, NI (corresponding author), Russian Acad Sci, Fed Res Ctr Krasnoyarsk Sci Ctr SB RAS, Sukachev Inst Forest, Siberian Branch, Akademgorodok 50-28, Krasnoyarsk 660036, Russia.;Kirichenko, NI (corresponding author), All Russian Plant Quarantine Ctr VNIIKR, Pogranichnaya Str 32, Bykovo 140150, Moscow Region, Russia.;Kirichenko, NI (corresponding author), Siberian Fed Univ, Inst Ecol &amp; Geog, Svobodny pr 79, Krasnoyarsk 660041, Russia.</t>
  </si>
  <si>
    <t>nkirichenko@yahoo.com; rznv.m@mail.ru; koscheleva_o@mail.ru; stanislav.gomboc@siol.net; barbara.piskur@gozdis.si; maarten.degroot@gozdis.si</t>
  </si>
  <si>
    <t>Piškur, Barbara/F-3884-2011; Kirichenko, Natalia/K-1387-2018; de Groot, Maarten/AER-0020-2022; Ryazanova, Maria/FRB-4160-2022; кошелева, оксана/AAN-3138-2021</t>
  </si>
  <si>
    <t>Piškur, Barbara/0000-0002-9914-4930; Kirichenko, Natalia/0000-0002-7362-6464; de Groot, Maarten/0000-0002-5721-6676;</t>
  </si>
  <si>
    <t>Slovenian Research and Innovation Agency; [P4-0107]; [22-16-00075-P]</t>
  </si>
  <si>
    <t>Slovenian Research and Innovation Agency; ;</t>
  </si>
  <si>
    <t>The study was supported by the core research group Forest Biology, Ecology, and Technology (P4-0107) of the Slovenian Research and Innovation Agency, and partially by the Russian Science Foundation (grant No. 22-16-00075-P) [species identification verification].</t>
  </si>
  <si>
    <t>SEP 4</t>
  </si>
  <si>
    <t>10.3390/insects16090929</t>
  </si>
  <si>
    <t>7UR0R</t>
  </si>
  <si>
    <t>WOS:001580079500001</t>
  </si>
  <si>
    <t>Graham, PM; Pattinson, NB; Lepheana, AT; Taylor, RJ</t>
  </si>
  <si>
    <t>Graham, Philip Mark; Pattinson, Nicholas B.; Lepheana, Ayanda Tsepo; Taylor, Robert James (Jim)</t>
  </si>
  <si>
    <t>Clarity tubes as effective citizen science tools for monitoring wastewater treatment works and rivers</t>
  </si>
  <si>
    <t>Citizen science; Clarity tube; Freshwater monitoring; Wastewater treatment works; Water quality</t>
  </si>
  <si>
    <t>TOTAL SUSPENDED-SOLIDS; TURBIDITY; SEDIMENT; COMMUNITIES; SOSHANGUVE; EFFLUENTS; POLLUTION; SEDIBENG; HEALTH; IMPACT</t>
  </si>
  <si>
    <t>Improved freshwater resource management requires the implementation of widespread, effective, and timely water quality monitoring. Conventional monitoring methods are often inhibited by financial, infrastructural, and human capacity limitations, especially in developing regions. This study aimed to validate the citizen-scientist-operated transparency or clarity tube (hereafter clarity tube) for measuring water clarity as a proxy for total suspended solids (TSS) concentration, a critical quality metric in river systems and wastewater treatment works (WWTW) effluent in Southern Africa. Clarity tubes provided a relatively accurate and precise proxy for TSS in riverine lotic systems and WWTW effluent, revealing significant inverse log-linear relationships between clarity and TSS with r2 = 0.715 and 0.503, respectively. We demonstrate that clarity-derived estimates of TSS concentration (TSScde) can be used to estimate WWTW compliance with WWTW effluent TSS concentration regulations. The measurements can then be used to engage with WWTW management, potentially affecting WWTW performance. Overall, these findings demonstrate the usefulness of clarity tubes as low-cost, accessible, and easy-to-use citizen science tools for high spatial and temporal resolution water quality monitoring, not only in rivers in Southern Africa but also in WWTW effluent for estimating compliance, with strong global relevance to the sustainable development goals (SDGs). Integr Environ Assess Manag 2024;00:1-10. (c) 2024 The Authors. Integrated Environmental Assessment and Management published by Wiley Periodicals LLC on behalf of Society of Environmental Toxicology &amp; Chemistry (SETAC). Clarity tubes provide a relatively accurate and precise proxy for total suspended solids (TSS) in riverine lotic systems and wastewater treatment works (WWTW) effluent, revealing significant inverse log-linear relationships between clarity and TSS. Clarity-derived estimates of TSS concentration (TSScde) can be used to estimate WWTW compliance with WWTW effluent TSS concentration regulations, which can then be used to engage with WWTW management, potentially affecting WWTW performance. These findings demonstrate the usefulness of clarity tubes as low-cost, accessible, and easy-to-use citizen science tools for high spatial and temporal resolution water quality monitoring in rivers in Southern Africa and in WWTW effluent for estimating compliance. Using clarity tubes for river and WWTW monitoring is a decisive step toward achieving significant progress in meeting sustainable development goal (SDG) 6 for ensuring safe access to water and sanitation for all, specifically SDG 6.3.2 and SDG 6b, by involving communities in water and sanitation monitoring and management.</t>
  </si>
  <si>
    <t>[Graham, Philip Mark; Pattinson, Nicholas B.; Lepheana, Ayanda Tsepo] GroundTruth, Kwa Zulu Natal, South Africa; [Graham, Philip Mark; Taylor, Robert James (Jim)] Univ KwaZulu Natal, Ctr Water Resources Res, Pietermaritzburg, Kwa Zulu Natal, South Africa</t>
  </si>
  <si>
    <t>University of Kwazulu Natal</t>
  </si>
  <si>
    <t>Graham, PM (corresponding author), GroundTruth, Kwa Zulu Natal, South Africa.;Graham, PM (corresponding author), Univ KwaZulu Natal, Ctr Water Resources Res, Pietermaritzburg, Kwa Zulu Natal, South Africa.</t>
  </si>
  <si>
    <t>grahamp@ukzn.ac.za</t>
  </si>
  <si>
    <t>Pattinson, Nicholas B/0000-0002-2696-9069; Graham, Philip Mark/0000-0001-9655-2296</t>
  </si>
  <si>
    <t>Consortium of International Agricultural Research Centers [GT1292]; International Water Management Institute (IWMI)</t>
  </si>
  <si>
    <t>Consortium of International Agricultural Research Centers; International Water Management Institute (IWMI)(CGIAR)</t>
  </si>
  <si>
    <t>We thank Zongile Ngubane, Phumzile Mjoza, Londi Msomi, and Boyi and Liz Taylor for their massive efforts in diligently collecting clarity tube readings from Howick WWTW three times per day for four years, and Nompumelelo Ngubane for continued data collection until 2019. Thanks to Lindelani Hlongwane, Mahomed Desai, and Mthandeni Ndlela for collecting the clarity tube operator variability data. Our gratitude to Gerard Beukes and Jeremy Dickens for their assistance with initial editing of the manuscript. Special thanks to Steve Terry for insights and comments on the final version of the manuscript, which helped improve it. We also thank the Duzi-uMngeni Conservation Trust (DUCT) and Umgeni Water for data access. Our gratitude to DUCT for funding the Howick WWTW effluent clarity tube data collection. This research was primarily funded by GroundTruth. This manuscript was prepared as an output of the CGIAR Initiative on Digital Innovation in collaboration with the International Water Management Institute (IWMI) as part of a joint project with GroundTruth (No. GT1292).</t>
  </si>
  <si>
    <t>10.1002/ieam.4937</t>
  </si>
  <si>
    <t>MAY 2024</t>
  </si>
  <si>
    <t>D6F2G</t>
  </si>
  <si>
    <t>WOS:001214938300001</t>
  </si>
  <si>
    <t>Eichholtzer, AC; Nguyen, TTT; Galletta, L; Nguyen, HS; Corva, DM; Nguyen, DT; Driscoll, DA</t>
  </si>
  <si>
    <t>Eichholtzer, Anne C.; Nguyen, Thuy T. T.; Galletta, Lorenzo; Nguyen, Hung S.; Corva, Dean M.; Nguyen, Duc T.; Driscoll, Don A.</t>
  </si>
  <si>
    <t>Integrating AI technologies and citizen science to fast-track small and ectothermic animal monitoring</t>
  </si>
  <si>
    <t>Computer vision; Environmental monitoring; Small fauna; Ectotherms; YOLO; Faster R-CNN</t>
  </si>
  <si>
    <t>CAMERA TRAPS; TERRESTRIAL REPTILES; MAMMALS; AMPHIBIANS; OCCUPANCY; EVALUATE; MODELS; COST</t>
  </si>
  <si>
    <t>Small ectothermic animals like reptiles, amphibians or arthropods, play crucial roles in ecosystems but face many conservation challenges and remain comparatively under-studied. More efficient monitoring for these species is needed to improve ecological understanding and support conservation efforts. Camera traps and machine learning have become important tools to enhance wildlife monitoring and streamline data processing, but their application for the study of ectothermic animals is still in its early stages. Most wildlife camera traps cannot reliably detect ectotherms, and the application of algorithms to automatically detect and identify small, cryptic species remains limited. In this paper, we combined citizen science and new technologies to enhance data collection and screening in a pilot ecological study on small fauna. For seven months, twenty seven (27) video camera-traps collected a large dataset focused on small fauna, including ectothermic species. The cameras were deployed with the help of citizen scientists, who also assisted in video annotations. We evaluated the performances of two object detection algorithms (Faster R-CNN and YOLOv5) for screening the videos collected. We found that YOLOv5 performed better; successfully detecting animals in 89 % of videos containing fauna and filtering out 96 % of videos without animals (e.g. triggered by shadows or moving vegetation). We created SAW-IT++, an annotated video dataset containing 11,458 videos of frogs (28,7 %), lizards (6,8 %), birds (30,3 %), small mammals (10,1 %), scorpions (2,7 %) and spiders (16,1 %). The screened dataset was used for occupancy analysis, accounting for detection. It revealed dispersal limitations in a frog species, and landscape-scale dependence on water in a forest bird species. Using an inferential approach, we estimated that, on average, only a small number of cameras (&lt; 5) deployed for a month was required per site for a detection probability above 95 % for most common taxa included in the analysis. Our study demonstrates a scalable solution to fast-track widespread monitoring of small and ectothermic animals. The combination of citizen science with novel video-traps and AI data processing expands the scope of ecological projects and ensures timely delivery of high-quality data. This combination is particularly relevant for under-studied species, where affordable and efficient monitoring efforts are essential to address knowledge gaps and inform conservation management in the face of rapid and extreme global change.</t>
  </si>
  <si>
    <t>[Eichholtzer, Anne C.; Galletta, Lorenzo; Driscoll, Don A.] Deakin Univ, Sch Life &amp; Environm Sci, Melbourne, Vic, Australia; [Nguyen, Thuy T. T.; Nguyen, Hung S.; Nguyen, Duc T.] Deakin Univ, Sch Informat Technol, Melbourne, Vic, Australia; [Corva, Dean M.] Deakin Univ, Sch Engn, Geelong, Vic, Australia; [Eichholtzer, Anne C.] Univ Groningen, Fac Behav &amp; Social Sci, Groningen, Netherlands</t>
  </si>
  <si>
    <t>Deakin University; Deakin University; Deakin University; University of Groningen</t>
  </si>
  <si>
    <t>Eichholtzer, AC (corresponding author), Deakin Univ, Sch Life &amp; Environm Sci, Melbourne, Vic, Australia.;Eichholtzer, AC (corresponding author), Univ Groningen, Fac Behav &amp; Social Sci, Groningen, Netherlands.</t>
  </si>
  <si>
    <t>a.c.eichholtzer@rug.nl</t>
  </si>
  <si>
    <t>iscoll, Don/I-1703-2013; Corva, Dean/AAA-9300-2021</t>
  </si>
  <si>
    <t>iscoll, Don/0000-0002-1560-5235; Galletta, Lorenzo/0000-0001-6917-3995;</t>
  </si>
  <si>
    <t>Holsworth Wildlife Research Endowment grant; Deakin University research networks program; Arthur Rylah Institute</t>
  </si>
  <si>
    <t>The project was made possible thanks to the contributions of Holsworth Wildlife Research Endowment grant, Deakin University research networks program and the Arthur Rylah Institute. Further testing and invaluable improvements were made by Brian Sala, scientist extraordinaire who engaged as a citizen scientist in the project. The camera deployment and overall logistics were performed with the help of Kendrika Gaur and Delaney Martin. The manual labelling and species identification was performed with the help of Robin Sinclair (Reconyx camera) and Matt Clancy (herpetologist extraordinaire!). The deployment, data collection, data analysis and overall project would not have been possible without the contributions of our 30 citizen scientists affiliated with Land for Wildlife.</t>
  </si>
  <si>
    <t>10.1016/j.ecoinf.2025.103457</t>
  </si>
  <si>
    <t>OCT 2025</t>
  </si>
  <si>
    <t>9GM8J</t>
  </si>
  <si>
    <t>WOS:001605799600002</t>
  </si>
  <si>
    <t>Lameira, HLN; Guerrero-Moreno, MA; da Silva, EC; Oliveira, FA; Teodósio, MA; Dias-Silva, K; Moura, JF Jr; Juen, L; Oliveira-Junior, JMB</t>
  </si>
  <si>
    <t>Lameira, Helton Luis Nina; Guerrero-Moreno, Mayerly Alexandra; da Silva, Everton Cruz; Oliveira, Fernando Abreu; Teodosio, Maria Alexandra; Dias-Silva, Karina; Moura Jr, James Ferreira; Juen, Leandro; Oliveira-Junior, Jose Max Barbosa</t>
  </si>
  <si>
    <t>Citizen Science as a Monitoring Tool in Aquatic Ecology: Trends, Gaps, and Future Perspectives</t>
  </si>
  <si>
    <t>open science; aquatic ecosystems; citizen engagement; environmental education; scientific democratization</t>
  </si>
  <si>
    <t>PROTECTED AREAS; CONSERVATION; CHALLENGES; IDENTIFICATION; IMPACTS</t>
  </si>
  <si>
    <t>Aquatic ecosystems are essential for biodiversity and ecosystem services, but anthropogenic pressures threaten them. In this context, citizen science has emerged as an innovative strategy for biodiversity conservation and environmental monitoring. We conducted a scientometric analysis to identify patterns and gaps in the scientific literature on citizen science in aquatic ecology. We analyzed 185 articles published between 2003 and 2024 on the Web of Science and Scopus databases, with the highest number of publications on the topic (15.14%) in 2023. The United States, Australia, and the United Kingdom were the most productive and frequently studied countries. Studies focused on marine ecosystems (50.28%), while freshwater environments, such as rivers (12.99%), remain under-represented. Taxonomic groups such as fish (30.64%) and aquatic mammals (13.87%) were most commonly studied. The focus of monitoring was on ecology and species conservation. The projects adopted a contributory model of citizen engagement (92.97%), with a predominance of urban citizens (60.51%). Participants were trained through online platforms (25.75%) and in-person courses (21.56%), while communication methods involved sharing photos and videos (38.77%) and online uploads (23.79%). Therefore, expanding studies on freshwater ecosystems and rural and traditional communities, and integrating different levels of citizen participation, is essential.</t>
  </si>
  <si>
    <t>[Lameira, Helton Luis Nina; Guerrero-Moreno, Mayerly Alexandra; Oliveira-Junior, Jose Max Barbosa] Univ Fed Oeste Para UFOPA, Tapajos Unit, Programa Pos Grad Soc Nat &amp; Desenvolvimento PPGSND, Vera Paz St S-N, BR-68040255 Santarem, PA, Brazil; [Lameira, Helton Luis Nina; Guerrero-Moreno, Mayerly Alexandra; da Silva, Everton Cruz; Oliveira, Fernando Abreu; Oliveira-Junior, Jose Max Barbosa] Univ Fed Oeste Para UFOPA, Tapajos Unit, Lab Estudos Impacto Ambiental LEIA, Inst Ciencias &amp; Tecnol Aguas ICTA, Vera Paz St S-N, BR-68040255 Santarem, PA, Brazil; [da Silva, Everton Cruz; Dias-Silva, Karina; Juen, Leandro] Univ Fed Para UFPA, Programa Pos Grad Ecol PPGECO, BR-66075110 Belem, PA, Brazil; [Teodosio, Maria Alexandra] Univ Algarve UAlg, Ctr Ciencias Mar CCMAR, Gambelas Campus, P-8005139 Faro, Portugal; [Dias-Silva, Karina] Univ Fed Para UFPA, Fac Ciencias Biol FCB, Lab Ecol &amp; Conservacao LABECO, BR-68372040 Altamira, PA, Brazil; [Moura Jr, James Ferreira] Univ Integracao Int Lusofonia Afro Brasileira UNIL, Inst Human IH, BR-62790000 Redencao, CE, Brazil; [Juen, Leandro] Univ Fed Para UFPA, Lab Ecol &amp; Conservacao LABECO, Inst Ciencias Biol ICB, BR-66075110 Belem, PA, Brazil</t>
  </si>
  <si>
    <t>Universidade Federal do Oeste do Para; Universidade Federal do Oeste do Para; Universidade Federal do Para; Universidade do Algarve; Universidade Federal do Para; Universidade Federal do Para</t>
  </si>
  <si>
    <t>Lameira, HLN (corresponding author), Univ Fed Oeste Para UFOPA, Tapajos Unit, Programa Pos Grad Soc Nat &amp; Desenvolvimento PPGSND, Vera Paz St S-N, BR-68040255 Santarem, PA, Brazil.;Lameira, HLN (corresponding author), Univ Fed Oeste Para UFOPA, Tapajos Unit, Lab Estudos Impacto Ambiental LEIA, Inst Ciencias &amp; Tecnol Aguas ICTA, Vera Paz St S-N, BR-68040255 Santarem, PA, Brazil.</t>
  </si>
  <si>
    <t>lameirahelton@gmail.com; alexandraguerreromoreno@yahoo.es; evertonsilva856@gmail.com; fernando.ao@ufopa.edu.br; mchichar@ualg.pt; diassilvakarina@gmail.com; james.mourajr@unilab.edu.br; leandrojuen@ufpa.br; jose.mbo@ufopa.edu.br</t>
  </si>
  <si>
    <t>Moura, James/AAQ-9022-2020; Teodosio, Maria/B-5077-2013; , Everton Cruz da Silva/KSM-0245-2024; Juen, Leano/R-4014-2019; Guerrero Moreno, Mayerly Alexana/LSK-7157-2024; Oliveira Junior, José Max/D-4459-2014; Dias-Silva, Karina/H-3164-2014</t>
  </si>
  <si>
    <t>Teodosio, Maria/0000-0002-0939-9885; , Everton Cruz da Silva/0000-0003-3509-2606; Juen, Leano/0000-0002-6188-4386; Guerrero Moreno, Mayerly Alexana/0000-0002-6767-2966; Lameira, Helton/0000-0002-0673-0827; Oliveira Junior, José Max/0000-0002-0689-205X; Dias-Silva, Karina/0000-0001-5548-4995</t>
  </si>
  <si>
    <t>Edital 02/2025-PROPPIT/UFOPA-Programa de Apoio a Producao Cientifica Qualificada (PAPCIQ); Coordenacao de Aperfeicoamento de Pessoal de Nivel Superior (CAPES) [13/2020, 88881.510170/2020-01-PDPG_AL_CAPES_Auxpe 0786/2020, 001]; Foundation for Science and Technology [UIDB/04326/2020, UIDP/04326/2020, LA/P/0101/2020]; Horizon Europe; CNPq [304710/2019-9, 311550/2023-1, 307808/2022-0]; [101071300]</t>
  </si>
  <si>
    <t>Edital 02/2025-PROPPIT/UFOPA-Programa de Apoio a Producao Cientifica Qualificada (PAPCIQ); Coordenacao de Aperfeicoamento de Pessoal de Nivel Superior (CAPES)(Coordenacao de Aperfeicoamento de Pessoal de Nivel Superior (CAPES)Fundacao de Amparo a Pesquisa do Estado de Sao Paulo (FAPESP)); Foundation for Science and Technology; Horizon Europe; CNPq(Conselho Nacional de Desenvolvimento Cientifico e Tecnologico (CNPQ)Fundacao de Amparo a Pesquisa do Estado de Sao Paulo (FAPESP));</t>
  </si>
  <si>
    <t>This project is funded by Edital 02/2025-PROPPIT/UFOPA-Programa de Apoio a Producao Cientifica Qualificada (PAPCIQ) and Edital N degrees 13/2020 of the Coordenacao de Aperfeicoamento de Pessoal de Nivel Superior (CAPES) (PDPG Amazpnia Legal)-Project 88881.510170/2020-01-PDPG_AL_CAPES_Auxpe 0786/2020, under CAPES Finance Code 001. Additionally, this work is supported by the Foundation for Science and Technology through projects UIDB/04326/2020 (DOI: 10.54499/UIDB/04326/2020), UIDP/04326/2020 (DOI: 10.54499/UIDP/04326/2020) and LA/P/0101/2020 (DOI: 10.54499/LA/P/0101/2020) and the Horizon Europe [grant number 101071300-Sustainable Horizons]. CNPq for research productivity grants were given to L.J. (process: 304710/2019-9), K.D.-S. (process: 311550/2023-1), and J.M.B.O.-J. (process: 307808/2022-0).</t>
  </si>
  <si>
    <t>MAY 28</t>
  </si>
  <si>
    <t>10.3390/su17114972</t>
  </si>
  <si>
    <t>3PX7C</t>
  </si>
  <si>
    <t>WOS:001506201900001</t>
  </si>
  <si>
    <t>Bonicalza, S; Valsecchi, E; Coppola, E; Catapano, V; Thatcher, H</t>
  </si>
  <si>
    <t>Bonicalza, Sofia; Valsecchi, Elena; Coppola, Emanuele; Catapano, Valeria; Thatcher, Harriet</t>
  </si>
  <si>
    <t>Citizen science in eDNA monitoring for Mediterranean monk seal conservation (vol 24, 148, 2024)</t>
  </si>
  <si>
    <t>Correction</t>
  </si>
  <si>
    <t>[Bonicalza, Sofia; Thatcher, Harriet] Univ Edinburgh, Dept Biomed Sci, Edinburgh, Scotland; [Bonicalza, Sofia; Coppola, Emanuele] Grp Foca Monaca APS, Via Carlo Emery 47, I-00188 Rome, Italy; [Valsecchi, Elena; Catapano, Valeria] Univ Milano Bicocca, Dept Environm &amp; Earth Sci, Piazza Sci 1, I-20126 Milan, Italy</t>
  </si>
  <si>
    <t>JAN 7</t>
  </si>
  <si>
    <t>10.1186/s12862-025-02348-0</t>
  </si>
  <si>
    <t>R7C4C</t>
  </si>
  <si>
    <t>WOS:001392982200001</t>
  </si>
  <si>
    <t>Ripoll, A; Viana, M; Padrosa, M; Querol, X; Minutolo, A; Hou, KM; Barcelo-Ordinas, JM; Garcia-Vidal, J</t>
  </si>
  <si>
    <t>Ripoll, A.; Viana, M.; Padrosa, M.; Querol, X.; Minutolo, A.; Hou, K. M.; Barcelo-Ordinas, J. M.; Garcia-Vidal, J.</t>
  </si>
  <si>
    <t>Testing the performance of sensors for ozone pollution monitoring in a citizen science approach</t>
  </si>
  <si>
    <t>Uncertainty; Low-cost sensors; Validation; Performance; Awareness; Platform; Node</t>
  </si>
  <si>
    <t>AIR-QUALITY; FIELD CALIBRATION; TROPOSPHERIC OZONE; AVAILABLE SENSORS; TRANSPORT; URBAN; EPISODES; CLUSTER; CYCLES; PART</t>
  </si>
  <si>
    <t>Tropospheric ozone (O-3) is an environmental pollutant of growing concern, especially in suburban and rural areas where the density of air quality monitoring stations is not high. In this type of areas citizen science strategies can be useful tools for awareness raising, but sensor technologies must be validated before sensor data are communicated to the public. In this work, the performance under field conditions of two custom-made types of ozone sensing devices, based on metal-oxide and electrochemical sensors, was tested. A large array of 132 metal-oxide (Sensortech MICS 2614) and 11 electrochemical (Alphasense) ozone sensors, built into 44 sensing devices, was co-located at reference stations in Italy (4 stations) and Spain (5). Mean R-2 between sensor and reference data was 0.88 (0.78-0.96) and 0.89 (0.73-0.96) for Captor (metal-oxide) and Raptor (electrochemical) nodes. The metal-oxide sensors showed an upper limit (approximately 170 mu g/m(3)) implying that these sensors may be useful to communicate mean ozone concentrations but not peak episodes. The uncertainty of the nodes was 10% between 100 and 150 mu g/m(3) and 20% between 150 and 200 mu g/m(3), for Captors, and 10% for &gt; 100 mu g/m(3) for Raptors. Operating both types of nodes up to 5 months did not evidence any clear influence of drifts. The use of these sensors in citizen science can be a useful tool for awareness raising. However, significant data processing efforts are required to ensure high data quality, and thus machine learning strategies are advisable. Relative uncertainties should always be reported when communicating ozone concentration data from sensing nodes. (C) 2018 The Authors. Published by Elsevier B.V. This is an open access article under the CC BY-NC-ND license</t>
  </si>
  <si>
    <t>[Ripoll, A.; Viana, M.; Padrosa, M.; Querol, X.] CSIC, Inst Environm Assessment &amp; Water Res IDAEA, ES-08034 Barcelona, Spain; [Minutolo, A.] Legambiente Onlus, I-00199 Rome, Italy; [Hou, K. M.] CNRS, UMR 6158, LIMOS Lab, Clermont Ferrand, France; [Barcelo-Ordinas, J. M.; Garcia-Vidal, J.] Univ Politecn Cataluna, Dept Comp Architecture, ES-08034 Barcelona, Spain</t>
  </si>
  <si>
    <t>Consejo Superior de Investigaciones Cientificas (CSIC); CSIC - Centro de Investigacion y Desarrollo Pascual Vila (CID-CSIC); CSIC - Instituto de Diagnostico Ambiental y Estudios del Agua (IDAEA); Centre National de la Recherche Scientifique (CNRS); CNRS - Institute for Information Sciences &amp; Technologies (INS2I); Universite Clermont Auvergne (UCA); Universitat Politecnica de Catalunya</t>
  </si>
  <si>
    <t>Viana, M (corresponding author), CSIC, Inst Environm Assessment &amp; Water Res IDAEA, ES-08034 Barcelona, Spain.</t>
  </si>
  <si>
    <t>mar.viana@idaea.csic.es</t>
  </si>
  <si>
    <t>Barcelo-Ordinas, Jose M/HTP-1068-2023; Viana, Mar/L-5600-2014; Querol, Xavier/E-2800-2014</t>
  </si>
  <si>
    <t>Barcelo-Ordinas, Jose M/0000-0002-9738-2425; Viana, Mar/0000-0002-4073-3802; Querol, Xavier/0000-0002-6549-9899</t>
  </si>
  <si>
    <t>H2020 project CAPTOR; AGAUR [SGR44]; Agencia Estatal de Investigacion (AEI) [CGL2017-82093-ERC]; Spanish Ministry of Economy, Industry and Competitiveness [EUIN2017-85799]</t>
  </si>
  <si>
    <t>H2020 project CAPTOR(Horizon 2020); AGAUR(Agencia de Gestio D'Ajuts Universitaris de Recerca Agaur (AGAUR)); Agencia Estatal de Investigacion (AEI)(Spanish Government); Spanish Ministry of Economy, Industry and Competitiveness(Spanish Government)</t>
  </si>
  <si>
    <t>The authors would like to thank the anonymous reviewers, whose comments improved the manuscript significantly. This work was funded by H2020 project CAPTOR. The authors gratefully acknowledge the collaboration of the staff at the Department of the Environment of the Generalitat de Catalunya and at ARPA Lombardia (Agenzia Regionale per l'Ambiente), who kindly provided support for the deployment of the sensing nodes at reference stations and provided access to the reference data. Support is also acknowledged from AGAUR SGR44, the Agencia Estatal de Investigacion (AEI; CGL2017-82093-ERC), and the Spanish Ministry of Economy, Industry and Competitiveness (EUIN2017-85799).</t>
  </si>
  <si>
    <t>10.1016/j.scitotenv.2018.09.257</t>
  </si>
  <si>
    <t>GX7AF</t>
  </si>
  <si>
    <t>Green Submitted, Green Accepted, hybrid</t>
  </si>
  <si>
    <t>WOS:000447915400114</t>
  </si>
  <si>
    <t>Bertho, JM; Tomkiv, Y; Kruse, JH</t>
  </si>
  <si>
    <t>Bertho, Jean-Marc; Tomkiv, Yevgeniya; Kruse, Jan Hendrik</t>
  </si>
  <si>
    <t>Panellists</t>
  </si>
  <si>
    <t>A workshop on citizen science in radioactivity measurements: empowering Europeans for better environmental monitoring</t>
  </si>
  <si>
    <t>JOURNAL OF RADIOLOGICAL PROTECTION</t>
  </si>
  <si>
    <t>citizen science; environmental radioactivity; education; accident management</t>
  </si>
  <si>
    <t>CHERNOBYL ACCIDENT; TERRITORIES</t>
  </si>
  <si>
    <t>A 1 d workshop on citizen science in radioactivity measurements was organised by the French nuclear safety and radiation protection authority (ASNR) in June 2025 in Brussels, gathering nuclear safety authority representatives, research institutes, citizen radiation measurement networks and civil society representatives. The aim was to provide an overview of currently existing citizen radioactivity measurements projects in Europe, their structures and their objectives. An exhibition of selected technical materials was arranged. Key objectives of the workshop included ensuring the sustainability of citizen initiatives and integrating citizen data into decision-making processes, with a particular focus on widening participation in Eastern Europe. Participants also discussed existing gaps and difficulties and explored potential future projects.</t>
  </si>
  <si>
    <t>[Bertho, Jean-Marc; Kruse, Jan Hendrik] Autor Surete Nucl &amp; Radioprotect ASNR, Fontenay Aux Roses, France; [Tomkiv, Yevgeniya] Norwegian Univ Life Sci NMBU, Fac Environm Sci &amp; Nat Resource Management, As, Norway</t>
  </si>
  <si>
    <t>Norwegian University of Life Sciences</t>
  </si>
  <si>
    <t>Bertho, JM (corresponding author), Autor Surete Nucl &amp; Radioprotect ASNR, Fontenay Aux Roses, France.</t>
  </si>
  <si>
    <t>jean-marc.bertho@asnr.fr</t>
  </si>
  <si>
    <t>, MERITXELL MARTELL/0000-0003-4335-117X; LAJOUANINE PAINCHAUD, CHRISTINE/0009-0008-2224-351X</t>
  </si>
  <si>
    <t>Research Council of Norway [341985]; ASNR [D3/P15/05/03]</t>
  </si>
  <si>
    <t>Research Council of Norway(Research Council of Norway); ASNR</t>
  </si>
  <si>
    <t>The authors warmly thank the help of Frederic Goldschmidt and Ghislaine Perez from the Maison Irene et Frederic Joliot-Curie and Veronique Lejeune for the preparation of the seminar. Participants to the round tables are also warmly acknowledged for their thoughts and inputs. The critical reading of the manuscript by M Tichauer is also warmly acknowledged. The financial sopport from ASNR (program D3P15/05/03) and the norvegian research council (Grant No 341985) is also warmly acknowledged.</t>
  </si>
  <si>
    <t>IOP Publishing Ltd</t>
  </si>
  <si>
    <t>Bristol</t>
  </si>
  <si>
    <t>No.2 The Distillery, Glassfields, Avon Street, Bristol, ENGLAND</t>
  </si>
  <si>
    <t>0952-4746</t>
  </si>
  <si>
    <t>1361-6498</t>
  </si>
  <si>
    <t>J RADIOL PROT</t>
  </si>
  <si>
    <t>J. Radiol. Prot.</t>
  </si>
  <si>
    <t>MAR 1</t>
  </si>
  <si>
    <t>10.1088/1361-6498/ae4522</t>
  </si>
  <si>
    <t>Environmental Sciences; Public, Environmental &amp; Occupational Health; Nuclear Science &amp; Technology; Radiology, Nuclear Medicine &amp; Medical Imaging</t>
  </si>
  <si>
    <t>Environmental Sciences &amp; Ecology; Public, Environmental &amp; Occupational Health; Nuclear Science &amp; Technology; Radiology, Nuclear Medicine &amp; Medical Imaging</t>
  </si>
  <si>
    <t>EC8GT</t>
  </si>
  <si>
    <t>WOS:001698031400001</t>
  </si>
  <si>
    <t>van Strien, AJ; van Zweden, JS; Sparrius, LB; Odé, B</t>
  </si>
  <si>
    <t>van Strien, Arco J.; van Zweden, Jelle S.; Sparrius, Laurens B.; Ode, Baudewijn</t>
  </si>
  <si>
    <t>Improving citizen science data for long-term monitoring of plant species in the Netherlands</t>
  </si>
  <si>
    <t>Bayesian method; Citizen science; Detection probability; Ecological monitoring; JAGS; Occupancy modelling; Semi-structured survey; Vascular plants</t>
  </si>
  <si>
    <t>OCCUPANCY; BIODIVERSITY; TRENDS</t>
  </si>
  <si>
    <t>In 2012, a new volunteer-based recording scheme for vascular plants was launched in the Netherlands. Its purpose is to track the changes in the number of occupied 1-km grid cells for as many native plant species as possible between survey rounds of 8 years. We did not prescribe a strict field protocol to minimize variation in observer effort, but instead chose to statistically correct for this variation with occupancy models. These models require replicated visits to a grid cell per season, which was implemented by having two independent observers survey grid cells and record all plant species observed. Now that a first survey round has ended (2012-2019), we evaluate our approach, i.e. we tested whether the scheme has the potential to produce proper trend estimates. The number of occupied grid cells in the first round was estimated per species, using an occupancy model with day of year, visit duration and observer experience as covariates for detection. The detection probability, which was 0.43 on average, strongly depended on visit duration and day of year. It was possible to estimate the number of occupied grid cells quite precisely for several hundreds of species, such that the statistical power is expected to be high enough to detect changes of 10% between survey rounds. For rare species, however, the power to detect changes is expected to be quite low. We conclude that the approach works well, but further improvements are suggested.</t>
  </si>
  <si>
    <t>[van Strien, Arco J.; van Zweden, Jelle S.] Stat Netherlands, POB 24500, NL-2490 HA The Hague, Netherlands; [Sparrius, Laurens B.; Ode, Baudewijn] Plant Conservat Netherlands, FLORON, Toernooiveld 1, NL-6525 ED Nijmegen, Netherlands</t>
  </si>
  <si>
    <t>van Zweden, JS (corresponding author), Stat Netherlands, POB 24500, NL-2490 HA The Hague, Netherlands.</t>
  </si>
  <si>
    <t>js.vanzweden@cbs.nl</t>
  </si>
  <si>
    <t>van Strien, Arco J/AAG-1843-2020; Sparrius, Laurens/Z-3562-2019; van Zweden, Jelle/AAD-7858-2020</t>
  </si>
  <si>
    <t>van Strien, Arco J/0000-0003-0451-073X;</t>
  </si>
  <si>
    <t>Dutch national and provincial governments</t>
  </si>
  <si>
    <t>This project was carried out within the Network Ecological Monitoring (NEM), funded by the Dutch national and provincial governments.</t>
  </si>
  <si>
    <t>10.1007/s10531-022-02457-y</t>
  </si>
  <si>
    <t>JUL 2022</t>
  </si>
  <si>
    <t>6N3QJ</t>
  </si>
  <si>
    <t>WOS:000826844400001</t>
  </si>
  <si>
    <t>Raman, NV; Dubey, A; Millar, E; Nava, V; Leoni, B; Gallego, I</t>
  </si>
  <si>
    <t>Raman, Nandini Vasantha; Dubey, Asmita; Millar, Edward; Nava, Veronica; Leoni, Barbara; Gallego, Irene</t>
  </si>
  <si>
    <t>Monitoring contaminants of emerging concern in aquatic systems through the lens of citizen science</t>
  </si>
  <si>
    <t>Emerging contaminants; Micropollutants; Microplastics; Community science; Community participation; Volunteer participation</t>
  </si>
  <si>
    <t>MARINE-ENVIRONMENT; PLASTIC DEBRIS; PHARMACEUTICALS; MICROPLASTICS; ABUNDANCE; BEACHES; PARTICIPATION; OCCURRENCES; POLLUTANTS; LITTER</t>
  </si>
  <si>
    <t>Global urbanization trends have led to the widespread increasing occurrence of contaminants of emerging concern (CECs) such as pharmaceuticals, personal care products, pesticides, and micro- and nano-plastics in aquatic systems. Even at low concentrations, these contaminants pose a threat to aquatic ecosystems. To better understand the effects of CECs on aquatic ecosystems, it is important to measure concentrations of these contaminants present in these systems. Currently, there is an imbalance in CEC monitoring, with more attention to some categories of CECs, and a lack of data about environmental concentrations of other types of CECs. Citizen science is a potential tool for improving CEC monitoring and to establish their environmental concentrations. However, incorporating citizen participation in the monitoring of CECs poses some challenges and questions. In this literature review, we explore the landscape of citizen science and community science projects which monitor different groups of CECs in freshwater and marine ecosystems. We also identify the benefits and drawbacks of using citizen science to monitor CECs to provide recommendations for sampling and analytical methods. Our results highlight an existing disparity in frequency of monitoring different groups of CECs with implementing citizen science. Specifically, volunteer participation in microplastic monitoring programs is higher than volunteer participation in pharmaceutical, pesticide, and personal care product programs. These differences, however, do not necessarily imply that fewer sampling and analytical methods are available. Finally, our proposed roadmap provides guidance on which methods can be used to improve monitoring of all groups of CECs through citizen science.</t>
  </si>
  <si>
    <t>[Raman, Nandini Vasantha; Dubey, Asmita] Netherlands Inst Ecol NIOO KNAW, Dept Aquat Ecol, Droevendaalsesteeg 10, NL-6708 PB Wageningen, Netherlands; [Millar, Edward] Toronto Metropolitan Univ, Environm Appl Sci &amp; Management, 350 Victoria St, Toronto, ON, Canada; [Nava, Veronica; Leoni, Barbara] Univ Milano Bicocca, Dept Earth &amp; Environm Sci, Piazza Sci 1, I-20126 Milan, MI, Italy; [Gallego, Irene] Swiss Fed Inst Aquat Sci &amp; Technol EAWAG, Dept Aquat Ecol, Uberlandstr 133, CH-8600 Dubendorf, Switzerland</t>
  </si>
  <si>
    <t>Royal Netherlands Academy of Arts &amp; Sciences; Netherlands Institute of Ecology (NIOO-KNAW); Toronto Metropolitan University; University of Milano-Bicocca; Swiss Federal Institutes of Technology Domain; Swiss Federal Institute of Aquatic Science &amp; Technology (EAWAG)</t>
  </si>
  <si>
    <t>Raman, NV (corresponding author), Netherlands Inst Ecol NIOO KNAW, Dept Aquat Ecol, Droevendaalsesteeg 10, NL-6708 PB Wageningen, Netherlands.</t>
  </si>
  <si>
    <t>N.Raman@nioo.knaw.nl</t>
  </si>
  <si>
    <t>; Gallego, Irene/JNR-7587-2023; Nava, Veronica/LDG-5826-2024</t>
  </si>
  <si>
    <t>Vasantha Raman, Nandini/0000-0002-2586-8434; Dubey, Asmita/0000-0002-5385-2720; Gallego, Irene/0000-0002-3309-6788;</t>
  </si>
  <si>
    <t>Royal Dutch Academy of Sciences (NIOO-KNAW); Dutch Research Council (NWO); Eawag Directorate; Geoffrey F. Bruce Fellowship in Canadian Freshwater Policy</t>
  </si>
  <si>
    <t>Royal Dutch Academy of Sciences (NIOO-KNAW); Dutch Research Council (NWO)(Netherlands Organization for Scientific Research (NWO)); Eawag Directorate; Geoffrey F. Bruce Fellowship in Canadian Freshwater Policy</t>
  </si>
  <si>
    <t>We would like to thank the Global Lakes Ecological Observatory Net- work (GLEON) for providing a forum which made possible the interactions that enabled the development of this study. NVR was funded by the Royal Dutch Academy of Sciences (NIOO-KNAW) . AD was funded by Dutch Research Council (NWO) . IG was supported by the Eawag Directorate. EEM was supported by the Geoffrey F. Bruce Fellowship in Canadian Freshwater Policy.</t>
  </si>
  <si>
    <t>10.1016/j.scitotenv.2023.162527</t>
  </si>
  <si>
    <t>E0NF0</t>
  </si>
  <si>
    <t>WOS:000972598100001</t>
  </si>
  <si>
    <t>Shuker, LJ; Gurnell, AM; Wharton, G; Gurnell, DJ; England, J; Leeming, BFF; Beach, E</t>
  </si>
  <si>
    <t>Shuker, Lucy J.; Gurnell, Angela M.; Wharton, Geraldene; Gurnell, David J.; England, Judy; Leeming, Brishan F. Finn; Beach, Ellie</t>
  </si>
  <si>
    <t>MoRPh: a citizen science tool for monitoring and appraising physical habitat changes in rivers</t>
  </si>
  <si>
    <t>WATER AND ENVIRONMENT JOURNAL</t>
  </si>
  <si>
    <t>catchment management; environmental assessment; geomorphology; habitat; public participation; rivers; surveys</t>
  </si>
  <si>
    <t>RESTORATION; IMPLEMENTATION; FRAMEWORK</t>
  </si>
  <si>
    <t>The MoRPh survey is designed to enable citizen scientists to monitor physical habitat mosaics and human pressures within short (up to 40 m) river reaches called modules. MoRPh underpins a multiscale Modular River Survey, providing local information, which when collected across 10 contiguous modules, delivers a MultiMoRPh river sub-reach survey up to 400 m in length. This, in turn, contributes to a HydroMoRPh assessment of reaches extending to tens of kilometres of river length, based on secondary data sources. A 6-month trial on chalk streams, demonstrates that indices calculated from MoRPh surveys can detect notable differences in hydraulic, sediment, physical and vegetation habitat characteristics across this single river type. Further tests will evaluate applicability to other river types and ability to detect temporal changes. Development of aggregate indices for MultiMoRPh sub-reaches will aid interpretation of contemporary morphological dynamics, complementing longer term changes extracted at the reach scale by a HydroMoRPh analysis.</t>
  </si>
  <si>
    <t>[Gurnell, Angela M.; Wharton, Geraldene] Queen Mary Univ London, Sch Geog, London, England; [Gurnell, David J.] Untyped Ltd, Brighton, E Sussex, England; [Leeming, Brishan F. Finn] Univ Aberdeen, Dept Biol &amp; Environm Sci, Aberdeen, Scotland; [Beach, Ellie] Univ Hertfordshire, Dept Human &amp; Environm Sci Geog Environm &amp; Agr, Hatfield, Herts, England</t>
  </si>
  <si>
    <t>University of London; Queen Mary University London; University of Aberdeen; University of Hertfordshire</t>
  </si>
  <si>
    <t>lucy.shuker@gmail.com</t>
  </si>
  <si>
    <t>England, Judy/0000-0001-5247-4812</t>
  </si>
  <si>
    <t>Environment Agency</t>
  </si>
  <si>
    <t>We wish to thank all of the citizen scientists who have undertaken the MoRPh surveys and contributed feedback throughout development of the methodology. Without them this study would not have been possible. The work leading to this paper was partly funded by the Environment Agency. We are grateful also for all contributions in kind for training provided by the Hertfordshire and Middlesex Wildlife Trust, Chilterns Chalk Stream Project, and the Boxmoor Trust. The views expressed in this paper are those of the authors and do not necessarily represent the views of the organizations with which they are associated.</t>
  </si>
  <si>
    <t>1747-6585</t>
  </si>
  <si>
    <t>1747-6593</t>
  </si>
  <si>
    <t>WATER ENVIRON J</t>
  </si>
  <si>
    <t>Water Environ. J.</t>
  </si>
  <si>
    <t>10.1111/wej.12259</t>
  </si>
  <si>
    <t>Environmental Sciences; Limnology; Water Resources</t>
  </si>
  <si>
    <t>FF4SS</t>
  </si>
  <si>
    <t>WOS:000408947500015</t>
  </si>
  <si>
    <t>Newson, M; Raven, P</t>
  </si>
  <si>
    <t>Newson, Malcolm; Raven, Paul</t>
  </si>
  <si>
    <t>Professional and citizen science to monitor and improve the physical habitat quality of rivers</t>
  </si>
  <si>
    <t>PROGRESS IN PHYSICAL GEOGRAPHY-EARTH AND ENVIRONMENT</t>
  </si>
  <si>
    <t>citizen science; hydromorphology; river restoration; multiple stressors; pollution control; England; Water Framework Directive; field survey</t>
  </si>
  <si>
    <t>RESTORATION; PARTICIPATION; HETEROGENEITY; CATCHMENT; RECOVERY; ENGLAND; INDEX; TOOL</t>
  </si>
  <si>
    <t>Physical habitat and hydromorphological processes are fundamental to river ecosystem functioning and essential for restoring rivers subjected to multiple stressors. Extensive loss and damage to river and floodplain habitats caused by centuries of industrial, agricultural and urban development are preventing many rivers from achieving good ecological status even in places where water quality has improved. Restoration of river health and long-term resilience cannot be achieved without the foundation of good hydromorphological condition. Despite this, assessment of river health continues to be dominated by water quality monitoring. This imbalance has been exacerbated by increased public anger about serious pollution incidents, prompting an upsurge in environmentalist democracy, often led by activists participating as 'citizen scientists' (CS) at a local scale. Compared to chemical and biological water quality monitoring, assessment of physical habitat and hydromorphological quality is difficult and complex and the legal basis for monitoring is weak, resulting in low public awareness. Moreover, hydromorphology is not widely promoted in education, and professional expertise is scarce. We consider how CS volunteers might contribute to survey and assessment of physical habitat, proposing credibility and fitness-for-purpose tests for this activity. Reliable field data collection and valid interpretation are dependent on purpose and end use, deployed through appropriate survey design, sampling strategy, training and quality control protocols. Flexibility in the level of technical competence required for different types of field survey, allows carefully focused CS participation, although substantial professional input is required to ensure scientific and legal credibility. We recognise the invaluable advocacy role that CS volunteers can provide in raising public awareness and habitat restoration work at local level. A technical forum to address methodological validity, harmonisation of sampling effort, compatibility of data platforms and uptake of results would provide scientific credibility and build trust between professional river scientists and volunteers necessary for the effective deployment and uptake of CS surveys. Managed interaction would help to maximise efforts to restore rivers to full health in the context of building resilience for humans and biota under future rapid environmental change.</t>
  </si>
  <si>
    <t>[Newson, Malcolm] Newcastle Univ, Newbrough, England; [Raven, Paul] Freshwater Biol Assoc, Milnthorpe, England</t>
  </si>
  <si>
    <t>Newcastle University - UK; Freshwater Biological Association (FBA)</t>
  </si>
  <si>
    <t>Newson, M (corresponding author), Newcastle Univ, Geog, Newbrough NE47 5AQ, England.</t>
  </si>
  <si>
    <t>m.d.newson@ncl.ac.uk</t>
  </si>
  <si>
    <t>Raven, Paul/U-4528-2019</t>
  </si>
  <si>
    <t>CaSTCo project</t>
  </si>
  <si>
    <t>The authors disclosed receipt of the following financial support for the research, authorship, and/or publication of this article: We received funding from the CaSTCo project (https://castco.org) for advisory work to review hydromorphological methods in relation to suitability for citizen science participation. Our views are entirely personal and do not represent an output from the CaSTCo project.</t>
  </si>
  <si>
    <t>SAGE PUBLICATIONS LTD</t>
  </si>
  <si>
    <t>1 OLIVERS YARD, 55 CITY ROAD, LONDON EC1Y 1SP, ENGLAND</t>
  </si>
  <si>
    <t>0309-1333</t>
  </si>
  <si>
    <t>1477-0296</t>
  </si>
  <si>
    <t>PROG PHYS GEOG</t>
  </si>
  <si>
    <t>Prog. Phys. Geogr.</t>
  </si>
  <si>
    <t>10.1177/03091333251391047</t>
  </si>
  <si>
    <t>NOV 2025</t>
  </si>
  <si>
    <t>Geography, Physical; Geosciences, Multidisciplinary</t>
  </si>
  <si>
    <t>Physical Geography; Geology</t>
  </si>
  <si>
    <t>AW2OX</t>
  </si>
  <si>
    <t>WOS:001610392200001</t>
  </si>
  <si>
    <t>Barbato, D; Benocci, A; Bratto, C; Manganelli, G</t>
  </si>
  <si>
    <t>Barbato, Debora; Benocci, Andrea; Bratto, Chiara; Manganelli, Giuseppe</t>
  </si>
  <si>
    <t>Identifying, surveying and monitoring urban biodiversity through citizen science in the Siena BiodiverCity project</t>
  </si>
  <si>
    <t>URBAN ECOSYSTEMS</t>
  </si>
  <si>
    <t>BioBlitz; Citizen science; iNaturalist; Urban ecology; Ecology with cities</t>
  </si>
  <si>
    <t>CITIES; KNOWLEDGE; TOOL</t>
  </si>
  <si>
    <t>Urban biodiversity citizen science projects remain relatively rare, despite the potential of cities as living laboratories for studying ecological patterns and the effects of urbanization on various taxa. The Siena BiodiverCity (SBC) project was launched in 2022 with the aim of identifying, surveying, monitoring and promoting urban biodiversity in Siena, Italy through citizen science. The project's main activities include 1) an annual City Nature Challenge BioBlitz that brings together residents and expert naturalists to survey wild organisms; 2) educational biodiversity workshops and urban field trips to educate citizen science practitioners in biodiversity sampling and identification; 3) hands-on practical classes to raise peoples' awareness about the importance of urban ecosystem services (especially pollination); and 4) establishment of a Biodiversity Desk for specimen identification. These efforts have raised local awareness about urban biodiversity and its functions and built a collaborative network among residents, environmental and socio-cultural associations, and scientific institutions. In three years, more than 500 local community members have participated in SBC events; over 8000 observations of more than 1600 taxa have been collected through iNaturalist, especially since the launch of the project in 2022. Beyond this, SBC supported Siena for the certification as Italy's first eco-sustainable city of art by Global Sustainable Tourism Council, inspiring urban planners to increasingly include biodiversity in city development. In 2023, the project expanded, helping the Municipality of Siena win a European partnership grant aimed at fostering urban biodiversity through community-based approaches. This initiative serves as a replicable model for similar projects and underscores the transformative potential of urban citizen science to empower communities to actively explore and monitor their natural surroundings, while supporting city institutions in managing, restoring, and improving urban planning strategies.</t>
  </si>
  <si>
    <t>[Barbato, Debora; Manganelli, Giuseppe] Dipartimento Sci Fis Terra &amp; Ambiente, Via PA Mattioli 4, I-53100 Siena, Italy; [Barbato, Debora; Manganelli, Giuseppe] NBFC Natl Biodivers Future Ctr, Palermo, Italy; [Benocci, Andrea; Bratto, Chiara] Museo Storia Nat Acad Fisiocrit, Piazzetta Silvio Gigli 2, I-53100 Siena, Italy</t>
  </si>
  <si>
    <t>National Biodiversity Future Center</t>
  </si>
  <si>
    <t>Barbato, D (corresponding author), Dipartimento Sci Fis Terra &amp; Ambiente, Via PA Mattioli 4, I-53100 Siena, Italy.;Barbato, D (corresponding author), NBFC Natl Biodivers Future Ctr, Palermo, Italy.</t>
  </si>
  <si>
    <t>debora.barbato@unisi.it</t>
  </si>
  <si>
    <t>Barbato, Debora/Q-3482-2018</t>
  </si>
  <si>
    <t>Barbato, Debora/0000-0003-1105-1711</t>
  </si>
  <si>
    <t>European Union - NextGenerationEU</t>
  </si>
  <si>
    <t>We thank all the Siena BiodiverCity community users who contributed with their passion, enthusiasm, and love for urban nature to the Ecology with Cities initiative in Siena: small steps can lead to great achievements. We also extend our heartfelt thanks to the experts, local authorities, organizations, and associations who supported SBC, offering their invaluable expertise, collaboration, and commitment to this shared mission: their support was instrumental in making this project a small big success. We also thank Helen Ampt for English language editing and Claudia Perini for useful comments of an earlier draft of this paper. Finally, we would like to thank two anonymous reviewers and Loren Byrne for the very helpful feedback on this manuscript.</t>
  </si>
  <si>
    <t>1083-8155</t>
  </si>
  <si>
    <t>1573-1642</t>
  </si>
  <si>
    <t>URBAN ECOSYST</t>
  </si>
  <si>
    <t>Urban Ecosyst.</t>
  </si>
  <si>
    <t>JUN 27</t>
  </si>
  <si>
    <t>10.1007/s11252-025-01749-9</t>
  </si>
  <si>
    <t>Biodiversity Conservation; Ecology; Environmental Sciences; Urban Studies</t>
  </si>
  <si>
    <t>Biodiversity &amp; Conservation; Environmental Sciences &amp; Ecology; Urban Studies</t>
  </si>
  <si>
    <t>4HQ8Y</t>
  </si>
  <si>
    <t>WOS:001518252400002</t>
  </si>
  <si>
    <t>Ballerini, L; Bergh, SI</t>
  </si>
  <si>
    <t>Ballerini, Laura; Bergh, Sylvia I.</t>
  </si>
  <si>
    <t>Using citizen science data to monitor the Sustainable Development Goals: a bottom-up analysis</t>
  </si>
  <si>
    <t>Sustainable Development Goals; United Nations; Citizen science data; Citizen science; Monitoring SDG indicators</t>
  </si>
  <si>
    <t>DATA QUALITY; KNOWLEDGE; POLITICS; HEALTH; SDGS</t>
  </si>
  <si>
    <t>Official data are not sufficient for monitoring the United Nations Sustainable Development Goals (SDGs): they do not reach remote locations or marginalized populations and can be manipulated by governments. Citizen science data (CSD), defined as data that citizens voluntarily gather by employing a wide range of technologies and methodologies, could help to tackle these problems and ultimately improve SDG monitoring. However, the link between CSD and the SDGs is still understudied. This article aims to develop an empirical understanding of the CSD-SDG link by focusing on the perspective of projects which employ CSD. Specifically, the article presents primary and secondary qualitative data collected on 30 of these projects and an explorative comparative case study analysis. It finds that projects which use CSD recognize that the SDGs can provide a valuable framework and legitimacy, as well as attract funding, visibility, and partnerships. But, at the same time, the article reveals that these projects also encounter several barriers with respect to the SDGs: a widespread lack of knowledge of the goals, combined with frustration and political resistance towards the UN, may deter these projects from contributing their data to the SDG monitoring apparatus.</t>
  </si>
  <si>
    <t>[Ballerini, Laura] Vrije Univ, Amsterdam, Netherlands; [Ballerini, Laura] Univ Oxford, Oxford, England; [Bergh, Sylvia I.] The Hague Univ Appl Sci, The Hague, Netherlands; [Bergh, Sylvia I.] Erasmus Univ, Int Inst Social Studies, Rotterdam, Netherlands</t>
  </si>
  <si>
    <t>Vrije Universiteit Amsterdam; University of Oxford; Erasmus University Rotterdam; Erasmus University Rotterdam - Excl Erasmus MC</t>
  </si>
  <si>
    <t>Bergh, SI (corresponding author), The Hague Univ Appl Sci, The Hague, Netherlands.;Bergh, SI (corresponding author), Erasmus Univ, Int Inst Social Studies, Rotterdam, Netherlands.</t>
  </si>
  <si>
    <t>laura.ballerini@qeh.ox.ac.uk; s.i.bergh@hhs.nl</t>
  </si>
  <si>
    <t>Bergh, Sylvia I/0000-0002-0651-6732; Ballerini, Laura/0000-0002-0711-7274</t>
  </si>
  <si>
    <t>John Stuart Mill College (Vrije Universiteit Amsterdam)</t>
  </si>
  <si>
    <t>Partial financial support was received from the John Stuart Mill College (Vrije Universiteit Amsterdam).</t>
  </si>
  <si>
    <t>10.1007/s11625-021-01001-1</t>
  </si>
  <si>
    <t>JUL 2021</t>
  </si>
  <si>
    <t>WL1GJ</t>
  </si>
  <si>
    <t>WOS:000675751900001</t>
  </si>
  <si>
    <t>Geller, IV; Garcia, DAZ; Pereira, AD; Casimiro, ACR; Cochak, C; Vitule, JRS; Orsi, ML</t>
  </si>
  <si>
    <t>Geller, Iago Vinicios; Garcia, Diego Azevedo Zoccal; Pereira, Alan Deivid; Rodrigues Casimiro, Armando Cesar; Cochak, Crislaine; Vitule, Jean Ricardo Simoes; Orsi, Mario Luis</t>
  </si>
  <si>
    <t>New conservation opportunities: Using citizen science in monitoring non-native species in Neotropical region</t>
  </si>
  <si>
    <t>JOURNAL OF APPLIED ICHTHYOLOGY</t>
  </si>
  <si>
    <t>biological invasions; Brazil; social media</t>
  </si>
  <si>
    <t>SALMINUS-BRASILIENSIS CUVIER; RIVER-BASIN; BIODIVERSITY; ECOREGION; PARANA; IGUACU; BRAZIL; PATTERNS</t>
  </si>
  <si>
    <t>The combination of highly equipped smartphones, with the increased use of social media, has offered a wide database. Given this, citizen science can be used to record and monitor non-native fish fauna, target new samples and collaborate with monitoring occurrences in new areas. We aimed to demonstrate the efficiency of social media in citizen science as a tool to cooperate with monitoring studies of non-native species. Consequently, we determined the occurrence points of S. brasiliensis in the Iguacu River basin, indicating sites of greatest occurrence and analyzing the impact of the invasion on the native fauna of the basin. Files and information available on the YouTube(R) and Facebook(R) media platforms were used as data, was carried out from April 2019 to April 2020. The results were 40 records, 22 videos obtained from Youtube, and seven videos and 11 photos from Facebook, the oldest record was from April 2013, while the largest number of posts was in 2016. Fish records available from online platforms can reveal the occurrence and progressive dispersion of species, in the context of biological invasions, these tools can be of great value in studies that aim to follow the progress of introduced species, contributing by helping to direct new sampling programs and corroborating the occurrence of species in new areas in conjunction with standard monitoring programs. Based on citizen science records, it was possible to update the range of occurrence of the non-native S. brasiliensis in the Iguacu River basin, cooperating with scientific knowledge. Innovative monitoring and control measures are necessary to deal with invasive species, with citizen science proving to be competent for determining the occurrence of species and showing promise in the entire field of ichthyology.</t>
  </si>
  <si>
    <t>[Geller, Iago Vinicios; Rodrigues Casimiro, Armando Cesar] Univ Estadual Londrina, Dept Biol Anim &amp; Vegetal, Programa Posgrad Ciencias Biol, Londrina, Parana, Brazil; [Geller, Iago Vinicios; Garcia, Diego Azevedo Zoccal; Pereira, Alan Deivid; Rodrigues Casimiro, Armando Cesar; Orsi, Mario Luis] Univ Estadual Londrina, Lab Ecol Peixes &amp; Invasoes Biol, Londrina, Parana, Brazil; [Cochak, Crislaine; Vitule, Jean Ricardo Simoes] Univ Fed Parana, Lab Ecol &amp; Conservacao, Curitiba, Parana, Brazil</t>
  </si>
  <si>
    <t>Universidade Estadual de Londrina; Universidade Estadual de Londrina; Universidade Federal do Parana</t>
  </si>
  <si>
    <t>Geller, IV (corresponding author), Univ Estadual Londrina, Programa Posgrad Ciencias Biol Biol Anim &amp; Vegeta, Londrina, Parana, Brazil.</t>
  </si>
  <si>
    <t>iagogeller@hotmail.com</t>
  </si>
  <si>
    <t>Pereira, Alan Deivid/T-9541-2018; Azevedo Zoccal Garcia, Diego/Q-1359-2019; Vitule, Jean/D-9822-2012; Orsi, Mário/A-1376-2008; , Jean/D-9822-2012; Cochak, Crislaine/MGU-4645-2025</t>
  </si>
  <si>
    <t>Pereira, Alan Deivid/0000-0002-3182-2344; Geller, Iago Vinicios/0000-0003-2838-8724; Azevedo Zoccal Garcia, Diego/0000-0001-5709-6347; , Jean/0000-0001-6543-7439; Cochak, Crislaine/0000-0002-9883-4497</t>
  </si>
  <si>
    <t>Coordenacao de Aperfeicoamento de Pessoal de Nivel Superior [001]</t>
  </si>
  <si>
    <t>Coordenacao de Aperfeicoamento de Pessoal de Nivel Superior(Coordenacao de Aperfeicoamento de Pessoal de Nivel Superior (CAPES)Fundacao de Amparo a Pesquisa do Estado de Sao Paulo (FAPESP))</t>
  </si>
  <si>
    <t>Coordenacao de Aperfeicoamento de Pessoal de Nivel Superior, Grant/Award Number: 001</t>
  </si>
  <si>
    <t>0175-8659</t>
  </si>
  <si>
    <t>1439-0426</t>
  </si>
  <si>
    <t>J APPL ICHTHYOL</t>
  </si>
  <si>
    <t>J. Appl. Ichthyol.</t>
  </si>
  <si>
    <t>10.1111/jai.14231</t>
  </si>
  <si>
    <t>Fisheries; Marine &amp; Freshwater Biology</t>
  </si>
  <si>
    <t>US0MO</t>
  </si>
  <si>
    <t>WOS:000659920300001</t>
  </si>
  <si>
    <t>Suter, S; Barrett, B; Welden, N</t>
  </si>
  <si>
    <t>Suter, Samantha; Barrett, Brian; Welden, Natalie</t>
  </si>
  <si>
    <t>Do biodiversity monitoring citizen science surveys meet the core principles of open science practices?</t>
  </si>
  <si>
    <t>Citizen science; Open science; Environmental monitoring; Public; Volunteer; Data</t>
  </si>
  <si>
    <t>CONSERVATION; PUBLICATION; MANAGEMENT</t>
  </si>
  <si>
    <t>Citizen science (CS), as an enabler of open science (OS) practices, is a low-cost and accessible method for data collection in biodiversity monitoring, which can empower and educate the public both on scientific research priorities and on environmental change. Where OS increases research transparency and scientific democratisation; if properly implemented, CS should do the same. Here, we present the findings of a systematic review exploring openness  of CS in biodiversity monitoring. CS projects were scored between - 1 (closed) and 1 (open) on their adherence to defined OS principles: accessible data, code, software, publication, data management plans, and preregistrations. Openness scores per principle were compared to see where OS is more frequently utilised across the research process. The relationship between interest in CS and openness within the practice was also tested. Overall, CS projects had an average open score of 0.14. There was a significant difference in open scores between OS principles (p = &lt; 0.0001), where open data  was the most adhered to practice compared to the lowest scores found in relation to preregistrations. The apparent level of interest in CS was not shown to correspond to a significant increase in openness within CS (p = 0.8464). These results reveal CS is not generally open  despite being an OS approach, with implications for how the public can interact with the research that they play an active role in contributing to. The development of systematic recommendations on where and how OS can be implemented across the research process in citizen science projects is encouraged.</t>
  </si>
  <si>
    <t>[Suter, Samantha; Welden, Natalie] Univ Glasgow, Sch Interdisciplinary Studies, Glasgow, Scotland; [Barrett, Brian] Univ Glasgow, Sch Geog &amp; Earth Sci, Glasgow, Scotland</t>
  </si>
  <si>
    <t>University of Glasgow; University of Glasgow</t>
  </si>
  <si>
    <t>Suter, S (corresponding author), Univ Glasgow, Sch Interdisciplinary Studies, Glasgow, Scotland.</t>
  </si>
  <si>
    <t>2604496s@student.gla.ac.uk</t>
  </si>
  <si>
    <t>Suter, Samantha/0009-0002-7259-3207; Welden, Natalie/0000-0002-0446-0712</t>
  </si>
  <si>
    <t>10.1007/s10661-022-10887-y</t>
  </si>
  <si>
    <t>7Y3OD</t>
  </si>
  <si>
    <t>WOS:000914792100005</t>
  </si>
  <si>
    <t>Sutherland, WJ; Roy, DB; Amano, T</t>
  </si>
  <si>
    <t>Sutherland, William J.; Roy, David B.; Amano, Tatsuya</t>
  </si>
  <si>
    <t>An agenda for the future of biological recording for ecological monitoring and citizen science</t>
  </si>
  <si>
    <t>BIOLOGICAL JOURNAL OF THE LINNEAN SOCIETY</t>
  </si>
  <si>
    <t>Biological Records Centre; Britain; UK; distribution; monitoring; participation; volunteer</t>
  </si>
  <si>
    <t>PROTECTED AREAS; TRENDS; CONSERVATION; BIODIVERSITY; BRITAIN; DECLINES; PROGRAMS; PLANTS; BIRDS; TOOL</t>
  </si>
  <si>
    <t>The UK has a rich legacy of biological recording, developed through the expertise and commitment of volunteer participants. The Biological Records Centre has supported this activity in the UK since 1964, in close partnership with recording schemes and societies. Vast datasets have been built up and enabled a range of ecological questions to be addressed. We consider the future priorities for the role of biological recording for ecological monitoring and citizen science. We propose a 10-point plan for activities helping to ensure that biological recording continues to thrive and plays a major role.</t>
  </si>
  <si>
    <t>[Sutherland, William J.; Amano, Tatsuya] Univ Cambridge, Dept Zool, Conservat Sci Grp, Cambridge CB2 3EJ, England; [Roy, David B.] Ctr Ecol &amp; Hydrol, Biol Records Ctr, Wallingford OX10 8BB, Oxon, England</t>
  </si>
  <si>
    <t>University of Cambridge; UK Centre for Ecology &amp; Hydrology (UKCEH)</t>
  </si>
  <si>
    <t>Sutherland, WJ (corresponding author), Univ Cambridge, Dept Zool, Conservat Sci Grp, Downing St, Cambridge CB2 3EJ, England.</t>
  </si>
  <si>
    <t>w.sutherland@zoo.cam.ac.uk</t>
  </si>
  <si>
    <t>Sutherland, William/B-1291-2013; Amano, Tatsuya/E-7367-2010; Roy, David/A-6619-2009</t>
  </si>
  <si>
    <t>Sutherland, William/0000-0002-6498-0437; Amano, Tatsuya/0000-0001-6576-3410;</t>
  </si>
  <si>
    <t>Arcadia; Joint Nature Conservation Committee; Natural Environment Research Council [NEC04932]; European Commission's Marie Curie International Incoming Fellowship Programme; Natural Environment Research Council [ceh020004, ceh020005] Funding Source: researchfish; NERC [ceh020004, ceh020005] Funding Source: UKRI</t>
  </si>
  <si>
    <t>Arcadia; Joint Nature Conservation Committee; Natural Environment Research Council(UK Research &amp; Innovation (UKRI)Natural Environment Research Council (NERC)); European Commission's Marie Curie International Incoming Fellowship Programme; Natural Environment Research Council(UK Research &amp; Innovation (UKRI)Natural Environment Research Council (NERC)); NERC(UK Research &amp; Innovation (UKRI)Natural Environment Research Council (NERC))</t>
  </si>
  <si>
    <t>We express our admiration and thanks to the thousands of volunteer recorders and organizers of recording schemes, whose enthusiasm and hard work has provided a wealth of knowledge on the wildlife of Britain and Ireland. The work of the BRC builds upon their efforts. We thank the speakers and participants at the symposium celebrating the 50th anniversary of the BRC that stimulated this paper. We thank Chris Preston and an anonymous reviewer for their helpful comments that have improved the paper. WJS is funded by Arcadia. The Biological Records Centre is co-funded by the Joint Nature Conservation Committee and the Natural Environment Research Council, through national capability funding to the Centre for Ecology and Hydrology (CEH project code NEC04932). DBR is funded through this partnership. TA is funded by the European Commission's Marie Curie International Incoming Fellowship Programme.</t>
  </si>
  <si>
    <t>0024-4066</t>
  </si>
  <si>
    <t>1095-8312</t>
  </si>
  <si>
    <t>BIOL J LINN SOC</t>
  </si>
  <si>
    <t>Biol. J. Linnean Soc.</t>
  </si>
  <si>
    <t>10.1111/bij.12576</t>
  </si>
  <si>
    <t>Evolutionary Biology</t>
  </si>
  <si>
    <t>CK6WD</t>
  </si>
  <si>
    <t>WOS:000356368400023</t>
  </si>
  <si>
    <t>Pérez-Belmont, P; Alvarado, J; Vázquez-Salvador, N; Rodríguez, E; Valiente, E; Díaz, J</t>
  </si>
  <si>
    <t>Perez-Belmont, Patricia; Alvarado, Jannice; Vazquez-Salvador, Nallely; Rodriguez, Erika; Valiente, Elsa; Diaz, Julio</t>
  </si>
  <si>
    <t>Water quality monitoring in the Xochimilco peri-urban wetland: experiences engaging in citizen science</t>
  </si>
  <si>
    <t>FRESHWATER SCIENCE</t>
  </si>
  <si>
    <t>citizen science; freshwater; Xochimilco; water quality; management practices; peri-urban wetland</t>
  </si>
  <si>
    <t>ECOLOGICAL RESEARCH; TOOL</t>
  </si>
  <si>
    <t>Citizen science schemes for environmental monitoring generate benefits for scientists by increasing the capacity of scientists to gather information. Citizen scientist monitoring also benefits the citizens involved because they acquire a deeper knowledge and understanding of the benefits of ecosystems and the ways that anthropogenic activities affect them. This study details the efforts of a local non-government organization (Restauracion Ecologica y Desarrollo A. C.), the Earthwatch Institute, and the Hongkong and Shanghai Banking Corporation's Water Program to monitor the water quality in the Xochimilco peri-urban wetland, which is threatened by accelerated urbanization. The Xochimilco wetland includes agricultural areas in which raised beds called chinampas are surrounded by canals and small lakes. These chinampas have been managed for hundreds of years. The water in the canals is mainly used for agricultural irrigation, but it is also the habitat of a variety of aquatic species. In this study, we analyze the water quality of 7 canals and 1 lake located in areas with chinampas that have different uses such as housing, tourism, semi-intensive agriculture, agroecological farming, and abandoned agricultural land. Water samples from these sites were collected by citizen scientists over the course of 4 y. Our aim was to determine how the water quality varies across areas with management differences and between dry and rainy seasons. We found significant differences in pH, temperature, dissolved oxygen, Escherichia coli, and conductivity between seasons. We expected to find suitable water quality for irrigation (based on national and international guidelines) in canals near low-impact activities in the chinampas (such as agroecological farming or chinampas without human activities). Instead, we found that the water in those canals exceeded the recommendations for pH values (&gt;9), total coliforms (&gt;240 CFU/ 100 mL), conductivity (&gt;2000 mu S/cm), and dissolved oxygen concentrations (&lt;6.5 mg/L). However, nutrient concentrations were low. The structure of the canals near agroecological farming areas are narrow, shallow, and have low water flow, so alterations in the depth and width of these canals might result in improved water quality. The only sampling site that met most of the international and national guidelines for irrigation use was located in an area with many abandoned chinampas. Volunteers that participated in this study gained insights regarding the importance of being aware of anthropogenic impacts on ecosystems like the Xochimilco wetland, a place that is important to preserve because of its agricultural, ecological, and cultural significance.</t>
  </si>
  <si>
    <t>[Perez-Belmont, Patricia; Alvarado, Jannice; Vazquez-Salvador, Nallely; Rodriguez, Erika; Valiente, Elsa; Diaz, Julio] Restaurac Ecol &amp; Desarrollo AC, Mexico City, DF, Mexico; [Perez-Belmont, Patricia; Alvarado, Jannice; Vazquez-Salvador, Nallely; Diaz, Julio] Univ Nacl Autonoma Mexico, Ciudad Univ 3000, Mexico City, DF, Mexico; [Valiente, Elsa] Martin Mendalde 1750-7 Colonia Acacias, Mexico City 03240, DF, Mexico</t>
  </si>
  <si>
    <t>Universidad Nacional Autonoma de Mexico</t>
  </si>
  <si>
    <t>Pérez-Belmont, P (corresponding author), Restaurac Ecol &amp; Desarrollo AC, Mexico City, DF, Mexico.;Pérez-Belmont, P (corresponding author), Univ Nacl Autonoma Mexico, Ciudad Univ 3000, Mexico City, DF, Mexico.</t>
  </si>
  <si>
    <t>patypebel@gmail.com; jannice@comunidad.unam.mx; nallely.vazquez@mail.ecologia.unam.mx; erikaroflo@gmail.com; direccion.redesmx@gmail.com; jdiazv1@gmail.com</t>
  </si>
  <si>
    <t>Alvarado Velazquez, Jannice/0000-0003-4960-2697; , Patricia Pérez-Belmont/0009-0006-7187-3118</t>
  </si>
  <si>
    <t>HSBC Bank under the HSBC Water Program</t>
  </si>
  <si>
    <t>We sincerely thank the HSBC Water Program Mexico and the 486 Citizen Scientist Leaders that participated. We also acknowledge the Earthwatch Institute staff, Diana Eddowes, Chrislaine Melina De Souza, Dr Steven Loiselle, and Dr Ian Thornhill for their constant support and advice throughout the program. We thank all the guides and operational REDES staff during the training days. Funding was provided by HSBC Bank under the HSBC Water Program.</t>
  </si>
  <si>
    <t>UNIV CHICAGO PRESS</t>
  </si>
  <si>
    <t>CHICAGO</t>
  </si>
  <si>
    <t>1427 E 60TH ST, CHICAGO, IL 60637-2954 USA</t>
  </si>
  <si>
    <t>2161-9549</t>
  </si>
  <si>
    <t>2161-9565</t>
  </si>
  <si>
    <t>FRESHW SCI</t>
  </si>
  <si>
    <t>Freshw. Sci.</t>
  </si>
  <si>
    <t>JUN 1</t>
  </si>
  <si>
    <t>10.1086/703395</t>
  </si>
  <si>
    <t>Ecology; Marine &amp; Freshwater Biology</t>
  </si>
  <si>
    <t>IG8WQ</t>
  </si>
  <si>
    <t>WOS:000474076400011</t>
  </si>
  <si>
    <t>Biraghi, CA; Carrion, D; Brovelli, MA</t>
  </si>
  <si>
    <t>Biraghi, Carlo Andrea; Carrion, Daniela; Brovelli, Maria Antonia</t>
  </si>
  <si>
    <t>Citizen Science Impact on Environmental Monitoring towards SDGs Indicators: The CASE of SIMILE Project</t>
  </si>
  <si>
    <t>citizen science; lake monitoring; SDGs; remote sensing; high-frequency monitoring; water quality</t>
  </si>
  <si>
    <t>This study presents the ongoing activities of citizen science (CS) monitoring of lake water quality that was developed in the SIMILE project. After presenting the tools and the initiatives that were implemented to gather volunteer contributions, the CS data are analyzed: to understand the main factors driving the contribution provided by citizens, through a proximity analysis using hierarchical clustering; to evaluate their added value and complementary nature in view of the proposed integrated lake monitoring with respect to remote sensing (RS) water quality parameters maps and in situ high-frequency monitoring (HFM) data that were acquired in the framework of SIMILE project, through an intercomparison of temperature data; and to highlight water quality patterns in the lakes under study. It is then discussed how the project outcomes could directly or indirectly contribute to the measurement of specific Sustainable Development Goals (SDGs) indicators highlighting the potential impact of CS activities. The conclusions highlight the complementary nature of CS and the need of supporting activities for a continuous lake water quality monitoring. The possibility for the partner local authorities to maintain the CS monitoring establishing a Citizen Observatory (CO) and the opportunity to extend the SIMILE approach to neighboring lakes and beyond is also discussed.</t>
  </si>
  <si>
    <t>[Biraghi, Carlo Andrea; Carrion, Daniela; Brovelli, Maria Antonia] Politecn Milan, Dept Civil &amp; Environm Engn, Lecco Campus,Via Gaetano Previati 1-C, I-23900 Lecce, Italy</t>
  </si>
  <si>
    <t>Polytechnic University of Milan</t>
  </si>
  <si>
    <t>Biraghi, CA (corresponding author), Politecn Milan, Dept Civil &amp; Environm Engn, Lecco Campus,Via Gaetano Previati 1-C, I-23900 Lecce, Italy.</t>
  </si>
  <si>
    <t>carloandrea.biraghi@polimi.it; daniela.carrion@polimi.it; maria.brovelli@polimi.it</t>
  </si>
  <si>
    <t>; BROVELLI, Maria Antonia/N-7285-2019; Carrion, Daniela/C-3420-2012</t>
  </si>
  <si>
    <t>BIRAGHI, CARLO ANEA/0000-0002-2470-1245; BROVELLI, Maria Antonia/0000-0003-3161-5561; Carrion, Daniela/0000-0003-1262-9394</t>
  </si>
  <si>
    <t>European Commission [523544]</t>
  </si>
  <si>
    <t>European Commission(European Union (EU)European Commission Joint Research Centre)</t>
  </si>
  <si>
    <t>This research is part of SIMILE project (ID: 523544), which has been funded with the support from the European Commission within the Interreg Italy-Switzerland 2014-2021 programme.</t>
  </si>
  <si>
    <t>10.3390/su14138107</t>
  </si>
  <si>
    <t>2U9KX</t>
  </si>
  <si>
    <t>WOS:000823473400001</t>
  </si>
  <si>
    <t>Lander, T</t>
  </si>
  <si>
    <t>Lander, Tonya</t>
  </si>
  <si>
    <t>Network modelling, citizen science and targeted interventions to predict, monitor and reverse bee decline</t>
  </si>
  <si>
    <t>PLANTS PEOPLE PLANET</t>
  </si>
  <si>
    <t>bee decline; floral resources; land management; plant-pollinator network; solitary bee monitoring</t>
  </si>
  <si>
    <t>ECOLOGICAL NETWORKS; POLLINATORS; IMPACTS; NECTAR; CROP; SPECIALIZATION; CONSERVATION; COMMUNITIES; STABILITY; FARMLAND</t>
  </si>
  <si>
    <t>Societal Impact Statement The global decline in pollinating insect populations has rightly received widespread news coverage as it imperils ecosystem function and human food security. Reversing and addressing this decline is an urgent global priority. However, in many locations we do not know what species are present, how large or small species populations are, or what types of specific resources the populations require. By adopting novel network analyses approaches and by working with monitoring programs, such as Oxford Plan Bee, we may be able to dramatically improve our ability to predict species extinctions and facilitate targeted conservation action to maintain abundant, diverse and stable pollinator communities. Summary Pollination is fundamentally important to ecosystem function and human food security. Recent reports of dramatic insect declines, and pollinator decline in particular, have increased public awareness and political motivation to act to protect pollinators. This article maps commonly proposed management interventions onto known drivers of bee decline, and identifies forage and nest site provision as a tractable management intervention that can simultaneously address multiple drivers of decline. However, it is recognized that there are gaps in the knowledge of exactly how much and which types of forage resources are necessary to support wild pollinator populations. A novel network analysis approach based on quantified floral resources and pollination services is proposed, which would illuminate the types and quantities of floral resources and pollinators necessary to maintain a diverse and abundant plant-pollinator community. The approach would also facilitate the prediction of species extinctions in plant-pollinator communities and help target conservation interventions. Finally, Oxford Plan Bee is introduced as a new, citizen-science-based project to monitor solitary bee populations, and provide empirical data to validate predictions from the proposed network approach. The over-arching aim of the described network analysis approach and the Oxford Plan Bee project is to facilitate effective, evidence-based conservation action to protect pollinators and the plants they pollinate into the future.</t>
  </si>
  <si>
    <t>[Lander, Tonya] Univ Oxford, Dept Plant Sci, Oxford, England</t>
  </si>
  <si>
    <t>University of Oxford</t>
  </si>
  <si>
    <t>Lander, T (corresponding author), Dept Plant Sci, South Pk Rd, Oxford OX1 3RB, England.</t>
  </si>
  <si>
    <t>tonya.lander@plants.ox.ac.uk</t>
  </si>
  <si>
    <t>Leverhulme Trust; University of Oxford</t>
  </si>
  <si>
    <t>Leverhulme Trust(Leverhulme Trust); University of Oxford(University of Oxford)</t>
  </si>
  <si>
    <t>2572-2611</t>
  </si>
  <si>
    <t>Plants People Planet</t>
  </si>
  <si>
    <t>10.1002/ppp3.10068</t>
  </si>
  <si>
    <t>Biodiversity Conservation; Plant Sciences; Ecology</t>
  </si>
  <si>
    <t>Biodiversity &amp; Conservation; Plant Sciences; Environmental Sciences &amp; Ecology</t>
  </si>
  <si>
    <t>TX9FV</t>
  </si>
  <si>
    <t>WOS:000683392200004</t>
  </si>
  <si>
    <t>Latimore, JA; Steen, PJ</t>
  </si>
  <si>
    <t>Latimore, Jo A.; Steen, Paul J.</t>
  </si>
  <si>
    <t>Integrating freshwater science and local management through volunteer monitoring partnerships: the Michigan Clean Water Corps</t>
  </si>
  <si>
    <t>volunteer monitoring; Michigan; partnership; collaboration; management; research; lakes; rivers; streams</t>
  </si>
  <si>
    <t>CITIZEN SCIENCE; KNOWLEDGE</t>
  </si>
  <si>
    <t>Thousands of local watershed organizations and lake associations are actively involved in protection and management of freshwater systems throughout the USA. These nonprofit organizations may or may not have paid staff and rarely employ trained scientists or natural resource managers. Thus, they face challenges, including lack of access to technical assistance to support their lake and river assessment and management initiatives, and may struggle to convince decision makers of the validity of their efforts. Meanwhile, researchers and managers within academia and agencies are challenged by lack of access to long-term data sets, field sites, funding, and personnel, and sometimes struggle to demonstrate real-world application of research results and to build support for freshwater research and management programs. The Michigan Clean Water Corps (MiCorps) volunteer monitoring program is a partnership-based program involving state and regional organizations and local volunteers that has met the above challenges, resulted in expanded monitoring of lakes and streams in Michigan (USA), and led to synergistic outcomes, such as advancing freshwater science, building public support for research and management, and implementing science-based management and protection projects at the local level.</t>
  </si>
  <si>
    <t>[Latimore, Jo A.] Michigan State Univ, Dept Fisheries &amp; Wildlife, E Lansing, MI 48824 USA; [Steen, Paul J.] Huron River Watershed Council, Ann Arbor, MI 48104 USA</t>
  </si>
  <si>
    <t>Michigan State University</t>
  </si>
  <si>
    <t>Latimore, JA (corresponding author), Michigan State Univ, Dept Fisheries &amp; Wildlife, 480 Wilson Rd, E Lansing, MI 48824 USA.</t>
  </si>
  <si>
    <t>latimor1@msu.edu; psteen@hrwc.org</t>
  </si>
  <si>
    <t>Latimore, Jo/GRJ-9262-2022</t>
  </si>
  <si>
    <t>Latimore, Jo/0000-0002-3362-9089</t>
  </si>
  <si>
    <t>10.1086/676118</t>
  </si>
  <si>
    <t>AJ2VF</t>
  </si>
  <si>
    <t>WOS:000337521400027</t>
  </si>
  <si>
    <t>Biancardi, AA; Laface, F; Rotta, F; Wiedling, J; Zambianchi, E; Lehner, R</t>
  </si>
  <si>
    <t>Biancardi, Anastasia Angela; Laface, Federica; Rotta, Federica; Wiedling, Johanna; Zambianchi, Enrico; Lehner, Roman</t>
  </si>
  <si>
    <t>Citizen science as a tool for monitoring microplastics: The case study of Elba Island</t>
  </si>
  <si>
    <t>REGIONAL STUDIES IN MARINE SCIENCE</t>
  </si>
  <si>
    <t>Citizen Science; Environmental pollution; Microplastics; Fragment; Mediterranean; Ligurian Sea</t>
  </si>
  <si>
    <t>PLASTIC DEBRIS; ABUNDANCE; BEACHES</t>
  </si>
  <si>
    <t>Globally, different numbers have been published on the occurrence, concentration and distribution of micro-plastics (MPs). To better predict and understand the MP pollution problem, more data is needed. Citizen Science (CS) has emerged as an efficient tool for data collection, increasing research capacity, while also raising awareness, and providing social and environmental benefits. Sampling was carried out by citizen scientists participating in a one-week workshop organized by the Sail &amp; Explore Association (SEA) on Elba Island in June 2024. This event aimed to map, for the first time, the occurrence and distribution patterns of MPs ranging from 0.3 to 5 mm on and around the island. Volunteers and researchers collected surface water samples using a manta trawl, and beach sediment samples following standardized scientific protocols across six beaches and ten sea surface transects. The study yielded a comprehensive dataset of 1907 MP particles (645 beached MPs and 1262 floating MPs). Fragments were the predominant type, representing 72.9 % of all samples. Fourier Transform Infrared Spectroscopy (FTIR) was used to analyze approximately 10 % of the collected data, revealing that polyethylene (PE) was the principal polymer (55.3 % of beach samples and 62.9 % of sea surface samples). The dominant color of all plastic collected was white (311 particles for beach samples and 650 particles for sea samples). This study provides crucial baseline data for the Tuscan Archipelago and highlights the importance of CS in collecting extensive environmental data, providing a foundation for future research and policymaking to address plastic pollution in the region.</t>
  </si>
  <si>
    <t>[Biancardi, Anastasia Angela] Parthenope Univ Naples, Dept Sci &amp; Technol, Ctr Direz Is C4, I-80143 Naples, Italy; [Laface, Federica] Sicily Marine Ctr, Dept Biol &amp; Evolut Marine Organism, Stn Zool Anton Dohrn SZN, Contrada Porticatello 29, I-98167 Messina, Italy; [Laface, Federica] Res Ctr &amp; Marine Adv Infrastructures Calabria CRIM, Dept Biol &amp; Evolut Marine Organism, Stn Zool Anton Dohrn SZN, Via Torre Spaccata, I-87071 Amendolara, Italy; [Wiedling, Johanna; Lehner, Roman] Sail &amp; Explore Assoc, Kramgasse 18, CH-3011 Bern, Switzerland; [Rotta, Federica] Univ Pavia, Dept Earth &amp; Environm Sci, Pavia, Italy; [Rotta, Federica] Univ Appl Sci &amp; Arts Southern Switzerland, Inst Earth Sci, Manno, Switzerland; [Zambianchi, Enrico] Sapienza Univ Roma, Dept Earth Sci, Piazzale Aldo Moro 5, I-00185 Rome, Italy; [Zambianchi, Enrico] CoNISMa Natl Interuniv Consortium Marine Sci, Piazzale Flaminio 9, I-00196 Rome, Italy; [Lehner, Roman] Univ Bern, Dept Chem Biochem &amp; Pharmaceut Sci, Freiestr 3, CH-3012 Bern, Switzerland</t>
  </si>
  <si>
    <t>Parthenope University Naples; Stazione Zoologica Anton Dohrn; Stazione Zoologica Anton Dohrn; University of Pavia; Sapienza University Rome; CoNISMa; University of Bern</t>
  </si>
  <si>
    <t>Lehner, R (corresponding author), Sail &amp; Explore Assoc, Kramgasse 18, CH-3011 Bern, Switzerland.</t>
  </si>
  <si>
    <t>roman@sailandexplore.com</t>
  </si>
  <si>
    <t>Rotta, Federica/0000-0002-1259-1683; Biancardi, Anastasia Angela/0009-0000-2014-4130; zambianchi, enrico/0000-0001-5474-7466; Lehner, Roman/0000-0002-0478-5445</t>
  </si>
  <si>
    <t>Italian Ministry for University and Research (MUR); REACT-EU cohesion program resources [DM 1061]; National Swiss agency Movetia [2023-1-CH01-KA105-0009]</t>
  </si>
  <si>
    <t>Italian Ministry for University and Research (MUR)(Ministry of Education, Universities and Research (MIUR)); REACT-EU cohesion program resources; National Swiss agency Movetia</t>
  </si>
  <si>
    <t>AAB carried out this work as part of her PhD, funded by the Italian Ministry for University and Research (MUR) with REACT-EU cohesion program resources through the DM 1061. We would also like to thank all the citizen scientists who took part in this study, collecting and analyzing all the samples. Furthermore, we would like to thank the national Swiss agency Movetia for providing financial support under the grant 2023-1-CH01-KA105-0009.</t>
  </si>
  <si>
    <t>2352-4855</t>
  </si>
  <si>
    <t>REG STUD MAR SCI</t>
  </si>
  <si>
    <t>Reg. Stud. Mar. Sci.</t>
  </si>
  <si>
    <t>10.1016/j.rsma.2025.104481</t>
  </si>
  <si>
    <t>7KQ1L</t>
  </si>
  <si>
    <t>WOS:001573272400001</t>
  </si>
  <si>
    <t>von Gönner, J; Masson, T; Köhler, S; Fritsche, I; Bonn, A</t>
  </si>
  <si>
    <t>von Goenner, Julia; Masson, Torsten; Koehler, Sabrina; Fritsche, Immo; Bonn, Aletta</t>
  </si>
  <si>
    <t>Citizen science promotes knowledge, skills and collective action to monitor and protect freshwater streams</t>
  </si>
  <si>
    <t>citizen science; collective conservation behaviour; community building; ecological knowledge; freshwater monitoring; skill acquisition; social identity</t>
  </si>
  <si>
    <t>CONSERVATION; PERCEPTIONS; QUALITY</t>
  </si>
  <si>
    <t>Citizen science has great potential to foster ecological knowledge, skills and collective action for biodiversity conservation. To date, however, there are few experimental studies of behaviour change outcomes induced by citizen science. We assessed the effects of citizen science in ecological stream monitoring on participants' individual and collective behaviour and action intentions to protect streams beyond the immediate scope of the citizen science project. For this we applied a three-wave, quasi-experimental survey design with a citizen science treatment group (N = 213 participants of the project FLOW in Germany) and two control groups (waiting control group: N = 92, panel control group: N = 250). In addition, we analysed citizen science effects on potential predictors of freshwater conservation behaviour, such as knowledge, skills, awareness of stream stressors and group identification. Results of linear mixed-model analysis showed that, compared to the control groups, citizen scientists significantly increased their objective stream-related knowledge, their self-reported stream monitoring skills and their awareness of stream stressors. These changes remained stable 6 weeks after the citizen science intervention. Notably, citizen scientists also reported increased identification with their citizen science project group and higher levels of collective and personal behaviour to protect streams at posttest (e.g. contacting local politicians with ideas for stream protection or using biodegradable detergents). Analysis revealed that increases in group identification and collective stream protection behaviour were significantly correlated. We could show that the citizen science intervention was particularly effective for participants with high intrinsic motivation and for those with low prior knowledge and experience in stream monitoring. Synthesis and applications. Citizen science can serve as a useful tool to promote ecological understanding, awareness and collective action to conserve freshwater streams. By fostering volunteer skills and community building, citizen science projects can empower participants with different levels of experience to engage in freshwater monitoring and protection. Decision makers should actively support approaches for citizen participation in freshwater monitoring, recognising that collective engagement of diverse community members is needed to finally meet the European Water Framework Directive's goal of restoring the good ecological status of freshwater ecosystems.Read the free Plain Language Summary for this article on the Journal blog. Citizen Science (,,B &amp; uuml;rgerforschung) hat gro ss es Potenzial, das &amp; ouml;kologische Wissen, die F &amp; auml;higkeiten und das kollektive Handeln zum Erhalt der biologischen Vielfalt zu f &amp; ouml;rdern. Bisher gibt es jedoch nur wenige experimentelle Studien zu den Auswirkungen von Citizen Science auf das umweltbezogene Verhalten der Teilnehmenden. Wir untersuchten die Auswirkungen von Citizen Science im &amp; ouml;kologischen Flie ss gew &amp; auml;ssermonitoring auf das individuelle und kollektive Verhalten und die Handlungsabsichten der Teilnehmenden im Bereich Gew &amp; auml;sserschutz. Dazu verwendeten wir ein dreistufiges, quasi-experimentelles Studiendesign mit einer Citizen Science-Treatmentgruppe (N = 213 Teilnehmende des Projekts FLOW) und zwei Kontrollgruppen (Wartekontrollgruppe: N = 92, Panelkontrollgruppe: N = 250). Dar &amp; uuml;ber hinaus analysierten wir die Auswirkungen von Citizen Science auf potenzielle Pr &amp; auml;diktoren des Gew &amp; auml;sserschutzverhaltens, wie z. B. Wissen, F &amp; auml;higkeiten, Bewusstsein f &amp; uuml;r Gew &amp; auml;sserbelastungen und Gruppenidentifikation. Die Ergebnisse der linearen Modellanalyse zeigten, dass die B &amp; uuml;rgerforschenden im Vergleich zu den Kontrollgruppen ihr objektives Wissen &amp; uuml;ber Flie ss gew &amp; auml;sser, ihre selbsteingesch &amp; auml;tzten F &amp; auml;higkeiten zum Flie ss gew &amp; auml;ssermonitoring und ihr Bewusstsein f &amp; uuml;r Gew &amp; auml;sserbelastungen deutlich verbesserten. Diese Ver &amp; auml;nderungen blieben auch sechs Wochen nach der Citizen Science-Intervention stabil. Die B &amp; uuml;rgerforschenden berichteten im Posttest nach der Projektteilnahme auch &amp; uuml;ber eine st &amp; auml;rkere Identifikation mit ihrer Projektgruppe und &amp; uuml;ber ein h &amp; ouml;heres Ma ss an kollektivem und pers &amp; ouml;nlichem Verhalten zum Schutz von Flie ss gew &amp; auml;ssern (z.B. Kontaktaufnahme zur Lokalpolitik mit eigenen Ideen zum Gew &amp; auml;sserschutz oder Verwendung biologisch abbaubarer Reinigungsmittel). Die Analyse ergab, dass die Zunahme der Gruppenidentifikation und des kollektiven Gew &amp; auml;sserschutzverhaltens signifikant miteinander korrelierten. Wir konnten zeigen, dass die Citizen Science-Intervention besonders effektiv f &amp; uuml;r Teilnehmende mit hoher intrinsischer Motivation und f &amp; uuml;r Teilnehmende mit geringen Vorkenntnissen und Erfahrungen im Gew &amp; auml;ssermonitoring war. Synthese und Anwendung. Citizen Science ist ein wertvolles Instrument zur F &amp; ouml;rderung von &amp; ouml;kologischen Kompetenzen und kollektivem Handeln zum Schutz von Flie ss gew &amp; auml;ssern. Durch die F &amp; ouml;rderung der Kompetenzen von B &amp; uuml;rgerforschenden und den Aufbau einer aktiven Gemeinschaft k &amp; ouml;nnen Citizen Science-Projekte Teilnehmende mit unterschiedlichen Erfahrungshintergr &amp; uuml;nden in die Lage versetzen, sich am Flie ss gew &amp; auml;ssermonitoring und -schutz zu beteiligen. Entscheidungstr &amp; auml;ger:innen sollten Ans &amp; auml;tze zur B &amp; uuml;rgerbeteiligung im Flie ss gew &amp; auml;ssermonitoring aktiv unterst &amp; uuml;tzen. Denn das gemeinsame Engagement verschiedener gesellschaftlicher Akteure ist notwendig, um das Ziel der Europ &amp; auml;ischen Wasserrahmenrichtlinie zu erreichen, den guten &amp; ouml;kologischen Zustand von Gew &amp; auml;ssern wiederherzustellen.</t>
  </si>
  <si>
    <t>[von Goenner, Julia; Bonn, Aletta] UFZ Helmholtz Ctr Environm Res, Dept Biodivers &amp; People, Leipzig, Germany; [von Goenner, Julia; Bonn, Aletta] Friedrich Schiller Univ Jena, Inst Biodivers, Jena, Germany; [von Goenner, Julia; Bonn, Aletta] German Ctr Integrat Biodivers Res iDiv, Leipzig, Germany; [Masson, Torsten; Koehler, Sabrina; Fritsche, Immo] Univ Leipzig, Wilhelm Wundt Inst Psychol, Leipzig, Germany</t>
  </si>
  <si>
    <t>Helmholtz Association; Helmholtz Center for Environmental Research (UFZ); Friedrich Schiller University of Jena; German Research Foundation (DFG); German Centre for Integrative Biodiversity Research (iDiv); Leipzig University</t>
  </si>
  <si>
    <t>von Gönner, J (corresponding author), UFZ Helmholtz Ctr Environm Res, Dept Biodivers &amp; People, Leipzig, Germany.;von Gönner, J (corresponding author), Friedrich Schiller Univ Jena, Inst Biodivers, Jena, Germany.;von Gönner, J (corresponding author), German Ctr Integrat Biodivers Res iDiv, Leipzig, Germany.</t>
  </si>
  <si>
    <t>julia.vongoenner@idiv.de</t>
  </si>
  <si>
    <t>Masson, Torsten/HDL-8968-2022; Fritsche, Immo/AFU-9823-2022; Bonn, Aletta/A-2164-2013; von Gönner, Julia/IUP-3537-2023</t>
  </si>
  <si>
    <t>Fritsche, Immo/0000-0001-6022-8021; Bonn, Aletta/0000-0002-8345-4600; von Gönner, Julia/0000-0002-5901-9158</t>
  </si>
  <si>
    <t>Deutsche Bundesstiftung Umwelt [AZ 20019/592]; Bundesministerium fuer Bildung und Forschung [01BF1906]; Deutsche Forschungsgemeinschaft [DFG-FZT 118, 202548816]</t>
  </si>
  <si>
    <t>Deutsche Bundesstiftung Umwelt; Bundesministerium fuer Bildung und Forschung; Deutsche Forschungsgemeinschaft(German Research Foundation (DFG))</t>
  </si>
  <si>
    <t>Deutsche Bundesstiftung Umwelt, Grant/Award Number: AZ 20019/592; Bundesministerium fuer Bildung und Forschung, Grant/Award Number: 01BF1906; Deutsche Forschungsgemeinschaft, Grant/Award Number: DFG-FZT 118 and 202548816</t>
  </si>
  <si>
    <t>10.1002/pan3.10714</t>
  </si>
  <si>
    <t>O2U6K</t>
  </si>
  <si>
    <t>WOS:001357241000001</t>
  </si>
  <si>
    <t>Sanna, VS; Di Grazia, F; Capineri, C; Polvani, A</t>
  </si>
  <si>
    <t>Sanna, Venere Stefania; Di Grazia, Francesco; Capineri, Cristina; Polvani, Alessio</t>
  </si>
  <si>
    <t>Citizen Science for Transition to Sustainability and SDG Monitoring in an Italian River Basin</t>
  </si>
  <si>
    <t>INTERNATIONAL JOURNAL OF E-PLANNING RESEARCH</t>
  </si>
  <si>
    <t>Water Quality; Scenario Analysis; Reforestation; Italy; SDGs; Data-Driven Policies; Agenda 2030</t>
  </si>
  <si>
    <t>LAND-USE CHANGES; WATER-QUALITY; TOOL; METAANALYSIS; REMOVAL; CLIMATE</t>
  </si>
  <si>
    <t>The direct involvement of the public in data collection and analysis can be a powerful tool to fill information gaps, while simultaneously improving community influence on urban planning and land management policies. Using a robust case study, this paper shows how Citizen Science (CS) data can support complex sustainability transitions. In a study of the Ombrone River Basin (ORB) in Italy, the paper shows how data produced by a large group of citizen participants was integrated into official datasets on land use and water quality, demonstrating the potential for this method in supporting the monitoring of Sustainable Development Goal (SDG) indicators at the local level. In addition, through scenario analysis including a reforestation hypothesis, the paper offers useful pointers for leveraging and optimising the voluntary participation of non-professional scientists in the various stages of research and innovation activities, in support of data-driven policies and planning that take environmental sustainability into account.</t>
  </si>
  <si>
    <t>[Sanna, Venere Stefania; Di Grazia, Francesco; Capineri, Cristina; Polvani, Alessio] Univ Siena, Siena, Italy</t>
  </si>
  <si>
    <t>University of Siena</t>
  </si>
  <si>
    <t>Sanna, VS (corresponding author), Univ Siena, Siena, Italy.</t>
  </si>
  <si>
    <t>venere.sanna@unisi.it; francesco.digrazia2@unisi.it; cristina.capineri@unisi.it; alessio.polvani@student.unisi.it</t>
  </si>
  <si>
    <t>; DI GRAZIA, FRANCESCO/GMW-6104-2022</t>
  </si>
  <si>
    <t>capineri, cristina/0000-0001-5874-9872; SANNA, VENERE STEFANIA/0000-0001-5420-7216; DI GRAZIA, FRANCESCO/0000-0001-8979-6452; Polvani, Alessio/0009-0006-2912-1019</t>
  </si>
  <si>
    <t>National Recovery and Resilience Plan, Mission 4 Component 2 Investment 1.4 of Italian Ministry of University and Research - European Union-NextGenerationEU [3138, 3175]; Italian Ministry of University and Research [CN_00000033, 1034, CUP B63C22000650007]</t>
  </si>
  <si>
    <t>National Recovery and Resilience Plan, Mission 4 Component 2 Investment 1.4 of Italian Ministry of University and Research - European Union-NextGenerationEU; Italian Ministry of University and Research(Ministry of Education, Universities and Research (MIUR))</t>
  </si>
  <si>
    <t>This article is an output of the CS4RIVERS project, funded under the National Recovery and Resilience Plan, Mission 4 Component 2 Investment 1.4, Call for Tender No. 3138 of December 16, 2021, rectified by Decree No. 3175 of December 18, 2021, of Italian Ministry of University and Research funded by the European Union-NextGenerationEU. This research was supported by Project Code CN_00000033, Concession Decree No. 1034 of June 17, 2022, adopted by the Italian Ministry of University and Research, CUP B63C22000650007, project title National Biodiversity Future Center-NBFC.</t>
  </si>
  <si>
    <t>IGI GLOBAL</t>
  </si>
  <si>
    <t>HERSHEY</t>
  </si>
  <si>
    <t>701 E CHOCOLATE AVE, STE 200, HERSHEY, PA 17033-1240 USA</t>
  </si>
  <si>
    <t>2160-9918</t>
  </si>
  <si>
    <t>2160-9926</t>
  </si>
  <si>
    <t>INT J E-PLAN RES</t>
  </si>
  <si>
    <t>Int. J. E-Plan. Res.</t>
  </si>
  <si>
    <t>10.4018/IJEPR.366585</t>
  </si>
  <si>
    <t>Regional &amp; Urban Planning</t>
  </si>
  <si>
    <t>Public Administration</t>
  </si>
  <si>
    <t>W5Q7M</t>
  </si>
  <si>
    <t>WOS:001419124700001</t>
  </si>
  <si>
    <t>Kasiske, T; Klimek, S; Dauber, J; Harpke, A; Kühn, E; Levers, C; Schwieder, M; Settele, J; Sietz, D; Tetteh, GO; Musche, M</t>
  </si>
  <si>
    <t>Kasiske, Toni; Klimek, Sebastian; Dauber, Jens; Harpke, Alexander; Kuehn, Elisabeth; Levers, Christian; Schwieder, Marcel; Settele, Josef; Sietz, Diana; Tetteh, Gideon O.; Musche, Martin</t>
  </si>
  <si>
    <t>Identifying typical patterns of land-use and landscape structure in citizen science butterfly monitoring</t>
  </si>
  <si>
    <t>Conservation; Agricultural landscapes; Farmland biodiversity; Archetypes</t>
  </si>
  <si>
    <t>AGRICULTURAL LANDSCAPES; CLUSTER-ANALYSIS; ABUNDANCE INDEX; MANAGEMENT; METAANALYSIS; COMMUNITIES; GRASSLANDS; DIVERSITY; DECLINES; BENEFIT</t>
  </si>
  <si>
    <t>Agricultural intensification in grasslands, characterized by increased livestock density, frequent mowing, and landscape homogenization, has driven significant declines in insect populations. Butterflies, key indicators of habitat quality, are sensitive to intensification and often used for monitoring. As they are influenced by the landscape context, understanding the landscapes surrounding monitoring transects is crucial for the evaluation of the status of butterflies and the effectiveness of conservation strategies. Using data from the German Butterfly Monitoring Scheme (DEBMS), we applied a nested clustering approach to group landscapes surrounding survey transects by dominant land cover, land-use intensity, and landscape structure. We then related these landscape contexts to butterfly diversity and community composition. Grassland- and forest-dominated clusters had highest species richness, abundance, number of specialists, and endangered species, while urban clusters had the lowest. Most species occurred independently of dominant land-cover types, highlighting the importance of even small proportions of habitats to support populations. We found no statistically significant differences in butterfly communities within crop- and grassland-dominated clusters when comparing different land-use intensity and landscape structure characteristics. However, data indicated higher richness, abundance, and more endangered species on less intensively managed grasslands. Our findings underscore the value of citizen science monitoring schemes in capturing broad-scale patterns in land use and landscape structure. Although clusters did not strongly differentiate distinct butterfly communities, they suggest that maintaining less intensively managed grasslands and expanding semi-natural habitats in agricultural landscapes can enhance butterfly diversity. We highlight the importance of accounting for landscape contexts when interpreting biodiversity patterns and informing conservation strategies.</t>
  </si>
  <si>
    <t>[Kasiske, Toni; Klimek, Sebastian; Dauber, Jens; Levers, Christian; Sietz, Diana] Thunen Inst Biodivers, Braunschweig, Germany; [Kasiske, Toni; Dauber, Jens] Tech Univ Carolo Wilhelmina Braunschweig, Inst Geoecol, Biodivers Agr Landscapes, Braunschweig, Germany; [Harpke, Alexander] UFZ Helmholtz Ctr Environm Res, Dept Community Ecol, Halle, Germany; [Harpke, Alexander; Kuehn, Elisabeth; Settele, Josef; Musche, Martin] UFZ Helmholtz Ctr Environm Res, Dept Conservat Biol &amp; Social Ecol Syst, Halle, Germany; [Settele, Josef] iDiv German Ctr Integrat Biodivers Res, Leipzig, Germany; [Settele, Josef] Univ Philippines Los Banos, Inst Biol Sci, Laguna, Philippines; [Schwieder, Marcel; Tetteh, Gideon O.] Thunen Inst Farm Econ, Braunschweig, Germany; [Schwieder, Marcel] Humboldt Univ, Dept Geog, Berlin, Germany</t>
  </si>
  <si>
    <t>Johann Heinrich von Thunen Institute; Braunschweig University of Technology; Helmholtz Association; Helmholtz Center for Environmental Research (UFZ); Helmholtz Association; Helmholtz Center for Environmental Research (UFZ); German Research Foundation (DFG); German Centre for Integrative Biodiversity Research (iDiv); University of the Philippines System; University of the Philippines Los Banos; Johann Heinrich von Thunen Institute; Humboldt University of Berlin</t>
  </si>
  <si>
    <t>Kasiske, T (corresponding author), Thunen Inst Biodivers, Braunschweig, Germany.</t>
  </si>
  <si>
    <t>Kasiske.public@gmail.com</t>
  </si>
  <si>
    <t>; Settele, Josef/A-6371-2009; Kuehn, Elisabeth/AEW-0162-2022; Levers, Christian/L-9204-2013; Sietz, Diana/HJB-2910-2022; Musche, Martin/Z-5662-2019; Schwieder, Marcel/B-9071-2016</t>
  </si>
  <si>
    <t>Klimek, Sebastian/0000-0002-2544-640X; Settele, Josef/0000-0002-8624-4983; Kasiske, Toni/0000-0003-2245-0048;</t>
  </si>
  <si>
    <t>German Federal Ministry of Agriculture, Food and Regional Identity; Project DEAL</t>
  </si>
  <si>
    <t>Funding was provided to T.K., S.K., J.D., C.L., D.S., M.S., and G.T. by the German Federal Ministry of Agriculture, Food and Regional Identity as part of the joint project 'Monitoring der biologischen Vielfalt in Agrarlandschaften' (MonViA, Monitoring of biodiversity in agricultural landscapes). Open Access funding was enabled and organized by the project DEAL.</t>
  </si>
  <si>
    <t>10.1016/j.ecolind.2025.114317</t>
  </si>
  <si>
    <t>9EE8D</t>
  </si>
  <si>
    <t>WOS:001604228100001</t>
  </si>
  <si>
    <t>Connors, JP; Lei, SF; Kelly, M</t>
  </si>
  <si>
    <t>Connors, John Patrick; Lei, Shufei; Kelly, Maggi</t>
  </si>
  <si>
    <t>Citizen Science in the Age of Neogeography: Utilizing Volunteered Geographic Information for Environmental Monitoring</t>
  </si>
  <si>
    <t>ANNALS OF THE ASSOCIATION OF AMERICAN GEOGRAPHERS</t>
  </si>
  <si>
    <t>citizen science; open source; participatory GIS; sudden oak death; volunteered geographic information; Web GIS</t>
  </si>
  <si>
    <t>SUDDEN OAK DEATH; OPEN SOURCE SOFTWARE; PUBLIC-PARTICIPATION; DECISION-SUPPORT; DIGITAL DIVIDE; UNITED-STATES; COMMUNITY; GIS; KNOWLEDGE; MANAGEMENT</t>
  </si>
  <si>
    <t>The interface between neogeography and citizen science has great potential for environmental monitoring, but this nexus has been explored less often than each subject individually. In this article we review the emerging role of volunteered geographic information in citizen science and present a case study of an integrated tool set that engages multiple types of users (from targeted citizen-based observation networks, expert-driven focused monitoring, and opportunistic crowdsourcing efforts) in monitoring a forest disease in the western United States. We first introduce the overall challenge of data collection in environmental monitoring projects and then discuss the literature surrounding an emergent integration of citizen science and volunteered geographical information. We next explore how these methods characterize and underpin knowledge discovery and how multimodal interaction is supported so that a large spectrum of contributors can be included. These concepts are summarized in a conceptual model that articulates the important gradients of Web-based environmental monitoring: the users, the interaction between users and data, and the types of information generated. Using this model, we critically examine OakMapper.org, a Web site created by the authors to collect and distribute spatial information related to the spread of a forest disease, and discuss many of the core issues and new challenges presented by the intersection of citizen science and volunteered geographic information in the context of environmental monitoring. We argue that environmental monitoring can benefit from this synergy: The increased emphasis on a diversity of participants in knowledge production might help to reduce the gaps that have in the past divided the public, researchers, and policymakers in such efforts.</t>
  </si>
  <si>
    <t>[Connors, John Patrick] Arizona State Univ, Sch Geog Sci &amp; Urban Planning, Tempe, AZ 85287 USA; [Lei, Shufei; Kelly, Maggi] Univ Calif Berkeley, Dept Environm Sci Policy &amp; Management, Berkeley, CA 94720 USA</t>
  </si>
  <si>
    <t>Arizona State University; Arizona State University-Tempe; University of California System; University of California Berkeley</t>
  </si>
  <si>
    <t>Connors, JP (corresponding author), Arizona State Univ, Sch Geog Sci &amp; Urban Planning, Tempe, AZ 85287 USA.</t>
  </si>
  <si>
    <t>jpconn01@asu.edu; shufeilei@gmail.com; maggi@berkeley.edu</t>
  </si>
  <si>
    <t>; Lei, Shufei/Y-4119-2019</t>
  </si>
  <si>
    <t>Casellas Connors, John/0000-0002-4212-3397;</t>
  </si>
  <si>
    <t>0004-5608</t>
  </si>
  <si>
    <t>1467-8306</t>
  </si>
  <si>
    <t>ANN ASSOC AM GEOGR</t>
  </si>
  <si>
    <t>Ann. Assoc. Am. Geogr.</t>
  </si>
  <si>
    <t>10.1080/00045608.2011.627058</t>
  </si>
  <si>
    <t>Geography</t>
  </si>
  <si>
    <t>017PO</t>
  </si>
  <si>
    <t>WOS:000309602900003</t>
  </si>
  <si>
    <t>Fraisl, D; See, L; Sturn, T; MacFeely, S; Bowser, A; Campbell, J; Moorthy, ; Danylo, O; McCallum, ; Fritz, S</t>
  </si>
  <si>
    <t>Fraisl, D.; See, L.; Sturn, T.; MacFeely, S.; Bowser, A.; Campbell, J.; Moorthy, I; Danylo, O.; McCallum, I; Fritz, S.</t>
  </si>
  <si>
    <t>Demonstrating the potential of Picture Pile as a citizen science tool for SDG monitoring</t>
  </si>
  <si>
    <t>Citizen science; Crowdsourcing; SDGs; Citizen science tools; SDG monitoring; Earth Observation; Sustainable Development Goals</t>
  </si>
  <si>
    <t>CROPLAND</t>
  </si>
  <si>
    <t>The SDGs are a universal agenda to address the world's most pressing societal, environmental and economic challenges. The supply of timely, relevant and reliable data is essential in guiding policies and decisions for successful implementation of the SDGs. Yet official statistics cannot provide all of the data needed to populate the SDG indicator framework. Citizen science offers a novel solution and an untapped opportunity to complement traditional sources of data, such as household surveys, for monitoring progress towards the SDGs, while at the same time mobilizing action and raising awareness for their achievement. This paper presents the potential offered by one specific citizen science tool, Picture Pile, to complement and enhance official statistics to monitor several SDGs and targets. Designed to be a generic and flexible tool, Picture Pile is a web-based and mobile application for ingesting imagery from satellites, orthophotos, unmanned aerial vehicles or geotagged photographs that can then be rapidly classified by volunteers. The results show that Picture Pile could contribute to the monitoring of fifteen SDG indicators under goals 1, 2, 11, 13, 14 and 15 based on the Picture Pile campaigns undertaken to date. Picture Pile could also be modified to support other SDGs and indicators in the areas of ecosystem health, eutrophication and built-up areas, among others. In order to leverage this particular tool for SDG monitoring, its potential must be showcased through the development of use cases in collaboration with governments, NSOs and relevant custodian agencies. Additionally, mutual trust needs to be built among key stakeholders to agree on common goals that would facilitate the use of Picture Pile or other citizen science tools and data for SDG monitoring and impact.</t>
  </si>
  <si>
    <t>[Fraisl, D.; See, L.; Sturn, T.; Moorthy, I; Danylo, O.; McCallum, I; Fritz, S.] Int Inst Appl Syst Anal, Laxenburg, Austria; [Fraisl, D.] Univ Nat Resources &amp; Life Sci Vienna, Vienna, Austria; [MacFeely, S.] WHO, Vienna, Austria; [Bowser, A.] Woodrow Wilson Int Ctr Scholars, Washington, DC 20560 USA; [Bowser, A.] Nat Serve, Arlington, VA USA; [Campbell, J.] United Nations Environm Program Convent Biol Dive, Montreal, PQ, Canada</t>
  </si>
  <si>
    <t>International Institute for Applied Systems Analysis (IIASA); BOKU University; World Health Organization</t>
  </si>
  <si>
    <t>Fraisl, D (corresponding author), Int Inst Appl Syst Anal, Laxenburg, Austria.</t>
  </si>
  <si>
    <t>Moorthy, Inian/ORK-2879-2025; Fraisl, Dilek/ITT-4754-2023</t>
  </si>
  <si>
    <t>Moorthy, Inian/0000-0002-3664-3855; Fraisl, Dilek/0000-0001-7523-7967</t>
  </si>
  <si>
    <t>project 'Using Crowd-sourcing and Gaming Approaches for EO4SD Services (GAME.EO)' - European Space Agency [4000125186/18/1-NB]; European Research Council's Proof of Concept grant: 'Picture Pile Platform'; European Union [776740, 689812]; H2020 Societal Challenges Programme [689812, 776740] Funding Source: H2020 Societal Challenges Programme</t>
  </si>
  <si>
    <t>project 'Using Crowd-sourcing and Gaming Approaches for EO4SD Services (GAME.EO)' - European Space Agency; European Research Council's Proof of Concept grant: 'Picture Pile Platform'; European Union(European Union (EU)); H2020 Societal Challenges Programme(Horizon 2020European Union (EU)H2020 Societal Challenges Programme)</t>
  </si>
  <si>
    <t>This research was partly supported by the project 'Using Crowd-sourcing and Gaming Approaches for EO4SD Services (GAME.EO) ' funded by the European Space Agency (contract no. 4000125186/18/1-NB) , the European Research Council's Proof of Concept grant: 'Picture Pile Platform' and the European Union's Horizon 2020 research and innovation programme under grant agreement No. 776740 (WeOb-serve) and grant agreement No. 689812 (LandSense) . We would also like to acknowledge the inputs from Prof. Kappa onstantinos Topouzelis from the University of the Aegean, and continuous support from Prof. Marianne Penker and Prof. Georg Gratzer from the University of Natural Resources and Life Sciences Vienna.</t>
  </si>
  <si>
    <t>10.1016/j.envsci.2021.10.034</t>
  </si>
  <si>
    <t>NOV 2021</t>
  </si>
  <si>
    <t>XE5HU</t>
  </si>
  <si>
    <t>Green Accepted, hybrid</t>
  </si>
  <si>
    <t>WOS:000723419400010</t>
  </si>
  <si>
    <t>Callaghan, CT; Ozeroff, I; Hitchcock, C; Chandler, M</t>
  </si>
  <si>
    <t>Callaghan, Corey T.; Ozeroff, Ian; Hitchcock, Colleen; Chandler, Mark</t>
  </si>
  <si>
    <t>Capitalizing on opportunistic citizen science data to monitor urban biodiversity: A multi-taxa framework</t>
  </si>
  <si>
    <t>Citizen science; Community science; Participatory science; Community-based monitoring; Urban ecology; Urban tolerance; Sampling biases; iNaturalist, species occurrence data</t>
  </si>
  <si>
    <t>CONSERVATION SCIENCE; DATA QUALITY; URBANIZATION; POPULATION; EXTINCTION; LANDSCAPE; KNOWLEDGE; BIASES; BIRDS</t>
  </si>
  <si>
    <t>Monitoring urban biodiversity is increasingly important, given the increasing anthropogenic pressures on biodiversity in urban areas. While the cost of broad-scale monitoring by professionals may be prohibitive, citizen science (also referred to as community science) will likely play an important role in understanding biodiversity responses to urbanization into the future. Here, we present a framework that relies on broad-scale citizen science data - collected through iNaturalist - to quantify (1) species-specific responses to urbanization on a continuous scale, capitalizing on globally-available VIIRS night-time lights data; and (2) community-level measures of the urbanness of a given biological community that can be aggregated to any spatial unit relevant for policy-decisions. We demonstrate the potential utility of this framework in the Boston metropolitan region, using &gt; 1000 species aggregated across 87 towns throughout the region. Of the most common species, our species-specific urbanness measures highlighted the expected difference between native and non-native species. Further, our biological community-level urbanness measures - aggregated by towns - negatively correlated with enhanced vegetation indices within a town and positively correlated with the area of impervious surface within a town. We conclude by demonstrating how towns can be 'ranked' promoting a framework where towns can be compared based on whether they over- or under-perform in the urbanness of their community relative to other towns. Ultimately, biodiversity conservation in urban environments will best succeed with robust, repeatable, and interpretable measures of biodiversity responses to urbanization, and involving the broader public in the derivation and tracking of these responses will likely result in increased bioliteracy and conservation awareness.</t>
  </si>
  <si>
    <t>[Callaghan, Corey T.] UNSW Sydney, Sch Biol Earth &amp; Environm Sci, Ctr Ecosyst Sci, Sydney, NSW, Australia; [Callaghan, Corey T.] UNSW Sydney, Sch Biol Earth &amp; Environm Sci, Ecol &amp; Evolut Res Ctr, Sydney, NSW, Australia; [Ozeroff, Ian; Chandler, Mark] Earthwatch Inst, 1380 Soldiers Field Rd, Boston, MA USA; [Hitchcock, Colleen] Brandeis Univ, Biol Dept, 415 South St, Waltham, MA USA</t>
  </si>
  <si>
    <t>University of New South Wales Sydney; University of New South Wales Sydney; Brandeis University</t>
  </si>
  <si>
    <t>Callaghan, CT (corresponding author), UNSW Sydney, Sydney, NSW, Australia.</t>
  </si>
  <si>
    <t>Hitchcock, Colleen/0000-0002-3413-8951; Callaghan, Corey/0000-0003-0415-2709</t>
  </si>
  <si>
    <t>10.1016/j.biocon.2020.108753</t>
  </si>
  <si>
    <t>OO4GL</t>
  </si>
  <si>
    <t>WOS:000587339000005</t>
  </si>
  <si>
    <t>Florisson, JH; Tweedley, JR; Walker, THE; Chaplin, JA</t>
  </si>
  <si>
    <t>Florisson, James H.; Tweedley, James R.; Walker, Tim H. E.; Chaplin, Jennifer A.</t>
  </si>
  <si>
    <t>Reef vision: A citizen science program for monitoring the fish faunas of artificial reefs</t>
  </si>
  <si>
    <t>FISHERIES RESEARCH</t>
  </si>
  <si>
    <t>Baited remote underwater video; Community engagement; Habitat enhancement; Recreational fishing</t>
  </si>
  <si>
    <t>ECOLOGICAL RESEARCH; RELATIVE DENSITY; VIDEO TECHNIQUE; BAITED VIDEO; ASSEMBLAGES; MARINE; WATER; MANAGEMENT; ESTUARY; ICHTHYOFAUNA</t>
  </si>
  <si>
    <t>There has been a marked increase in the number of artificial reefs being deployed around the world, many of which are designed to increase catches of recreationally-targeted fish species. As artificial reef deployments should be accompanied by clear and measurable goals and thus subsequent environmental impact monitoring and performance evaluation, there is a need to develop cost-effective monitoring programs. This study provides proof of concept for a citizen science approach to monitoring the fish faunas of artificial reefs (Reef Vision). Recreational fishers were recruited to collect video samples using Baited Remote Underwater Video systems and submit the resultant footage for analysis and interpretation by professional scientists. Reef Vision volunteers were able to collect enough data of sufficient quality to monitor the Bunbury and Dunsborough artificial reefs in Geographe Bay, south-western Australia. Data were extracted from the footage and used in robust univariate and multivariate analyses, which determined that a soak time of 45 min was sufficient to capture &gt;= 95% of the number of species, abundance, diversity and composition of the fish fauna. The potential for these data to detect differences in the characteristics of the fish fauna between reefs and seasons was also investigated and confirmed. With the continuing deployment of artificial reefs around the world, the use of similar cost-effective citizen science monitoring approaches can help determine the effectiveness of these structures in achieving their aims and goals and provide valuable data for researchers, managers and decision makers. Projects such as Reef Vision can also benefit volunteers and communities by enhancing social values, creating ownership over research projects and fostering stewardship of aquatic resources.</t>
  </si>
  <si>
    <t>[Florisson, James H.] Recfishwest, 3-45 Northside Dr, Hillarys, WA 6025, Australia; [Florisson, James H.; Tweedley, James R.; Walker, Tim H. E.; Chaplin, Jennifer A.] Murdoch Univ, Harry Butler Inst, Ctr Sustainable Aquat Ecosyst, 90 South St, Murdoch, WA 6150, Australia; [Florisson, James H.; Tweedley, James R.; Walker, Tim H. E.; Chaplin, Jennifer A.] Murdoch Univ, Sch Vet &amp; Life Sci, 90 South St, Murdoch, WA 6150, Australia</t>
  </si>
  <si>
    <t>Recfishwest; Murdoch University; Murdoch University</t>
  </si>
  <si>
    <t>Florisson, JH (corresponding author), Recfishwest, 3-45 Northside Dr, Hillarys, WA 6025, Australia.</t>
  </si>
  <si>
    <t>james@recfishwest.org.au</t>
  </si>
  <si>
    <t>Tweedley, James/0000-0002-2749-1060</t>
  </si>
  <si>
    <t>Recfishwest; Department of Primary Industries and Regional Development from the Recreational Fishing Initiatives Fund; Fisheries Research and Development Corporation on behalf of the Australian Government [FRDC 2014/005]; Murdoch University</t>
  </si>
  <si>
    <t>Recfishwest; Department of Primary Industries and Regional Development from the Recreational Fishing Initiatives Fund; Fisheries Research and Development Corporation on behalf of the Australian Government(Fisheries R&amp;D Corp); Murdoch University</t>
  </si>
  <si>
    <t>Gratitude is expressed to the recreational fishers and divers who participated in the Reef Vison program and to Andrew Rowland, Leyland Campbell, Andrew Matthews, Mark Pagano, Paul Lewis, Howard Gill, Thomas Bateman, Michael Tropiano and Stephanie Watts for their support and advice during the project. Whiteys Tackle and Camping, Dunsborough Outdoor Sportz and Coastal Water Dive are thanked for supplying bait and providing logistical support. This project was supported by Recfishwest and Department of Primary Industries and Regional Development through funding from the Recreational Fishing Initiatives Fund, the Fisheries Research and Development Corporation (FRDC 2014/005) on behalf of the Australian Government and Murdoch University. It was conducted in accordance with Murdoch University Human Ethic Permit #2014/2005 and Animal Ethics Permit #02626/14.</t>
  </si>
  <si>
    <t>0165-7836</t>
  </si>
  <si>
    <t>1872-6763</t>
  </si>
  <si>
    <t>FISH RES</t>
  </si>
  <si>
    <t>Fish Res.</t>
  </si>
  <si>
    <t>10.1016/j.fishres.2018.05.006</t>
  </si>
  <si>
    <t>Fisheries</t>
  </si>
  <si>
    <t>GM3LC</t>
  </si>
  <si>
    <t>WOS:000438005100029</t>
  </si>
  <si>
    <t>Ruck, A; van der Wal, R; Hood, ASC; Mauchline, AL; Potts, SG; WallisDeVries, MF; Öckinger, E</t>
  </si>
  <si>
    <t>Ruck, Andy; van der Wal, Rene; Hood, Amelia S. C.; Mauchline, Alice L.; Potts, Simon G.; WallisDeVries, Michiel F.; Ockinger, Erik</t>
  </si>
  <si>
    <t>Farmland biodiversity monitoring through citizen science: A review of existing approaches and future opportunities</t>
  </si>
  <si>
    <t>AMBIO</t>
  </si>
  <si>
    <t>Agricultural landscapes; Biodiversity monitoring; Citizen science; Farmer engagement; Review; Typology</t>
  </si>
  <si>
    <t>AGRI-ENVIRONMENT SCHEMES</t>
  </si>
  <si>
    <t>Biodiversity monitoring in agricultural landscapes is important for assessing the effects of both land use change and activities that influence farmland biodiversity. Despite a considerable increase in citizen science approaches to biodiversity monitoring in recent decades, their potential in farmland-specific contexts has not been systematically examined. This paper therefore provides a comprehensive review of existing citizen science approaches involving biodiversity monitoring on farmland. Using three complementary methods, we identify a range of programmes at least partially covering farmland. From these, we develop a typology of eight programme types, reflecting distinctions in types of data collected and nature of volunteer involvement, and highlight their respective strengths and limitations. While all eight types can make substantial contributions to farmland biodiversity monitoring, there is considerable scope for their further development-particularly through increased engagement of farmers, for whom receiving feedback on the effects of their own practices could help facilitate adaptive management.</t>
  </si>
  <si>
    <t>[Ruck, Andy; van der Wal, Rene; Ockinger, Erik] Swedish Univ Agr Sci, Dept Ecol, Box 7044, SE-75007 Uppsala, Sweden; [Hood, Amelia S. C.; Mauchline, Alice L.; Potts, Simon G.] Univ Reading, Ctr Agrienvironm Res, Sch Agr Policy &amp; Dev, Reading RG6 6AR, England; [WallisDeVries, Michiel F.] Vlinderstichting Dutch Butterfly Conservat, POB 506, NL-6700AM Wageningen, Netherlands</t>
  </si>
  <si>
    <t>Swedish University of Agricultural Sciences; University of Reading</t>
  </si>
  <si>
    <t>Ruck, A (corresponding author), Swedish Univ Agr Sci, Dept Ecol, Box 7044, SE-75007 Uppsala, Sweden.</t>
  </si>
  <si>
    <t>andyruck84@gmail.com; rene.van.der.wal@slu.se; a.s.hood@reading.ac.uk; a.l.mauchline@reading.ac.uk; s.g.potts@reading.ac.uk; michiel.wallisdevries@vlinderstichting.nl; erik.ockinger@slu.se</t>
  </si>
  <si>
    <t>van der Wal, Rene/F-3177-2010; Hood, Amelia/AAQ-4684-2020; Öckinger, Erik/F-4154-2010; Potts, Simon/C-7250-2008</t>
  </si>
  <si>
    <t>Hood, Amelia/0000-0003-3803-0603; Öckinger, Erik/0000-0001-7517-4505; Potts, Simon/0000-0002-2045-980X</t>
  </si>
  <si>
    <t>This study has received funding from the project SHOWCASE (SHOWCASing synergies between agriculture, biodiversity and ecosystem services to help farmers capitalising on native biodiversity) within the European Union's Horizon 2020 Research and Innovation P [862480]; European Union</t>
  </si>
  <si>
    <t>This study has received funding from the project SHOWCASE (SHOWCASing synergies between agriculture, biodiversity and ecosystem services to help farmers capitalising on native biodiversity) within the European Union's Horizon 2020 Research and Innovation P; European Union(European Union (EU))</t>
  </si>
  <si>
    <t>This study has received funding from the project SHOWCASE (SHOWCASing synergies between agriculture, biodiversity and ecosystem services to help farmers capitalising on native biodiversity) within the European Union's Horizon 2020 Research and Innovation Programme under grant agreement No. 862480. The authors have no relevant financial or non-financial interests to disclose.</t>
  </si>
  <si>
    <t>0044-7447</t>
  </si>
  <si>
    <t>1654-7209</t>
  </si>
  <si>
    <t>Ambio</t>
  </si>
  <si>
    <t>10.1007/s13280-023-01929-x</t>
  </si>
  <si>
    <t>EE2E9</t>
  </si>
  <si>
    <t>WOS:001101389700003</t>
  </si>
  <si>
    <t>Encarnaçao, J; Baptista, V; Teodósio, MA; Morais, P</t>
  </si>
  <si>
    <t>Encarnacao, Joao; Baptista, Vania; Teodosio, Maria Alexandra; Morais, Pedro</t>
  </si>
  <si>
    <t>Low-Cost Citizen Science Effectively Monitors the Rapid Expansion of a Marine Invasive Species</t>
  </si>
  <si>
    <t>biological invasions; non-indigenous species; range expansion; blue crab; Callinectes sapidus; social media; facebook; Portugal</t>
  </si>
  <si>
    <t>CALLINECTES-SAPIDUS RATHBUN; DECAPODA BRACHYURA PORTUNIDAE; OVIGEROUS BLUE CRABS; RANGE EXPANSION; 1ST RECORD; COAST; SEA; ESTABLISHMENT; COLLABORATION; SCIENTISTS</t>
  </si>
  <si>
    <t>Citizen science and informed citizens have become fundamental in providing the first records and accounts about the expansion of numerous non-indigenous species. However, implementing a successful citizen science campaign can be expensive and particularly difficult for aquatic species. Here, we demonstrate how a low-cost citizen science campaign and its outreach plan in social and traditional media enabled to track the expansion of the Atlantic blue crab Callinectes sapidus Rathbun, 1896 along the coast of Algarve (southern Portugal, Europe). We describe the outreach strategy and a cost-benefit analysis of the first year of the citizen science campaign. Social media platforms allowed us to reach a significant number of citizens (over 31,500 clicks in Facebook publications), while traditional media gave national visibility to the citizen science campaign and biological invasions. In only 1 year, we documented the spread of the invasive Atlantic blue crab across the entire 140 km of the Algarve coast with 166 valid observations referring to 1747 specimens, submitted by 62 citizen scientists. We spent 0 euro on the citizen science campaign, but considering the time invested in the campaign the cost would have summed up to 3,751 euro, while the total minimum cost for one scientist to go to the field and retrieve the equivalent information would have exceeded 11,000 euro. We used free online tools of communication to obtain the records about the Atlantic blue crab, instead of a dedicated web platform or mobile app, and handled social media accounts ourselves, which saved us at least 18,815 euro. The citizen science campaign revealed that the Atlantic blue crab is unequivocally established in southern Portugal and that females appear to exhibit summer migrations to coastal areas to spawn as in the native area. Overall, our low-cost citizen science campaign effectively documented the rapid spread of a marine invasive species while providing some insights into its ecology. Our strategy can be easily replicated and implemented elsewhere in the world to tackle the ever-growing problem of biological invasions while increasing the scientific literacy of local populations.</t>
  </si>
  <si>
    <t>[Encarnacao, Joao; Baptista, Vania; Teodosio, Maria Alexandra; Morais, Pedro] Univ Algarve, Ctr Marine Sci CCMAR, Faro, Portugal</t>
  </si>
  <si>
    <t>Universidade do Algarve</t>
  </si>
  <si>
    <t>Encarnaçao, J (corresponding author), Univ Algarve, Ctr Marine Sci CCMAR, Faro, Portugal.</t>
  </si>
  <si>
    <t>jpencarnacao@ualg.pt</t>
  </si>
  <si>
    <t>Morais, Peo/F-2815-2011; Encarnação, João/AAS-3758-2021; Teodosio, Maria/B-5077-2013; Baptista, Vânia/J-5362-2019</t>
  </si>
  <si>
    <t>Morais, Peo/0000-0002-0861-5566; Encarnação, João/0000-0003-2105-6639; Teodosio, Maria/0000-0002-0939-9885; Baptista, Vânia/0000-0002-1428-3334</t>
  </si>
  <si>
    <t>NOV 1</t>
  </si>
  <si>
    <t>10.3389/fenvs.2021.752705</t>
  </si>
  <si>
    <t>WZ3GG</t>
  </si>
  <si>
    <t>WOS:000719858300001</t>
  </si>
  <si>
    <t>Wiersma, YF</t>
  </si>
  <si>
    <t>Wiersma, Yolanda F.</t>
  </si>
  <si>
    <t>Birding 2.0: Citizen Science and Effective Monitoring in the Web 2.0 World</t>
  </si>
  <si>
    <t>AVIAN CONSERVATION AND ECOLOGY</t>
  </si>
  <si>
    <t>citizen science; citizen sensors; experimental design; monitoring; volunteered geographical information (VGI); Web 2.0</t>
  </si>
  <si>
    <t>VOLUNTEERED GEOGRAPHIC INFORMATION; BIG DATA; PARTICIPATION; PARADIGM; SENSORS; FUTURE</t>
  </si>
  <si>
    <t>The amateur birding community has a long and proud tradition of contributing to bird surveys and bird atlases. Coordinated activities such as Breeding Bird Atlases and the Christmas Bird Count are examples of citizen science projects. With the advent of technology, Web 2.0 sites such as eBird have been developed to facilitate online sharing of data and thus increase the potential for real-time monitoring. However, as recently articulated in an editorial in this journal and elsewhere, monitoring is best served when based on a priori hypotheses. Harnessing citizen scientists to collect data following a hypothetico-deductive approach carries challenges. Moreover, the use of citizen science in scientific and monitoring studies has raised issues of data accuracy and quality. These issues are compounded when data collection moves into the Web 2.0 world. An examination of the literature from social geography on the concept of citizen sensors and volunteered geographic information (VGI) yields thoughtful reflections on the challenges of data quality/data accuracy when applying information from citizen sensors to research and management questions. VGI has been harnessed in a number of contexts, including for environmental and ecological monitoring activities. Here, I argue that conceptualizing a monitoring project as an experiment following the scientific method can further contribute to the use of VGI. I show how principles of experimental design can be applied to monitoring projects to better control for data quality of VGI. This includes suggestions for how citizen sensors can be harnessed to address issues of experimental controls and how to design monitoring projects to increase randomization and replication of sampled data, hence increasing scientific reliability and statistical power.</t>
  </si>
  <si>
    <t>Mem Univ, Dept Biol, St John, NF, Canada</t>
  </si>
  <si>
    <t>Memorial University Newfoundland</t>
  </si>
  <si>
    <t>Wiersma, YF (corresponding author), Mem Univ, Dept Biol, St John, NF, Canada.</t>
  </si>
  <si>
    <t>GEOIDE (GEOmatics for Information Decisions); Canadian National Centre of Excellence</t>
  </si>
  <si>
    <t>This essay is based on discussions with my colleagues on Project P-IV 41, The Participatory Geoweb and Environmental Change, which is funded by GEOIDE (GEOmatics for Information Decisions), a Canadian National Centre of Excellence. Thanks to R. Sieber, R. Lukyanenko, B. Klinkenberg, C. Rinner, and two anonymous reviewers for critical feedback on an earlier draft of this manuscript.</t>
  </si>
  <si>
    <t>RESILIENCE ALLIANCE</t>
  </si>
  <si>
    <t>WOLFVILLE</t>
  </si>
  <si>
    <t>ACADIA UNIV, BIOLOGY DEPT, WOLFVILLE, NS B0P 1X0, CANADA</t>
  </si>
  <si>
    <t>1712-6568</t>
  </si>
  <si>
    <t>AVIAN CONSERV ECOL</t>
  </si>
  <si>
    <t>Avian Conserv. Ecol.</t>
  </si>
  <si>
    <t>Biodiversity Conservation; Ecology; Ornithology</t>
  </si>
  <si>
    <t>Biodiversity &amp; Conservation; Environmental Sciences &amp; Ecology; Zoology</t>
  </si>
  <si>
    <t>827WG</t>
  </si>
  <si>
    <t>WOS:000295459500014</t>
  </si>
  <si>
    <t>Chen, ZQ; Haucke, T; Beery, S; Bennett, K; Powell, A; Zuehsow, L; Vincent, R; Deegan, L</t>
  </si>
  <si>
    <t>Chen, Zhongqi; Haucke, Timm; Beery, Sara; Bennett, Keven; Powell, Austin; Zuehsow, Lydia; Vincent, Robert; Deegan, Linda</t>
  </si>
  <si>
    <t>From snapshots to continuous estimates: Augmenting citizen science with computer vision for fish monitoring</t>
  </si>
  <si>
    <t>REMOTE SENSING IN ECOLOGY AND CONSERVATION</t>
  </si>
  <si>
    <t>artificial intelligence; computer vision; deep learning; River Herring; visual count; YOLO</t>
  </si>
  <si>
    <t>RIVER; PATTERNS; SALMON</t>
  </si>
  <si>
    <t>Monitoring fish movement is essential for understanding population dynamics, informing conservation efforts and supporting fisheries management. Traditional methods, such as visual observations by volunteers, are constrained by time limitations, environmental conditions and labour intensity. Recent advancements in computer vision (CV) and deep learning offer promising solutions for automating fish counting from underwater videos, improving efficiency and data resolution. In this study, we developed and applied a deep learning-based CV system to monitor river herring (Alosa spp.) migration, covering all essential steps from field camera deployment, video annotation to model training and in-season population counting. We assessed the labelling and training efforts required to achieve good model performance and explored the use of importance sampling to correct biases in CV-based fish counts. Our results demonstrated that CV models trained on a single site and year showed limited generalization to sites or years unseen during training, while models trained on more diverse labelled data generalized better. We also found that the amount of annotations required is related to dataset complexity. When applied for in-season fish counting, CV efficiently processed season-long datasets and produced counts consistent with human review, with some moderate differences under migration pulses that can be adjusted by importance sampling. By providing continuous, high-resolution monitoring throughout the entire migration season, CV counts offer more reliable run size estimates and greater insight into the spawning migration of river herring. This study demonstrates a scalable, cost-effective and efficient approach with significant potential for addressing complex ecological questions and supporting conservation strategies and resource management.</t>
  </si>
  <si>
    <t>[Chen, Zhongqi; Deegan, Linda] Woodwell Climate Res Ctr, 149 Woods Hole Rd, Falmouth, MA 02540 USA; [Haucke, Timm; Beery, Sara] MIT, Comp Sci &amp; Artificial Intelligence Lab, 2 Vassar St, Cambridge, MA 02139 USA; [Bennett, Keven; Vincent, Robert] MIT, Sea Grant Program, 12 Emily St, Cambridge, MA 02139 USA; [Powell, Austin] Intuit, 700 Coast Ave, Mountain View, CA USA; [Zuehsow, Lydia] MIT, Lincoln Lab, 244 Wood St, Lexington, MA 02421 USA</t>
  </si>
  <si>
    <t>Massachusetts Institute of Technology (MIT); Massachusetts Institute of Technology (MIT); Intuit Inc.; Lincoln Laboratory; Massachusetts Institute of Technology (MIT)</t>
  </si>
  <si>
    <t>Chen, ZQ (corresponding author), Woodwell Climate Res Ctr, 149 Woods Hole Rd, Falmouth, MA 02540 USA.;Vincent, R (corresponding author), MIT, Sea Grant Program, 12 Emily St, Cambridge, MA 02139 USA.</t>
  </si>
  <si>
    <t>zchen@woodwellclimate.org; rvincent@mit.edu</t>
  </si>
  <si>
    <t>MIT Sea Grant, Massachusetts Institute of Technology [NA24OARX417C0148-T1-01]; Natural Sciences and Engineering Research Council of Canada [585136]; Northeast Climate Adaptation Science Center [G19AC00091-09]; MIT J-WAFS seed grant [2040131]; National Science Foundation [2330423]</t>
  </si>
  <si>
    <t>MIT Sea Grant, Massachusetts Institute of Technology; Natural Sciences and Engineering Research Council of Canada(Natural Sciences and Engineering Research Council of Canada (NSERC)CGIAR); Northeast Climate Adaptation Science Center; MIT J-WAFS seed grant; National Science Foundation(National Science Foundation (NSF))</t>
  </si>
  <si>
    <t>The authors thank Wendi Bueseller, Tom Duncan, BobGolder, Mike Scherer and members of the CoonamessettRiver Trust (https://www.crivertrust.org/) for their assis-tance in setting up the camera and PIT-tag antenna sys-tems at the Coonamessett River. We also thank SydneyKeane, Dale Oakley and staff from the Natural ResourcesDepartment of the Mashpee Wampanoag Tribe (https://mashpeewampanoagtribe-nsn.gov/) for their support insetting up and maintaining the field camera systems atSantuit Pond. The authors acknowledge Ryan O'Donnellfrom the Ipswich River Watershed Association (https://www.ipswichriver.org/) for providing videos from the Ips-wich River. We also acknowledge the MIT UndergraduateResearch Opportunities Program (UROP) for support invideo labelling. This work was funded by MIT Sea Grant(Award # NA24OARX417C0148-T1-01), with additionalsupport provided by Northeast Climate Adaptation Sci-ence Center (Award # G19AC00091-09), MIT J-WAFSseed grant #2040131 and the AI and Biodiversity ChangeGlobal Center (National Science Foundation under Award# 2330423 and Natural Sciences and Engineering ResearchCouncil of Canada under Award # 585136) and the MITUROP.</t>
  </si>
  <si>
    <t>111 RIVER ST, HOBOKEN, NJ 07030 USA</t>
  </si>
  <si>
    <t>2056-3485</t>
  </si>
  <si>
    <t>REMOTE SENS ECOL CON</t>
  </si>
  <si>
    <t>Remote Sens. Ecol. Conserv.</t>
  </si>
  <si>
    <t>2026 FEB 5</t>
  </si>
  <si>
    <t>10.1002/rse2.70055</t>
  </si>
  <si>
    <t>FEB 2026</t>
  </si>
  <si>
    <t>Ecology; Remote Sensing</t>
  </si>
  <si>
    <t>Environmental Sciences &amp; Ecology; Remote Sensing</t>
  </si>
  <si>
    <t>DC8JI</t>
  </si>
  <si>
    <t>WOS:001680382300001</t>
  </si>
  <si>
    <t>Rowbotham, S; Marks, L; Tawia, S; Woolley, E; Rooney, J; Kiggins, E; Healey, D; Wardle, K; Campbell, V; Bridges, N; Hawe, P</t>
  </si>
  <si>
    <t>Rowbotham, Samantha; Marks, Leah; Tawia, Susan; Woolley, Emma; Rooney, Janelle; Kiggins, Elissa; Healey, Danielle; Wardle, Karen; Campbell, Vanessa; Bridges, Nicole; Hawe, Penelope</t>
  </si>
  <si>
    <t>Using citizen science to engage the public in monitoring workplace breastfeeding support in Australia</t>
  </si>
  <si>
    <t>HEALTH PROMOTION JOURNAL OF AUSTRALIA</t>
  </si>
  <si>
    <t>breast feeding; breast milk expression; citizen science; community participation; policy; return to work; workplace</t>
  </si>
  <si>
    <t>MATERNAL EMPLOYMENT; MOTHERS; WORK; INTENTIONS; IMPACT</t>
  </si>
  <si>
    <t>Issue addressed Returning to work is a major barrier to continued breastfeeding. While many large organisations in Australia have policies to support breastfeeding and expressing at work, it is not known how these are implemented in practice, what support is available in smaller workplaces or to what extent workplace support meets the needs of breastfeeding mothers. Methods This pilot study trialled a citizen science approach where members of the public provided photographs and descriptions of breastfeeding facilities and support within their workplaces. The study was promoted through community networks and social media, and data were submitted via an online survey. Data were analysed inductively to identify key themes. Results Thirty-seven participants provided data on breastfeeding support in their workplace. Three key themes were identified: physical features and facilities; workplace culture; and organisational and occupational characteristics. There was considerable variation in workplace support and around half of the participants indicated that they had to use communal, poorly equipped and/or unhygienic spaces to breastfeed or express at work. Conclusion While some employers have taken important steps towards supporting mothers to combine breastfeeding and work, there is room for improvement. Through this pilot study, we have demonstrated the feasibility and value of using a citizen science approach to obtain data from a range of workplaces along with perceptions of workplace characteristics that support or hinder breastfeeding and expressing at work. So what? Citizen science is a useful approach to capturing data on workplace support for breastfeeding and could be scaled up to enable ongoing monitoring. The findings raise important issues around the interpretation and implementation of current legislation to support mothers in the workplace.</t>
  </si>
  <si>
    <t>[Rowbotham, Samantha; Marks, Leah; Hawe, Penelope] Univ Sydney, Sydney Sch Publ Hlth, Menzies Ctr Hlth Policy, Sydney, NSW, Australia; [Tawia, Susan; Campbell, Vanessa] Australian Breastfeeding Assoc, Melbourne, Vic, Australia; [Woolley, Emma] Macquarie Univ, Australian Breastfeeding Assoc, Sydney, NSW, Australia; [Woolley, Emma] Macquarie Univ, Dept Educ Studies, Sydney, NSW, Australia; [Rooney, Janelle; Kiggins, Elissa; Healey, Danielle; Wardle, Karen] South Western Sydney Local Hlth Dist Hlth Promot, Sydney, NSW, Australia; [Bridges, Nicole] Western Sydney Univ, Australian Breastfeeding Assoc, Sydney, NSW, Australia; [Bridges, Nicole] Western Sydney Univ, Sch Humanities &amp; Commun, Sydney, NSW, Australia</t>
  </si>
  <si>
    <t>University of Sydney; Macquarie University; Macquarie University; Western Sydney University; Western Sydney University</t>
  </si>
  <si>
    <t>Rowbotham, S (corresponding author), Univ Sydney, Charles Perkins Ctr D17, Menzies Ctr Hlth Policy, John Hopkins Dr, Camperdown, NSW 2006, Australia.</t>
  </si>
  <si>
    <t>samantha.rowbotham@sydney.edu.au</t>
  </si>
  <si>
    <t>; Rowbotham, Samantha/I-2229-2019; Bridges, Nicole/AAF-8666-2019; Marks, Leah/AHE-0841-2022</t>
  </si>
  <si>
    <t>Wardle, Karen/0000-0002-6075-7123; Rowbotham, Samantha/0000-0002-2242-6921; Tawia, Susan/0000-0001-7186-7929; Kiggins, Elissa/0000-0001-7969-804X; Bridges, Nicole/0000-0003-1805-9054; Marks, Leah/0000-0001-8037-9812; Campbell, Vanessa/0000-0001-8725-3235; Woolley, Emma/0000-0003-4042-8047; Healey, Danielle/0000-0002-6160-9165; Rooney, Janelle/0000-0003-2456-2502</t>
  </si>
  <si>
    <t>National Health and Medical Research Council [GNT9100001]</t>
  </si>
  <si>
    <t>National Health and Medical Research Council(National Health &amp; Medical Research Council (NHMRC) of Australia)</t>
  </si>
  <si>
    <t>National Health and Medical Research Council, Grant/Award Number: GNT9100001</t>
  </si>
  <si>
    <t>1036-1073</t>
  </si>
  <si>
    <t>2201-1617</t>
  </si>
  <si>
    <t>HEALTH PROMOT J AUST</t>
  </si>
  <si>
    <t>Health Promot. J. Aust.</t>
  </si>
  <si>
    <t>10.1002/hpja.476</t>
  </si>
  <si>
    <t>YJ0OI</t>
  </si>
  <si>
    <t>WOS:000632438500001</t>
  </si>
  <si>
    <t>Schaus, J; Uzal, A; Gentle, LK; Baker, PJ; Bearman-Brown, L; Bullion, S; Gazzard, A; Lockwood, H; North, A; Reader, T; Scott, DM; Sutherland, CS; Yarnell, RW</t>
  </si>
  <si>
    <t>Schaus, Jessica; Uzal, Antonio; Gentle, Louise K.; Baker, Philip J.; Bearman-Brown, Lucy; Bullion, Simone; Gazzard, Abigail; Lockwood, Hannah; North, Alexandra; Reader, Tom; Scott, Dawn M.; Sutherland, Christopher S.; Yarnell, Richard W.</t>
  </si>
  <si>
    <t>Application of the Random Encounter Model in citizen science projects to monitor animal densities</t>
  </si>
  <si>
    <t>Camera traps; citizen science; density estimation; spatial capture-recapture; spotlight surveys; urban wildlife</t>
  </si>
  <si>
    <t>HEDGEHOGS ERINACEUS-EUROPAEUS; WEST-EUROPEAN HEDGEHOG; CAMERA TRAPS; POPULATION-DENSITY; CONSERVATION; DECLINE</t>
  </si>
  <si>
    <t>Abundance and density are vital metrics for assessing a species' conservation status and for developing effective management strategies. Remote-sensing cameras are being used increasingly as part of citizen science projects to monitor wildlife, but current methodologies to monitor densities pose challenges when animals are not individually recognizable. We investigated the use of camera traps and the Random Encounter Model (REM) for estimating the density of West European hedgehogs (Erinaceus europaeus) within a citizen science framework. We evaluated the use of a simplified version of the REM in terms of the parameters' estimation (averaged vs. survey-specific) and assessed its potential application as part of a large-scale, long-term citizen science project. We compared averaged REM estimates to those obtained via spatial capture-recapture (SCR) using data from nocturnal spotlight surveys. There was a high degree of concordance in REM-derived density estimates from averaged parameters versus those derived from survey-specific parameters. Averaged REM density estimates were also comparable to those produced by SCR at eight out of nine sites; hedgehog density was 7.5 times higher in urban (32.3 km(-2)) versus rural (4.3 km(2)) sites. Power analyses indicated that the averaged REM approach would be able to detect a 25% change in hedgehog density in both habitats with &gt;90% power. Furthermore, despite the high start-up costs associated with the REM method, it would be cost-effective in the long term. The averaged REM approach is a promising solution to the challenge of large-scale and long-term species monitoring. We suggest including the REM as part of a citizen science monitoring project, where participants collect data and researchers verify and implement the required analysis.</t>
  </si>
  <si>
    <t>[Schaus, Jessica; Uzal, Antonio; Gentle, Louise K.; Yarnell, Richard W.] Nottingham Trent Univ, Sch Anim Rural &amp; Environm Sci, Southwell NG25 0QF, Notts, England; [Baker, Philip J.; Gazzard, Abigail] Univ Reading, Sch Biol Sci, Reading RG6 6AS, Berks, England; [Bearman-Brown, Lucy] Hartpury Univ, Dept Anim &amp; Agr, Hartpury House, Hartpury GL19 3BE, Glos, England; [Bullion, Simone; North, Alexandra] Suffolk Wildlife Trust, Brooke House, Ipswich IP6 9JY, Suffolk, England; [Lockwood, Hannah] Univ Derby, Sch Environm Sci, Derby DE22 1GB, England; [Reader, Tom] Univ Nottingham, Sch Life Sci, Univ Pk, Nottingham NG7 2RD, England; [Scott, Dawn M.] Keele Univ, Sch Life Sci, Keele ST5 5BG, Staffs, England; [Sutherland, Christopher S.] Univ Massachusetts, Dept Environm Conservat, Amherst, MA 01003 USA</t>
  </si>
  <si>
    <t>Nottingham Trent University; University of Reading; Hartpury University &amp; Hartpury College; University of Derby; University of Nottingham; Keele University; University of Massachusetts System; University of Massachusetts Amherst</t>
  </si>
  <si>
    <t>Schaus, J (corresponding author), Nottingham Trent Univ, Sch Anim Rural &amp; Environm Sci, Southwell NG25 0QF, Notts, England.</t>
  </si>
  <si>
    <t>jessica.schaus@ntu.ac.uk</t>
  </si>
  <si>
    <t>Lockwood, Hannah/IAM-0889-2023; Sutherland, Chris/H-6624-2019; Reader, Tom/B-5518-2008; Gazzard, Abigail/KGL-6207-2024; Uzal, Antonio/N-3403-2013; Yarnell, Richard/C-3531-2014</t>
  </si>
  <si>
    <t>Lockwood, Hannah/0000-0003-0668-5381; Sutherland, Chris/0000-0003-2073-1751; Bearman-Brown, Lucy/0000-0002-5869-483X; Reader, Tom/0000-0001-7586-8814; Gazzard, Abigail/0000-0003-0604-7160; Schaus, Jessica/0000-0002-4363-8659; Uzal, Antonio/0000-0001-6478-1895; Gentle, Louise/0000-0003-4864-5775; North, Alexana/0000-0002-2942-3467; Yarnell, Richard/0000-0001-6584-7374</t>
  </si>
  <si>
    <t>Nottingham Trent University; British Hedgehog Preservation Society; Heritage Fund; People's Trust for Endangered Species</t>
  </si>
  <si>
    <t>This research was undertaken as part of a PhD sponsored by Nottingham Trent University. The study was funded by The People's Trust for Endangered Species and the British Hedgehog Preservation Society. Surveys carried out at Ipswich were also funded by the Heritage Fund.</t>
  </si>
  <si>
    <t>10.1002/rse2.153</t>
  </si>
  <si>
    <t>MAR 2020</t>
  </si>
  <si>
    <t>PL4FJ</t>
  </si>
  <si>
    <t>WOS:000520566500001</t>
  </si>
  <si>
    <t>Eitzel, MV; Meyer, R; Morley, S; Miller, I; Shafroth, PB; Behymer, C; Jadallah, C; Parks, D; Kagley, A; Shaffer, A; Ballard, H</t>
  </si>
  <si>
    <t>Eitzel, M. V.; Meyer, Ryan; Morley, Sarah; Miller, Ian; Shafroth, Patrick B.; Behymer, Chelsea; Jadallah, Christopher; Parks, David; Kagley, Anna; Shaffer, Anne; Ballard, Heidi</t>
  </si>
  <si>
    <t>Lessons learned from community and citizen science monitoring on the Elwha River restoration project</t>
  </si>
  <si>
    <t>citizen science; community science; dam removal; Elwha River; watershed restoration</t>
  </si>
  <si>
    <t>DAM REMOVAL; RESPONSES</t>
  </si>
  <si>
    <t>Community and citizen science (CCS) projects - initiatives that involve public participation in scientific research - can both sustain and expand long-term monitoring of large dam removal projects. In this article, we discuss our perspectives on CCS associated with the Elwha River dam removals. We summarize how the public has been or could be involved in monitoring and distill lessons learned for other large dam removal projects. Much of the Elwha monitoring involved technical field work requiring training and incurring potential liability risks, guiding projects towards smaller-scale public involvement. Partnering with organizations that have capacity for volunteer management expanded CCS opportunities and provided logistical support to project managers committed to public engagement. We found that many projects engaged with students and/or with paid or unpaid interns; compensating participants in various ways can help to create reciprocal relationships that support long-term monitoring. In the future, other large dam removals could consider planning ahead for community involvement in dam removal monitoring to accommodate the technical and potentially hazardous nature of the work - broadening who may be able to participate. In addition, involving community members in setting research agendas could be an important first step in engaging them in long-term monitoring, in turn facilitating multi-generational research at the timescale of landscape-level changes. Finally, explicit relationship-building with Indigenous communities can enhance the benefits of community engagement in dam removal science for all involved.</t>
  </si>
  <si>
    <t>[Eitzel, M. V.; Meyer, Ryan; Jadallah, Christopher; Ballard, Heidi] Univ Calif Davis, Ctr Community &amp; Citizen Sci, Davis, CA 95616 USA; [Morley, Sarah; Kagley, Anna] Natl Marine Fisheries Serv, Northwest Fisheries Sci Ctr, NOAA, Seattle, WA USA; [Miller, Ian] Washington Sea Grant, Seattle, WA USA; [Shafroth, Patrick B.] US Geol Survey, Ft Collins Sci Ctr, Ft Collins, CO USA; [Behymer, Chelsea] Oregon State Univ, Environm Sci Grad Program, Corvallis, OR USA; [Parks, David] Washington Dept Ecol, Lacey, WA USA; [Shaffer, Anne] Coastal Watershed Inst, Port Angeles, WA USA</t>
  </si>
  <si>
    <t>University of California System; University of California Davis; National Oceanic Atmospheric Admin (NOAA) - USA; United States Department of the Interior; United States Geological Survey; Oregon State University</t>
  </si>
  <si>
    <t>Eitzel, MV (corresponding author), Univ Calif Davis, Ctr Community &amp; Citizen Sci, Davis, CA 95616 USA.</t>
  </si>
  <si>
    <t>mveitzel@ucdavis.edu</t>
  </si>
  <si>
    <t>Funding for this project was provided through the Open Rivers Fund of the Resources Legacy Fund, capitalized by the William and Flora Hewlett Foundation.; Open Rivers Fund of the Resources Legacy Fund; William and Flora Hewlett Foundation</t>
  </si>
  <si>
    <t>We thank Jeff Duda for his feedback on the manuscript, and all the contributors to the Elwha Community and Citizen Science report from which we draw many of the conclusions in this paper. We also thank Justin Stapleton, Kinsey Frick, Anya Metcalfe, and two peer reviewers for their comments on the paper. Any use of trade, firm, or product names is for descriptive purposes only and does not imply endorsement by the U.S. Government.r Funding for this project was provided through the Open Rivers Fund of the Resources Legacy Fund, capitalized by the William and Flora Hewlett Foundation.</t>
  </si>
  <si>
    <t>SEP 25</t>
  </si>
  <si>
    <t>10.3389/fevo.2023.1216080</t>
  </si>
  <si>
    <t>T4FM6</t>
  </si>
  <si>
    <t>WOS:001077562200001</t>
  </si>
  <si>
    <t>Kohler, J; Gore, M; Ormond, R; Austin, T; Olynik, J</t>
  </si>
  <si>
    <t>Kohler, Johanna; Gore, Mauvis; Ormond, Rupert; Austin, Timothy; Olynik, Jeremy</t>
  </si>
  <si>
    <t>The Sharklogger Network-monitoring Cayman Islands shark populations through an innovative citizen science program</t>
  </si>
  <si>
    <t>MARINE PROTECTED AREAS; CARIBBEAN REEF SHARKS; DE-NORONHA ARCHIPELAGO; NURSE SHARK; HABITAT USE; GINGLYMOSTOMA-CIRRATUM; CARCHARHINUS-PEREZI; RHINCODON-TYPUS; REPRODUCTIVE PHILOPATRY; RESIDENCY PATTERNS</t>
  </si>
  <si>
    <t>The use of citizen science can be a cost-effective tool in conservation science but mostly relies on the collation of incidental sighting reports. This study describes the design, operation, and findings of a novel, closely-guided citizen science program (the 'Sharklogger Network') in the Cayman Islands. Participants from the recreational SCUBA diving community used a standardized, effort-based protocol to monitor local coastal shark populations. Over two years (2017-2018) a total of 69 participants conducted 24,442 dives across 472 dives sites and recorded 4,666 shark sightings from eight shark species, of which Caribbean reef shark, nurse shark, and hammerhead spp. were the most frequently observed and encountered throughout the year. The data from dive logs provided evidence for species-specific distribution and abundance patterns across and within islands, indicating a greater abundance of sharks in areas with less anthropogenic activity and with a greater exposure to strong currents, regardless of whether the area was an MPA or not. While both Caribbean reef sharks and nurse sharks showed species-specific depth and habitat preferences, the recording of recognizable individuals showed that some individuals of both species have relatively small home ranges and high site-fidelity to specific areas. The study also provided the first confirmation of reproductive behaviour in both Caribbean reef and nurse sharks taking place in summer (May-August). Experience showed that along with generating valuable data the program, by engaging local stakeholders, also enhanced public awareness of shark conservation issues. This study demonstrates that this citizen science methodology can be an affordable and non-invasive tool for the reliable long-term monitoring of shark populations.</t>
  </si>
  <si>
    <t>[Kohler, Johanna; Austin, Timothy; Olynik, Jeremy] Cayman Isl Govt, Dept Environm, George Town, Grand Cayman, Cayman Islands; [Kohler, Johanna; Gore, Mauvis; Ormond, Rupert] Heriot Watt Univ, Ctr Marine Biodivers &amp; Biotechnol, Edinburgh, Scotland; [Kohler, Johanna; Gore, Mauvis; Ormond, Rupert] Marine Conservat Int, Edinburgh, Scotland</t>
  </si>
  <si>
    <t>Heriot Watt University</t>
  </si>
  <si>
    <t>Kohler, J (corresponding author), Cayman Isl Govt, Dept Environm, George Town, Grand Cayman, Cayman Islands.;Kohler, J (corresponding author), Heriot Watt Univ, Ctr Marine Biodivers &amp; Biotechnol, Edinburgh, Scotland.;Kohler, J (corresponding author), Marine Conservat Int, Edinburgh, Scotland.</t>
  </si>
  <si>
    <t>johanna.k.kohler@gmail.com</t>
  </si>
  <si>
    <t>Gore, Mauvis/0000-0002-1850-5352; Kohler, Johanna/0009-0009-8854-5294</t>
  </si>
  <si>
    <t>Cayman Islands Brewery Ltd.</t>
  </si>
  <si>
    <t>We thank Gina Ebanks-Petrie, DoE Director, for her support of this initiative. We especially thank all the citizen science participants (see full list www.doe.ky) who volunteered their time and collected data during numerous dives and without whom this study would not have been possible. We also thank Kat Mason, Anne Veeder, Megan Ehman, Enno Krebbers and Joy Mulholland for their assistance with the data collection and processing.</t>
  </si>
  <si>
    <t>e0319637</t>
  </si>
  <si>
    <t>10.1371/journal.pone.0319637</t>
  </si>
  <si>
    <t>2QF8B</t>
  </si>
  <si>
    <t>WOS:001488712000037</t>
  </si>
  <si>
    <t>Shao, GP; Bishop, IJ</t>
  </si>
  <si>
    <t>Shao, Gabrielle Pengyu; Bishop, Isabel J.</t>
  </si>
  <si>
    <t>Citizen science in river monitoring: a systematic literature review of the whys and hows</t>
  </si>
  <si>
    <t>stream monitoring; volunteer-based monitoring; participatory science; water quality; community-based; systematic reveiw</t>
  </si>
  <si>
    <t>VOLUNTEER; QUALITY; PERFORMANCE; CATCHMENT</t>
  </si>
  <si>
    <t>River monitoring is a prevalent focus within citizen science projects. Despite numerous reports and institutional manuals detailing the monitoring techniques employed in individual projects, there is a notable lack of comprehensive academic research on the diverse methods and objectives utilized by citizen scientists in river monitoring. This study conducts a systematic literature review to clarify the specific objectives of these citizen science projects and the primary methods used to achieve each objective. We followed the PSALSAR methodology for systematic reviews in environmental science to assess information on global citizen science initiatives in river monitoring available in both published and grey literature. We ultimately reviewed 97 documents from three databases: Web of Science, Google Scholar, and Google. These documents revealed a dominant focus among river-based citizen science projects on objectives related to water quality and river ecosystem health. Methods were varied, and many common methods are routinely applied to multiple objectives. The study provides a framework that links the main objectives to the primary methods, serving as both a practical guide for new initiatives and a valuable index for academic research.</t>
  </si>
  <si>
    <t>[Shao, Gabrielle Pengyu] UCL, Fac Social &amp; Hist Sci, Dept Geog, London, England; [Bishop, Isabel J.] UCL, Ctr Biodivers &amp; Environm Res, Dept Genet Evolut &amp; Environm, London, England</t>
  </si>
  <si>
    <t>Bishop, IJ (corresponding author), UCL, Ctr Biodivers &amp; Environm Res, Dept Genet Evolut &amp; Environm, London, England.</t>
  </si>
  <si>
    <t>i.bishop@ucl.ac.uk</t>
  </si>
  <si>
    <t>; Shao, Gabrielle Pengyu/LZE-8793-2025</t>
  </si>
  <si>
    <t>Shao, Gabrielle Pengyu/0009-0003-4762-7708;</t>
  </si>
  <si>
    <t>Laidlaw Foundation10.13039/501100003249</t>
  </si>
  <si>
    <t>We thank the two peer reviewers for their generous and constructive suggestions, which significantly improved the quality of this paper.</t>
  </si>
  <si>
    <t>10.3389/fenvs.2025.1609084</t>
  </si>
  <si>
    <t>5LX0W</t>
  </si>
  <si>
    <t>WOS:001538794200001</t>
  </si>
  <si>
    <t>Pagh, S; Jensen, LL; Pertoldi, C; Larsen, HL</t>
  </si>
  <si>
    <t>Pagh, Sussie; Jensen, Lasse Lange; Pertoldi, Cino; Larsen, Hanne Lyngholm</t>
  </si>
  <si>
    <t>Monitoring Urban European Hares (Lepus europaeus Pallas) with Citizen Science and a Thermal Spotter</t>
  </si>
  <si>
    <t>URBAN SCIENCE</t>
  </si>
  <si>
    <t>urban mammal; urban wildlife; urban biodiversity; conservation</t>
  </si>
  <si>
    <t>FOXES VULPES-VULPES; BADGERS MELES-MELES; HABITAT SELECTION; BROWN HARE; DEMOGRAPHY; DENSITY; INTENSITY; LANDSCAPE; ABUNDANCE; BRITAIN</t>
  </si>
  <si>
    <t>Populations of the European hare (Lepus europaeus Pallas) have declined in agricultural areas throughout Europe, primarily due to habitat loss caused by the industrialization of agriculture. The growth of cities displaces native habitats, and a decline in hare densities would be expected also in cities; however, several medium-sized mammals thrive in urban areas. In this study, hares in two Danish cities, Aalborg and Aarhus (approx. 145,000 and 300,000 citizens, respectively), were monitored using a combination of citizen science and a thermal spotter. Citizen reports of hares (in all 1874) were highest in the center of the city (26 to 33 locations per km2). Hare observation densities declined significantly with increasing distance to the center. Breeding hares were recorded in both cities. The thermal spotter proved to be useful to spot hares in the city and it did not draw attention as the spotlights normally used to detect the light reflected from the hares' eyes. Based on the hares spotted at 12 locations where citizens had reported hares, densities of 40.3 (+/- 10.8 SE) hares per km2 were estimated. The increasing awareness for biodiversity and for not using pesticides in Danish cities allow for wild plants to be established in lawns, which benefits the hares.</t>
  </si>
  <si>
    <t>[Pagh, Sussie; Jensen, Lasse Lange; Pertoldi, Cino; Larsen, Hanne Lyngholm] Aalborg Univ, Dept Chem &amp; Biosci, Sect Environm Biomonitoring, DK-9220 Aalborg, Denmark; [Pertoldi, Cino] Aalborg Zoo, DK-9000 Aalborg, Denmark</t>
  </si>
  <si>
    <t>Aalborg University</t>
  </si>
  <si>
    <t>Pagh, S (corresponding author), Aalborg Univ, Dept Chem &amp; Biosci, Sect Environm Biomonitoring, DK-9220 Aalborg, Denmark.</t>
  </si>
  <si>
    <t>sup@bio.aau.dk; lasse@migselv.com; hannell@bio.aau.dk</t>
  </si>
  <si>
    <t>Pertoldi, Cino/I-1746-2012; Lyngholm Larsen, Hanne/JRX-6214-2023</t>
  </si>
  <si>
    <t>Pertoldi, Cino/0000-0002-4644-8981; Lyngholm Larsen, Hanne/0000-0002-3557-7358; , Lasse Lange Jensen/0009-0006-4494-198X</t>
  </si>
  <si>
    <t>The Danish Environmental Agency [2021-69701]; Danish Environmental Agency [2023-3]; Aalborg Zoo Conservation Foundation</t>
  </si>
  <si>
    <t>The Danish Environmental Agency; Danish Environmental Agency; Aalborg Zoo Conservation Foundation</t>
  </si>
  <si>
    <t>This research was funded by The Danish Environmental Agency (grant 2021-69701). The study was also supported by the Aalborg Zoo Conservation Foundation (AZCF: grant number 2023-3).</t>
  </si>
  <si>
    <t>2413-8851</t>
  </si>
  <si>
    <t>URBAN SCI</t>
  </si>
  <si>
    <t>Urban Sci.</t>
  </si>
  <si>
    <t>10.3390/urbansci9020027</t>
  </si>
  <si>
    <t>Environmental Sciences; Environmental Studies; Geography; Regional &amp; Urban Planning; Urban Studies</t>
  </si>
  <si>
    <t>Environmental Sciences &amp; Ecology; Geography; Public Administration; Urban Studies</t>
  </si>
  <si>
    <t>Y2R0K</t>
  </si>
  <si>
    <t>WOS:001430648400001</t>
  </si>
  <si>
    <t>Branchini, S; Pensa, F; Neri, P; Tonucci, BM; Mattielli, L; Collavo, A; Sillingardi, ME; Piccinetti, C; Zaccanti, F; Goffredo, S</t>
  </si>
  <si>
    <t>Branchini, Simone; Pensa, Francesco; Neri, Patrizia; Tonucci, Bianca Maria; Mattielli, Lisa; Collavo, Anna; Sillingardi, Maria Elena; Piccinetti, Corrado; Zaccanti, Francesco; Goffredo, Stefano</t>
  </si>
  <si>
    <t>Using a citizen science program to monitor coral reef biodiversity through space and time</t>
  </si>
  <si>
    <t>Biodiversity; Environmental monitoring; Citizen science; Red Sea; SCUBA divers; Volunteers in research</t>
  </si>
  <si>
    <t>ECOLOGICAL RESEARCH; CONSERVATION; TOOL; SUSTAINABILITY; VOLUNTEERS; CHALLENGES; MANAGEMENT; DAMAGE; STATE</t>
  </si>
  <si>
    <t>Coral reefs are the most biodiverse ecosystems of the ocean and they provide notable ecosystem services. Large-scale monitoring is necessary to understand the effects of anthropogenic threats and environmental change on coral reef habitats and citizen science programs can support this effort. Seventy-two marine taxa found in the Red Sea were surveyed by non-specialist volunteers during their regular recreational dives, using SCUBA Tourism for the Environment (STE) questionnaires. Over a period of 4-years, 7,125 divers completed 17,905 questionnaires (14,487 diving hours). Validation trials were carried out to assess the data reliability (Cronbach's alpha &gt; 50 % in 83.6 % of validation trials), showing that non-specialists performed similarly to conservation volunteer divers on accurate transect. The resulting sightings-based index showed that the biodiversity status did not change significantly within the project time scale, but revealed spatial trends across areas subjected to different protection strategies. Higher biodiversity values were found in Sharm el-Sheikh, within protected Ras Mohammed National Park and Tiran Island, than in the less-regulated Hurghada area. Citizen science programs like STEproject represent novel, reliable, cost-effective models for biodiversity monitoring, which can be sustained and embedded within long-term monitoring programmes, and extended to include a wider geographical scale, while increasing the environmental education of the public.</t>
  </si>
  <si>
    <t>[Branchini, Simone; Pensa, Francesco; Neri, Patrizia; Tonucci, Bianca Maria; Mattielli, Lisa; Collavo, Anna; Sillingardi, Maria Elena; Zaccanti, Francesco; Goffredo, Stefano] Univ Bologna, Biol Sect, Dept Biol Geol &amp; Environm Sci, Marine Sci Grp,Citizen Sci Lab, I-40126 Bologna, Italy; [Piccinetti, Corrado] Univ Bologna, Lab Fisheries &amp; Marine Biol Fano, I-61032 Fano, PU, Italy</t>
  </si>
  <si>
    <t>BRANCHINI, SIMONE/0000-0001-6374-8161; goffredo, stefano/0000-0002-5022-9503</t>
  </si>
  <si>
    <t>Italian Government (Ministry of the Education, University and Research); Egyptian Government (Ministry of Tourism of the Arab Republic of Egypt); Egyptian Government (Egyptian Tourist Authority); ASTOI (Association of Italian Tour Operators); SNSI, Scuba Nitrox Safety International; SSI, Scuba School International; TuttoTurismo; airline Neos; association Underwater Life Project; Project Aware Foundation; diving centers Viaggio nel Blu; Holiday Service</t>
  </si>
  <si>
    <t>Special thanks go to all the divers who have made this study possible. Sources of funding have been the Italian Government (Ministry of the Education, University and Research; www.istruzione.it), the Egyptian Government (Ministry of Tourism of the Arab Republic of Egypt and the Egyptian Tourist Authority; www.egypt.travel), ASTOI (Association of Italian Tour Operators; www.astoi.com), the tour operator Settemari (www.settemari.it), the diving agencies SNSI, Scuba Nitrox Safety International (www.scubasnsi.com) and SSI, Scuba School International (www.divessi.com), the travelling magazine TuttoTurismo, the airline Neos (www.neosair.it), the association Underwater Life Project (www.underwaterlifeproject.it), the Project Aware Foundation (www.projectaware.org) and the diving centers Viaggio nel Blu (www.viaggionelblu.org) and Holiday Service (www.holidaydiving.org). The project has had the patronage of Ministry of the Environment and Land and Sea Protection (www.minambiente.it). G. Neto (www.giannineto.it) took the photos of the survey questionnaire. E. Pignotti (Statistical Analysis Task Force, Rizzoli Orthopaedic Institute Research Center of Bologna) gave valuable advice on statistical analysis of data. Jane Delany (Newcastle University), E. Caroselli (University of Bologna), F. Prada (University of Bologna), G. Goodbody-Gringley (Bermuda Institute of Ocean Sciences) gave precious advice which improved the manuscript.</t>
  </si>
  <si>
    <t>10.1007/s10531-014-0810-7</t>
  </si>
  <si>
    <t>AZ3GE</t>
  </si>
  <si>
    <t>WOS:000348114700007</t>
  </si>
  <si>
    <t>Hadj-Hammou, J; Loiselle, S; Ophof, D; Thornhill, I</t>
  </si>
  <si>
    <t>Hadj-Hammou, Jeneen; Loiselle, Steven; Ophof, Daniel; Thornhill, Ian</t>
  </si>
  <si>
    <t>Getting the full picture: Assessing the complementarity of citizen science and agency monitoring data</t>
  </si>
  <si>
    <t>WATER-QUALITY</t>
  </si>
  <si>
    <t>While the role of citizen science in engaging the public and providing large-scale datasets has been demonstrated, the nature of and potential for this science to supplement environmental monitoring efforts by government agencies has not yet been fully explored. To this end, the present study investigates the complementarity of a citizen science programme to agency monitoring of water quality. The Environment Agency (EA) is the governmental public body responsible for, among other duties, managing and monitoring water quality and water resources in England. FreshWater Watch (FWW) is a global citizen science project that supports community monitoring of freshwater quality. FWW and EA data were assessed for their spatio-temporal complementarity by comparing the geographical and seasonal coverage of nitrate (N-NO3) sampling across the River Thames catchment by the respective campaigns between spring 2013 and winter 2015. The analysis reveals that FWW citizen science-collected data complements EA data by filling in both gaps in the spatial and temporal coverage as well as gaps in waterbody type and size. In addition, partial spatio-temporal overlap in sampling efforts by the two actors is discovered, but EA sampling is found to be more consistent than FWW sampling. Statistical analyses indicate that regardless of broader geographical overlap in sampling effort, FWW sampling sites are associated with a lower stream order and water bodies of smaller surface areas than EA sampling sites. FWW also samples more still-water body sites than the EA. As a possible result of such differences in sampling tendencies, nitrate concentrations, a measure of water quality, are lower for FWW sites than EA sites. These findings strongly indicate that citizen science has clear potential to complement agency monitoring efforts by generating information on freshwater ecosystems that would otherwise be under reported.</t>
  </si>
  <si>
    <t>[Hadj-Hammou, Jeneen; Loiselle, Steven; Ophof, Daniel; Thornhill, Ian] Earthwatch Inst Europe, Mayfield House, Oxford, England; [Hadj-Hammou, Jeneen] Univ Lancaster, Lancaster Environm Ctr, Lancaster, England; [Loiselle, Steven] Univ Siena, Dept Biotechnol Chem &amp; Pharm, Siena, Italy; [Thornhill, Ian] Bath Spa Univ, CoLA Culture &amp; Environm, Bath, Avon, England</t>
  </si>
  <si>
    <t>Lancaster University; University of Siena; Bath Spa University</t>
  </si>
  <si>
    <t>Hadj-Hammou, J (corresponding author), Earthwatch Inst Europe, Mayfield House, Oxford, England.;Hadj-Hammou, J (corresponding author), Univ Lancaster, Lancaster Environm Ctr, Lancaster, England.</t>
  </si>
  <si>
    <t>j.hadj-hammou@lancaster.ac.uk</t>
  </si>
  <si>
    <t>Hadj-Hammou, Jeneen/0000-0003-2150-7591; Loiselle, Steven/0000-0001-7414-0389; Thornhill, Ian/0000-0003-3818-1380</t>
  </si>
  <si>
    <t>Environmental Change Institute at the University of Oxford</t>
  </si>
  <si>
    <t>Environmental Change Institute at the University of Oxford(University of Oxford)</t>
  </si>
  <si>
    <t>This project was made possible by the long-term partnership between Earthwatch and the Hong Kong and Shanghai Banking Corporation (HSBC), under the HSBC Water Programme (https://www.thewaterhub.org/). The Environmental Change Institute at the University of Oxford (http://www.eci.ox.ac.uk/) also provided funding for an internship programme in conjunction with Earthwatch which enabled this paper to be written. The funders had no role in study design, data collection and analysis, decision to publish, or preparation of the manuscript.</t>
  </si>
  <si>
    <t>DEC 6</t>
  </si>
  <si>
    <t>e0188507</t>
  </si>
  <si>
    <t>10.1371/journal.pone.0188507</t>
  </si>
  <si>
    <t>FO9MS</t>
  </si>
  <si>
    <t>WOS:000417212200037</t>
  </si>
  <si>
    <t>Pernat, N; Kampen, H; Jeschke, JM; Werner, D</t>
  </si>
  <si>
    <t>Pernat, Nadja; Kampen, Helge; Jeschke, Jonathan M.; Werner, Doreen</t>
  </si>
  <si>
    <t>Citizen science versus professional data collection: Comparison of approaches to mosquito monitoring in Germany</t>
  </si>
  <si>
    <t>bias; biodiversity; biological invasions; citizen science; detection; mosquito monitoring; passive surveillance; volunteers</t>
  </si>
  <si>
    <t>DIPTERA-CULICIDAE; AEDES-AEGYPTI; SURVEILLANCE; SCIENTISTS; VOLUNTEER; SPREAD; TOOL; AGE</t>
  </si>
  <si>
    <t>Due to the recent emergence of invasive mosquito species and the outbreaks of mosquito-borne diseases in Europe, research on the ecology and diversity of the mosquito fauna has returned to scientific agendas. Through a nationwide surveillance programme in Germany, mosquitoes have been monitored actively by systematically operated traps since 2011, and passively by the 'Muckenatlas' (mosquito atlas) citizen science project launched in 2012. To assess the performance of both monitoring methods we compared the two respective datasets with regard to habitat coverage, species composition and the ability to detect invasive mosquitoes. The datasets include observations from the beginning of the project until the end of 2017. We found significant differences in species composition caused by land use types and the participants' recording activity. Active monitoring performed better in mapping mosquito diversity, whereas passive monitoring better detected invasive species, thereby using data from private premises scientists usually cannot access. Synthesis and applications. Active and passive monitoring is complementary. Combining them allows for the determination of mosquito diversity, efficient detection of emerging invasive species and the initiation of rapid-response actions against such invaders. The 'Muckenatlas' sets an example for the usefulness of citizen science when included in a national monitoring programme, an approach that may be worth copying for tackling the global spread of arthropod vectors of disease agents.</t>
  </si>
  <si>
    <t>[Pernat, Nadja; Werner, Doreen] Leibniz Ctr Agr Landscape Res ZALF, Muncheberg, Germany; [Pernat, Nadja; Jeschke, Jonathan M.] Free Univ Berlin, Inst Biol, Dept Biol, Chem,Pharm, Berlin, Germany; [Pernat, Nadja; Jeschke, Jonathan M.; Werner, Doreen] Berlin Brandenburg Inst Adv Biodivers Res BBIB, Berlin, Germany; [Kampen, Helge] Fed Res Inst Anim Hlth, Friedrich Loeffler Inst, Greifswald, Insel Riems, Germany; [Jeschke, Jonathan M.] Leibniz Inst Freshwater Ecol &amp; Inland Fisheries I, Berlin, Germany</t>
  </si>
  <si>
    <t>Leibniz Association; Leibniz Zentrum fur Agrarlandschaftsforschung (ZALF); Free University of Berlin; Friedrich Loeffler Institute; Leibniz Association; Leibniz Institut fur Gewasserokologie und Binnenfischerei (IGB)</t>
  </si>
  <si>
    <t>Pernat, N (corresponding author), Leibniz Ctr Agr Landscape Res ZALF, Muncheberg, Germany.;Pernat, N (corresponding author), Free Univ Berlin, Inst Biol, Dept Biol, Chem,Pharm, Berlin, Germany.;Pernat, N (corresponding author), Berlin Brandenburg Inst Adv Biodivers Res BBIB, Berlin, Germany.</t>
  </si>
  <si>
    <t>nadja.pernat@zalf.de</t>
  </si>
  <si>
    <t>Pernat, Nadja/AGW-8389-2022; Jeschke, Jonathan/A-2707-2008</t>
  </si>
  <si>
    <t>Pernat, Nadja/0000-0003-2244-1002; Jeschke, Jonathan/0000-0003-3328-4217</t>
  </si>
  <si>
    <t>German Federal Ministry of Food and Agriculture (BMEL) [2810HS022, 2819104615, 2818SE001]</t>
  </si>
  <si>
    <t>German Federal Ministry of Food and Agriculture (BMEL)</t>
  </si>
  <si>
    <t>German Federal Ministry of Food and Agriculture (BMEL), Grant/Award Number: 2810HS022, 2819104615 and 2818SE001</t>
  </si>
  <si>
    <t>10.1111/1365-2664.13767</t>
  </si>
  <si>
    <t>OCT 2020</t>
  </si>
  <si>
    <t>QB1CO</t>
  </si>
  <si>
    <t>WOS:000575306600001</t>
  </si>
  <si>
    <t>Wen, XY; Fang, CT; Huang, LH; Miao, JZ; Lin, YJ</t>
  </si>
  <si>
    <t>Wen, Xinyi; Fang, Chutong; Huang, Lihan; Miao, Jiazheng; Lin, Yajuan</t>
  </si>
  <si>
    <t>Mapping total microbial communities and waterborne pathogens in household drinking water in China by citizen science and metabarcoding</t>
  </si>
  <si>
    <t>FRONTIERS IN MICROBIOLOGY</t>
  </si>
  <si>
    <t>citizen science; toolkit; household drinking water; microbial communities; waterborne pathogens; metabarcoding</t>
  </si>
  <si>
    <t>DIVERSITY; BACTERIA; RESISTANCE; PATTERNS; TAP</t>
  </si>
  <si>
    <t>Introduction Access to safe drinking water remains a critical public health priority, as waterborne diseases continue to pose global health risks. In China, microbial contamination in household water supplies is of particular concern. Traditional culture-based monitoring methods are limited in sensitivity and scope, and scaling such efforts nationwide would demand significant resources. Comprehensive, culture-independent microbiome assessments are therefore needed to better characterize microbial risks in tap water.Methods To address this gap, we developed a cost-effective, citizen science-based approach for monitoring the tap water microbiome. Between December 2020 and August 2021, 50 household tap water samples were collected by volunteers across 19 provinces and regions in China, including several samples obtained before and/or after extreme weather events including the 2021 Henan Floods and Typhoon In-Fa. A low-biomass sampling protocol was developed and adopted, and DNA was extracted and analyzed via 16S rRNA gene metabarcoding targeting the V4 region.Results Of the 50 samples, 22 were successfully amplified and yielded DNA with a significant number of sequencing reads. High-throughput amplicon sequencing identified 7,635 Amplicon Sequence Variants (ASVs), revealing a diverse microbiome in household tap water. Opportunistic pathogens, including Mycobacterium, Acinetobacter, and Legionella, were detected in all PCR-positive samples. Alarmingly, post-typhoon samples from Changzhou showed a marked increase in the relative abundance of Escherichia coli.Discussion Although based on a limited number of sequenced samples, this study highlights potential microbial risks in household tap water, particularly following extreme weather events. The presence of multiple opportunistic and potentially pathogenic taxa underscores the limitations of traditional indicator-based monitoring. Our findings demonstrate the feasibility and scalability of citizen science for microbial water quality survey, offering a complementary tool for national monitoring and informing future public health strategies for water safety.</t>
  </si>
  <si>
    <t>[Wen, Xinyi; Fang, Chutong; Huang, Lihan; Miao, Jiazheng; Lin, Yajuan] Duke Kunshan Univ, Div Nat &amp; Appl Sci, Kunshan, Peoples R China; [Wen, Xinyi] Duke Univ, Nicholas Sch Environm, Durham, NC USA; [Wen, Xinyi] Duke Univ, Pratt Sch Engn, Dept Civil &amp; Environm Engn, Durham, NC USA; [Fang, Chutong] Univ Calif Berkeley, Blum Ctr Developing Econ, Berkeley, CA USA; [Huang, Lihan] Stanford Univ, Sch Engn, Dept Civil &amp; Environm Engn, Stanford, CA USA; [Miao, Jiazheng] Harvard Univ, Harvard Med Sch, Dept Biomed Informat, Boston, MA USA; [Lin, Yajuan] Texas A&amp;M Univ Corpus Christi, Coll Sci, Dept Life Sci, Corpus Christi, TX 78412 USA</t>
  </si>
  <si>
    <t>Duke Kunshan University; Duke University; Duke University; University of California System; University of California Berkeley; Stanford University; Harvard University; Harvard Medical School; Texas A&amp;M University System; Texas A&amp;M University Corpus Christi</t>
  </si>
  <si>
    <t>Lin, YJ (corresponding author), Duke Kunshan Univ, Div Nat &amp; Appl Sci, Kunshan, Peoples R China.;Lin, YJ (corresponding author), Texas A&amp;M Univ Corpus Christi, Coll Sci, Dept Life Sci, Corpus Christi, TX 78412 USA.</t>
  </si>
  <si>
    <t>yajuan.lin@tamucc.edu</t>
  </si>
  <si>
    <t>Miao, Jiazheng/0009-0007-7176-0575</t>
  </si>
  <si>
    <t>Duke Kunshan University (DKU) Undergraduate Summer Research Scholarship; DKU internal funds; Texas A&amp;M University Corpus Christi (TAMUCC)</t>
  </si>
  <si>
    <t>The author(s) declare that financial support was received for the research and/or publication of the article. This study was supported by the Duke Kunshan University (DKU) Undergraduate Summer Research Scholarship, DKU internal funds to YL, and startup funds provided to YL by Texas A&amp;M University Corpus Christi (TAMUCC). The publication fee was covered by the Open Access Publication Fund of Mary &amp; Jeff Bell Library at TAMUCC.</t>
  </si>
  <si>
    <t>1664-302X</t>
  </si>
  <si>
    <t>FRONT MICROBIOL</t>
  </si>
  <si>
    <t>Front. Microbiol.</t>
  </si>
  <si>
    <t>AUG 4</t>
  </si>
  <si>
    <t>10.3389/fmicb.2025.1609070</t>
  </si>
  <si>
    <t>6EM4Z</t>
  </si>
  <si>
    <t>WOS:001551435800001</t>
  </si>
  <si>
    <t>Robert, K; Van Gestel, M; Lathouwers, M; Fonville, M; Sprong, H; Matthysen, E; Heylen, D</t>
  </si>
  <si>
    <t>Robert, Kaethe; Van Gestel, Mats; Lathouwers, Michiel; Fonville, Manoj; Sprong, Hein; Matthysen, Erik; Heylen, Dieter</t>
  </si>
  <si>
    <t>Abundance of ticks and tick-borne pathogens in domestic gardens in Belgium, 2020-2022: a citizen science approach</t>
  </si>
  <si>
    <t>BMC PUBLIC HEALTH</t>
  </si>
  <si>
    <t>Ixodes; Vectors; Urban; Ecology; Tick-borne disease</t>
  </si>
  <si>
    <t>CANDIDATUS NEOEHRLICHIA MIKURENSIS; BURGDORFERI SENSU-LATO; IXODES-RICINUS; BORRELIA-BURGDORFERI; LYME BORRELIOSIS; DERMACENTOR-RETICULATUS; TRANSMISSION DYNAMICS; RICKETTSIA-HELVETICA; DISEASE; ECOLOGY</t>
  </si>
  <si>
    <t>BackgroundTicks, particularly Ixodes ricinus, are primary vectors for tick-borne diseases in Europe, with private gardens representing an understudied but potentially significant risk habitat. Through a citizen science initiative, we aimed to investigate tick density and pathogen prevalence in domestic gardens across Flanders, Belgium.MethodsA total of 185 citizen scientists participated in standardized tick dragging and collecting garden data over multiple occasions from 2020 to 2022. Generalized linear mixed effects models were used to analyze tick density and pathogen prevalence.ResultsTicks were detected in 44.3% of 185 gardens. They were most frequently found in rural gardens (60.2% of rural gardens, 50/83), but also in suburban (28.9%, 11/38) and urban gardens (50.0%, 4/8). Ixodes ricinus was the dominant species (94.7% out of 1162 ticks), with all life stages present. Additionally, few individuals of Ixodes frontalis (5.0%) and Ixodes hexagonus (0.3%) were collected. Ticks were found in a variety of vegetation types, however the highest proportions of successful collections were in fallen leaves (47.4%) and fallow land (46.2%). Nymphal density was positively associated with the number of mammal species observed and an association with vegetation type was found: significantly more nymphs were collected on wild vegetation (with fallow land) and fallen leaves, compared to mown grass, tall grass and flower beds (with vegetable gardens). Pathogen screening revealed that 34.1% of ticks carried at least one pathogen, with Borrelia burgdorferi s.l. most prevalent (19.6%), followed by Rickettsia spp. (11.7%). Co-infections were observed in 6.6% of ticks. Borrelia burgdorferi s.l. prevalence was significantly lower in the presence of dogs and increased with nymphal density. Additionally, a significant interaction was found between life stage and the number of bird species.ConclusionsThe presence of Ixodes ricinus in gardens, coupled with the detection of pathogens at prevalence levels similar to those in natural habitats, suggests that private gardens may serve as overlooked risk areas for tick exposure. This underscores that raising public awareness, combined with effective garden management strategies, may help mitigate the risk of infection with tick-borne diseases. Future research could focus on evaluating the effectiveness of prevention and garden management measures.</t>
  </si>
  <si>
    <t>[Robert, Kaethe; Van Gestel, Mats; Matthysen, Erik; Heylen, Dieter] Univ Antwerp, Dept Biol, Evolutionary Ecol Grp, Antwerp, Belgium; [Lathouwers, Michiel] Res Inst Nat &amp; Forest INBO, Brussels, Belgium; [Fonville, Manoj; Sprong, Hein] Natl Inst Publ Hlth &amp; Environm RIVM, Ctr Infect Dis Control, Bilthoven, Netherlands</t>
  </si>
  <si>
    <t>University of Antwerp; Research Institute for Nature &amp; Forest; Netherlands National Institute for Public Health &amp; the Environment</t>
  </si>
  <si>
    <t>Robert, K (corresponding author), Univ Antwerp, Dept Biol, Evolutionary Ecol Grp, Antwerp, Belgium.</t>
  </si>
  <si>
    <t>kaethe.robert@uantwerpen.be</t>
  </si>
  <si>
    <t>Sprong, Hein/GXH-0200-2022; Van Gestel, Mats/HTQ-1813-2023</t>
  </si>
  <si>
    <t>Lathouwers, Michiel/0000-0002-8426-4788</t>
  </si>
  <si>
    <t>Interreg North Sea Region programme, NorthTick; Erasmus Brussels University of Applied Sciences and Arts, KU Leuven (Katholieke Universiteit Leuven) - Flemish Government, Department of Economy, Science Innovation</t>
  </si>
  <si>
    <t>The authors would like to thank all citizen scientist for their efforts in participating in the project and collecting data. Additionally, we would like to thank students Tom Vermeire, Myrte Antheunissens, Ben Vermeulen and Manuel Van Dooren, and academic staff Eric Struyf, Mira Van den Broeck, Gerardo Fracasso and the staff from the (science) communication department of the university for making this project a success. The authors mention the contribution of municipality Schoten, providing tick collection materials to their inhabitants. Additionally, we mention the data from Mijn Tuinlab (My Garden Lab), a citizen science platform by Erasmus Brussels University of Applied Sciences and Arts, KU Leuven (Katholieke Universiteit Leuven) and Natuurpunt, funded by the Flemish Government, Department of Economy, Science &amp; Innovation.</t>
  </si>
  <si>
    <t>1471-2458</t>
  </si>
  <si>
    <t>BMC Public Health</t>
  </si>
  <si>
    <t>JUN 2</t>
  </si>
  <si>
    <t>10.1186/s12889-025-23221-1</t>
  </si>
  <si>
    <t>3IW1E</t>
  </si>
  <si>
    <t>WOS:001501402700006</t>
  </si>
  <si>
    <t>Sgroi, G; Iatta, R; Lia, RP; Napoli, E; Buono, F; Bezerra-Santos, MA; Veneziano, V; Otranto, D</t>
  </si>
  <si>
    <t>Sgroi, Giovanni; Iatta, Roberta; Lia, Riccardo Paolo; Napoli, Ettore; Buono, Francesco; Bezerra-Santos, Marcos Antonio; Veneziano, Vincenzo; Otranto, Domenico</t>
  </si>
  <si>
    <t>Tick exposure and risk of tick-borne pathogens infection in hunters and hunting dogs: a citizen science approach</t>
  </si>
  <si>
    <t>TRANSBOUNDARY AND EMERGING DISEASES</t>
  </si>
  <si>
    <t>citizen science; dogs; hunting; Italy; tick-borne pathogen; zoonosis</t>
  </si>
  <si>
    <t>BURGDORFERI SENSU-LATO; IXODES-RICINUS TICKS; BORRELIA-BURGDORFERI; RICKETTSIA-SLOVACA; SPOTTED-FEVER; PREVALENCE; HUMANS; MARKER; HEALTH; SPP.</t>
  </si>
  <si>
    <t>Citizen science may be described as a research involving communities and individuals, other than scientists. Following this approach, along with the evidence of a high prevalence of Rickettsia spp. in Dermacentor marginatus from wild boars in hunting areas of southern Italy, this study aimed to assess the occurrence of tick-borne pathogens (TBPs) in ticks collected from hunters and their hunting dogs. From October 2020 to May 2021, ticks were collected from wild boar hunters (n = 347) and their dogs (n = 422) in regions of southern Italy (i.e., Apulia, Basilicata, Calabria, Campania and Sicily). All ticks were morphologically identified, classified according to gender, feeding status, host, geographic origin, and molecularly screened for zoonotic bacteria. Adult ticks (n = 411) were collected from hunters (i.e., n = 29; 8.4%; mean of 1.6 ticks for person) and dogs (i.e., n = 200; 47.4%; mean of 1.8 ticks for animal) and identified at species level as D. marginatus (n = 240, 58.4%), Rhipicephalus sanguineus sensu lato (n = 135, 32.8%), Rhipicephalus turanicus (n = 27, 6.6%) and Ixodes ricinus (n = 9, 2.2%). Overall, 45 ticks (i.e., 10.9%, 95% CI: 8.3-14.3) tested positive for at least one tick-borne agent, being Rickettsia slovaca the most frequent species (n = 37, 9.0%), followed by Rickettsia raoultii, Rickettsia aeschlimannii, Rickettsia monacensis, Coxiella burnetii, Borrelia lusitaniae and Candidatus Midichloria mitochondrii (n = 2, 0.5% each). Data herein presented demonstrate a relevant risk of exposure to TBPs for hunters and hunting dogs during the hunting activities. Therefore, the role of hunters to monitor the circulation of ticks in rural areas may be considered an effective example of the citizen science approach, supporting the cooperation toward private and public health stakeholders.</t>
  </si>
  <si>
    <t>[Sgroi, Giovanni; Iatta, Roberta; Lia, Riccardo Paolo; Bezerra-Santos, Marcos Antonio; Otranto, Domenico] Univ Bari Aldo Moro, Dept Vet Med, I-70010 Bari, Apulia, Italy; [Napoli, Ettore] Univ Messina, Dept Vet Sci, Messina, Sicily, Italy; [Buono, Francesco; Veneziano, Vincenzo] Univ Naples Federico II, Dept Vet Med &amp; Anim Prod, Naples, Italy; [Veneziano, Vincenzo] Osservatorio Faunist Venatorio Campania Reg, Naples, Italy; [Otranto, Domenico] Bu Ali Sina Univ, Fac Vet Sci, Hamadan, Hamadan, Iran</t>
  </si>
  <si>
    <t>Universita degli Studi di Bari Aldo Moro; University of Messina; University of Naples Federico II; Bu Ali Sina University</t>
  </si>
  <si>
    <t>Otranto, D (corresponding author), Univ Bari Aldo Moro, Dept Vet Med, I-70010 Bari, Apulia, Italy.</t>
  </si>
  <si>
    <t>domenico.otranto@uniba.it</t>
  </si>
  <si>
    <t>Napoli, Ettore/AAC-5873-2022; Bezerra-Santos, Marcos Antônio/N-7356-2019; Buono, Francesco/HDO-0693-2022; Otranto, Domenico/Y-3249-2019; Sgroi, Giovanni/KEI-1509-2024; VENEZIANO, Vincenzo/ABC-5774-2020; Iatta, Roberta/ACG-2034-2022</t>
  </si>
  <si>
    <t>Bezerra-Santos, Marcos Antônio/0000-0003-0575-6758; Buono, Francesco/0000-0002-8487-1051; Otranto, Domenico/0000-0002-7518-476X; Sgroi, Giovanni/0000-0002-5809-448X; VENEZIANO, Vincenzo/0000-0003-2496-4034; Iatta, Roberta/0000-0003-2386-8542</t>
  </si>
  <si>
    <t>Universita degli Studi di Bari Aldo Moro within the CRUI-CARE Agreement</t>
  </si>
  <si>
    <t>The authors are grateful to all citizens and veterinary practitioners involved in the field activities. No funding has been employed for the present work. Open Access Funding provided by Universita degli Studi di Bari Aldo Moro within the CRUI-CARE Agreement.</t>
  </si>
  <si>
    <t>1865-1674</t>
  </si>
  <si>
    <t>1865-1682</t>
  </si>
  <si>
    <t>TRANSBOUND EMERG DIS</t>
  </si>
  <si>
    <t>Transbound. Emerg. Dis.</t>
  </si>
  <si>
    <t>E386</t>
  </si>
  <si>
    <t>E393</t>
  </si>
  <si>
    <t>10.1111/tbed.14314</t>
  </si>
  <si>
    <t>Infectious Diseases; Veterinary Sciences</t>
  </si>
  <si>
    <t>3D9UL</t>
  </si>
  <si>
    <t>WOS:000696322200001</t>
  </si>
  <si>
    <t>D'Alessio, M; Rushing, G; Gray, TL</t>
  </si>
  <si>
    <t>D'Alessio, Matteo; Rushing, Grace; Gray, Tiffany L.</t>
  </si>
  <si>
    <t>Monitoring water quality through citizen science while teaching STEM undergraduate courses during a global pandemic</t>
  </si>
  <si>
    <t>Citizen science; Tap water; Undergraduate STEM education; Test strips</t>
  </si>
  <si>
    <t>CHEMISTRY; STUDENTS; IMPLEMENTATION</t>
  </si>
  <si>
    <t>Due to the COVID-19 pandemic, many universities struggle to engage students while implementing a distance based teaching/learning approach and to provide hands-on activities to students enrolled in STEM classes. Implementing service-focused activities that can be conducted by the students remotely can overcome these struggles. The goals of this study were to 1) implement citizen science activities focused on water quality using three commercially available low-cost test strips (2:1, 5:1, and 16:1) while teaching four undergraduate engineering courses at the University of Mississippi (UM) during a pandemic event, and 2) evaluate the acceptability and validate the results obtained. Eighty-five undergraduate students (citizen scientists) and five research scientists (control group) collected two water samples (with triplicates) after receiving detailed step-by-step written guidelines and video tutorials. One hundred twenty tap water samples were collected from private households across Lafayette County and its surrounding counties and multiple buildings on campus. Five laboratory fortified blank (LBF) samples were implemented to validate the results. While the academic background of the participants did not impact the results (p &gt; 0.05), the results obtained using the different test strips were statistically different (p &lt; 0.05). In fact, results obtained using the 2:1 and the 5:1 test strips were close to the LFBs, while, except for the higher concentration of Total Alkalinity (40 mg/L CaCO3), results obtained using the 16:1 test strips were significantly different than the LFBs. Results (in terms of pH, Nitrate, and Total Chlorine) obtained by the citizen scientists using the 2:1 and 5:1 test strips were consistent with those reported in the annual drinking water quality reports from UM and municipalities included in the investigated region. Overall, this activity was well received by the students. Approximately 75% of them agreed that this hands-on activity was a positive experience while struggling to attend face-to-face classes. (C) 2021 Elsevier B.V. All rights reserved.</t>
  </si>
  <si>
    <t>[D'Alessio, Matteo] Univ Mississippi, Dept Civil Engn, 204 Carrier Hall, University, MS 38677 USA; [Rushing, Grace] Univ Mississippi, Dept Civil Engn, 202 Carrier Hall, University, MS 38677 USA; [Gray, Tiffany L.] Univ Mississippi, Div Outreach &amp; Continuing Educ, Jackson Ave Ctr, University, MS 38677 USA</t>
  </si>
  <si>
    <t>University of Mississippi; University of Mississippi; University of Mississippi</t>
  </si>
  <si>
    <t>D'Alessio, M (corresponding author), Univ Mississippi, Dept Civil Engn, 204 Carrier Hall, University, MS 38677 USA.</t>
  </si>
  <si>
    <t>matteo@olemiss.edu; gemcmahe@olemiss.edu; tlwilson@olemiss.edu</t>
  </si>
  <si>
    <t>Disaster Resilience Constellation at the University of Mississippi</t>
  </si>
  <si>
    <t>This work was supported by seed funding from the Disaster Resilience Constellation at the University of Mississippi. We would like to acknowledge the five members of the control unit and the students enrolled in ENGR 100, CE 101, CE 405, and ENGR 598 at the University of Mississippi during the Fall 2020 semester for participating in the study.</t>
  </si>
  <si>
    <t>JUL 20</t>
  </si>
  <si>
    <t>10.1016/j.scitotenv.2021.146547</t>
  </si>
  <si>
    <t>SJ7DU</t>
  </si>
  <si>
    <t>WOS:000655692000004</t>
  </si>
  <si>
    <t>Baker, E; Jeger, MJ; Mumford, JD; Brown, N</t>
  </si>
  <si>
    <t>Baker, E.; Jeger, M. J.; Mumford, J. D.; Brown, N.</t>
  </si>
  <si>
    <t>Enhancing plant biosecurity with citizen science monitoring: comparing methodologies using reports of acute oak decline</t>
  </si>
  <si>
    <t>JOURNAL OF GEOGRAPHICAL SYSTEMS</t>
  </si>
  <si>
    <t>Biosecurity; Distribution modelling; Citizen science; Reporter bias</t>
  </si>
  <si>
    <t>ECOLOGICAL RESEARCH; AGRILUS-BIGUTTATUS; TREE DISEASE; UK; MICROBIOME; VALIDATION; CHALLENGES; SYMPTOMS; HISTORY; FORESTS</t>
  </si>
  <si>
    <t>Monitoring of forest pests and diseases is resource-intensive, requiring individual woodlands and trees to be visited and assessed for symptoms. Climate change and increased global connectivity are amplifying the scale of the monitoring challenge, with the number of new plant biosecurity threats increasing each year. Citizen science can increase the scale of pest and disease surveys. However, it is argued that citizen science data can be biased and inaccurate. This study examines potential biases in citizen science data by focusing on the case study of acute oak decline (AOD), a disease syndrome impacting native oaks within the UK associated with the beetle Agrilus biguttatus. Analysis was performed using two contrasting citizen science data set sources: the National Biodiversity Network (NBN) Atlas, which is a repository for citizen science data sets, and Tree Alert, a targeted citizen science project that encouraged landowners and the public to report the occurrence of AOD. For both data sets, detection was more likely in locations with higher Coleoptera reports, suggesting that there are hubs of recorder activity. For the NBN data set, A. biguttatus was more likely to be found in areas where historic parks and gardens were present. For the Tree Alert data set, A. biguttatus was less likely to be found on open access land, indicating that the programme was successful in engaging private landowners. These results indicate that understanding sources of bias within reporting schemes is an important step in data analysis and that the inclusion of structured survey designs would enable the extent of biases to be documented.</t>
  </si>
  <si>
    <t>[Baker, E.; Jeger, M. J.; Mumford, J. D.] Imperial Coll London, Ctr Environm Policy, Silwood Pk Campus, Ascot SL5 7PY, Berks, England; [Brown, N.] Rothamsted Res, Biointeract &amp; Crop Protect, Harpenden AL5 2JQ, Herts, England; [Baker, E.] CEH, Bush Estate, Penicuik EH16 0QB, Midlothian, Scotland</t>
  </si>
  <si>
    <t>Imperial College London; UK Research &amp; Innovation (UKRI); Biotechnology and Biological Sciences Research Council (BBSRC); Rothamsted Research; UK Centre for Ecology &amp; Hydrology (UKCEH)</t>
  </si>
  <si>
    <t>Baker, E (corresponding author), Imperial Coll London, Ctr Environm Policy, Silwood Pk Campus, Ascot SL5 7PY, Berks, England.;Baker, E (corresponding author), CEH, Bush Estate, Penicuik EH16 0QB, Midlothian, Scotland.</t>
  </si>
  <si>
    <t>embaker@ceh.ac.uk</t>
  </si>
  <si>
    <t>Mumford, John/0000-0001-8964-1784; Baker, Emily/0000-0003-3571-6888; Brown, Nathan/0000-0003-3590-0538</t>
  </si>
  <si>
    <t>Defra Project [TH01008]; Biotechnology and Biological Sciences Research Council (BBSRC); Woodland Heritage; BBSRC [BB/L012308/1] Funding Source: UKRI; Biotechnology and Biological Sciences Research Council [BB/L012308/1] Funding Source: researchfish</t>
  </si>
  <si>
    <t>Defra Project(Department for Environment, Food &amp; Rural Affairs (DEFRA)); Biotechnology and Biological Sciences Research Council (BBSRC)(UK Research &amp; Innovation (UKRI)Biotechnology and Biological Sciences Research Council (BBSRC)); Woodland Heritage; BBSRC(UK Research &amp; Innovation (UKRI)Biotechnology and Biological Sciences Research Council (BBSRC)); Biotechnology and Biological Sciences Research Council(UK Research &amp; Innovation (UKRI)Biotechnology and Biological Sciences Research Council (BBSRC))</t>
  </si>
  <si>
    <t>The work presented in this paper depended greatly on the availability of self-reported data from many concerned individuals who made reports to Tree Alert; we would like to thank them all for taking the time to do so. Further, we are extremely grateful for the goodwill and support of all the private landowners and managers who granted permission to visit their land during the surveys. This work would not have been possible without the data from Brown et al. (2017a; Dryad Digital Repository https ://doi. org/10.5061/dryad.18157). Surveys were funded as part of Defra Project TH01008. Rothamsted Research receives funding from the Biotechnology and Biological Sciences Research Council (BBSRC), and ongoing oak research is supported by Woodland Heritage. Information describing the distribution of A. biguttatus was sourced through NBN Atlas occurrence records, downloaded at http://nbnat las. org. Accessed on 1 June 2017. The original data sources and data sets are provided in the supplementary material. The Data Provider and the NBN Trust bear no responsibility for any further analysis or interpretation of that material, data and/or information. All rights reserved NERC 100017897 2004. This research benefited from useful discussions with Dr David Slawson, the Director of Open Air Laboratories (OPAL), who provided valuable insight into the use of citizen science in research and policy.</t>
  </si>
  <si>
    <t>1435-5930</t>
  </si>
  <si>
    <t>1435-5949</t>
  </si>
  <si>
    <t>J GEOGR SYST</t>
  </si>
  <si>
    <t>J. Geogr. Syst.</t>
  </si>
  <si>
    <t>10.1007/s10109-018-0285-2</t>
  </si>
  <si>
    <t>HO5ET</t>
  </si>
  <si>
    <t>WOS:000460946600006</t>
  </si>
  <si>
    <t>Gotama, R; Stean, SJ; Sparks, LD; Prasetijo, R; Sebastian, P</t>
  </si>
  <si>
    <t>Gotama, Rinaldi; Stean, Serena J.; Sparks, Lauren D.; Prasetijo, Rahmadi; Sebastian, Pascal</t>
  </si>
  <si>
    <t>Citizen science approach for monitoring fish and megafauna assemblages in a remote Marine Protected Area</t>
  </si>
  <si>
    <t>Species assemblage; Coral reef; Fisheries; Megafauna; Threatened species; Visual census</t>
  </si>
  <si>
    <t>CHEILINUS-UNDULATUS; CONSERVATION; FISHERIES; TOURISM; SHARKS; PARK; ABUNDANCE; BENEFITS; IMPACT; WRASSE</t>
  </si>
  <si>
    <t>Marine Protected Areas (MPA) safeguard threatened marine ecosystems by protecting fish populations, limiting anthropogenic stressors, and providing additional livelihood for local populations. However, many MPAs do not function effectively due to lack of funding and manpower, engendering the need to find long-lasting, sustainable solutions to monitor and maintain MPA performance. In this study, we utilized citizen science involvement to survey select fish families (Lutjanidae, Serranidae, Carangidae, Scombridae, Sphyraenidae, Lethrinidae, and Scaridae), key fish species (large and vulnerable piscivores), and megafauna in Nusa Penida MPA, Indonesia using the roving survey method. We found that despite a short training period and fast turnover rate, our participants were able to identify all target taxa, as well as detect spatial and temporal trends in fish and megafauna assemblages. An increase in fish density during austral winter was correlated with seasonal upwelling phenomena induced by the southeast monsoon, while site variations were influenced by local topography and type of current. We conclude that citizen science participation contributed immensely to the monitoring of Nusa Penida MPA, and subsequent self-sustained, long-term monitoring will be invaluable for future policy and decision making in MPA management and enforcement.&amp; COPY; 2023 Elsevier B.V. All rights reserved.</t>
  </si>
  <si>
    <t>[Gotama, Rinaldi; Stean, Serena J.; Sparks, Lauren D.; Sebastian, Pascal] Indo Ocean Project, Klungkung 80771, Bali, Indonesia; [Prasetijo, Rahmadi] Univ Dhyana Pura, Fac Hlth Sci Sci &amp; Technol, Jl Raya Padang Luwih, Badung 80351, Bali, Indonesia; [Prasetijo, Rahmadi] Indonesian Marine Educ &amp; Res Org, Karangasem 80853, Bali, Indonesia</t>
  </si>
  <si>
    <t>Sebastian, P (corresponding author), Indo Ocean Project, Klungkung 80771, Bali, Indonesia.</t>
  </si>
  <si>
    <t>pascal@indooceanproject.org</t>
  </si>
  <si>
    <t>Stean, Serena/0009-0003-4768-2651; Gotama, Rinaldi/0000-0001-5313-8589; Sebastian, Pascal/0000-0002-1597-5877</t>
  </si>
  <si>
    <t>Dinas Penanaman Modal dan Pelayanan Satu Pintu, Pemerintah Provinsi Bali, Indonesia [070/2474/IZIN-C/DISPMPT]</t>
  </si>
  <si>
    <t>Dinas Penanaman Modal dan Pelayanan Satu Pintu, Pemerintah Provinsi Bali, Indonesia</t>
  </si>
  <si>
    <t>We thank Indo Ocean Project crew members I Nengah Swarya, Romy Septiahadi, Michaela Dudasova, Elise Dixon, Reeflex Divers crew members, as well as all of the divemaster and research diver candidates that made this research possible. We also thank Melissa Hadley for reviews. Permission to conduct research in Nusa Penida Marine Protected Area was granted by Dinas Penanaman Modal dan Pelayanan Satu Pintu, Pemerintah Provinsi Bali, Indonesia (No. 070/2474/IZIN-C/DISPMPT) . This research is self-funded and did not receive any specific grant from funding agencies in the public, commercial, or not-for-profit sectors.</t>
  </si>
  <si>
    <t>10.1016/j.rsma.2023.103058</t>
  </si>
  <si>
    <t>N8AQ3</t>
  </si>
  <si>
    <t>WOS:001039179500001</t>
  </si>
  <si>
    <t>North, T; Moore, P; Birch, W; Markle, C; Freeman, H; Furukawa, A; Hudson, D; Wilkinson, S; Waddington, J</t>
  </si>
  <si>
    <t>North, Taylor; Moore, Paul; Birch, Waverley; Markle, Chantel; Freeman, Hope; Furukawa, Alex; Hudson, Danielle; Wilkinson, Sophie; Waddington, James</t>
  </si>
  <si>
    <t>iWetland: A Community Science Platform for Monitoring Wetland Water Levels</t>
  </si>
  <si>
    <t>Wetlands; crowd-sourcing; water table; citizen science; community science</t>
  </si>
  <si>
    <t>CITIZEN SCIENCE; QUALITY</t>
  </si>
  <si>
    <t>iWetland is a community science wetland water level monitoring platform developed by the McMaster Ecohydrology Lab and tested from 2016 to 2019 in wetlands located east of Georgian Bay, Ontario, Canada. The goal of iWetland is to engage community members in wetland science while collecting data to better understand the spatiotemporal variability in water level patterns of wetlands. We installed 24 iWetland water level monitoring stations in popular hiking and camping areas where visitors can text the water level of the wetland to an online database that automatically collates the data. Here, we share our approach for developing the iWetland community science platform and its importance for monitoring all types of wetland ecosystems. From 2016 through 2019, almost 2,000 individuals recorded more than 2,600 water table measurements. The iWetland platform successfully collected accurate water table data for 24 wetlands. We discuss the successes and shortcomings of the community science platform with respect to data collection, community engagement, and participation. We found that forming mutually beneficial partnerships with community groups paired with strong outreach presence were key to the success of this community science platform. Finally, we recommend that those interested in adopting the iWetland platform in their community partner with community groups, recognize participant contributions, identify accessible sites, and host outreach activities.</t>
  </si>
  <si>
    <t>[North, Taylor; Moore, Paul; Markle, Chantel; Freeman, Hope; Furukawa, Alex; Wilkinson, Sophie; Waddington, James] McMaster Univ, Hamilton, ON, Canada; [Birch, Waverley] McMaster Univ, Firelight Grp, Hamilton, ON, Canada; [Markle, Chantel] Univ Waterloo, Waterloo, ON, Canada; [Hudson, Danielle] McMaster Univ, Canadian Forest Serv, Hamilton, ON, Canada</t>
  </si>
  <si>
    <t>McMaster University; McMaster University; University of Waterloo; Natural Resources Canada; Canadian Forest Service; McMaster University</t>
  </si>
  <si>
    <t>North, T (corresponding author), McMaster Univ, Hamilton, ON, Canada.</t>
  </si>
  <si>
    <t>taylordnorth@gmail.com</t>
  </si>
  <si>
    <t>Wilkinson, Sophie/JXL-8184-2024; Hudson, Danielle/GRE-6086-2022; Markle, Chantel/JXN-0426-2024</t>
  </si>
  <si>
    <t>Waddington, James Michael/0000-0002-0317-7894; Birch, Waverley/0000-0002-4967-9320; Hudson, Danielle/0000-0003-2775-8236; Markle, Chantel/0000-0002-1703-0201; Moore, Paul/0000-0003-1924-1528</t>
  </si>
  <si>
    <t>RBC Blue Water Initiative</t>
  </si>
  <si>
    <t>This project was funded by the RBC Blue Water Initiative, made possible by a generous gift from the RBC Foundation to the McMaster University Faculty of Science.</t>
  </si>
  <si>
    <t>10.5334/cstp.448</t>
  </si>
  <si>
    <t>6GJ1C</t>
  </si>
  <si>
    <t>WOS:001552706000001</t>
  </si>
  <si>
    <t>Farr, CM; Ngo, F; Olsen, B</t>
  </si>
  <si>
    <t>Farr, Cooper M.; Ngo, Frances; Olsen, Bryant</t>
  </si>
  <si>
    <t>Evaluating Data Quality and Changes in Species Identification in a Citizen Science Bird Monitoring Project</t>
  </si>
  <si>
    <t>citizen science; learning evaluation; training; bird surveys; species identification</t>
  </si>
  <si>
    <t>EBIRD DATA; CONSERVATION; VOLUNTEERS; CHALLENGES; IMPACTS; COUNTS; TOOL</t>
  </si>
  <si>
    <t>Citizen science has potential to provide multiple benefits to participants and the professional scientific community, and those benefits can be realized if citizen science projects are intentionally designed to achieve research objectives, and if participants have the skills, knowledge, and training to collect high-quality data. Using three years of data from a citizen science bird monitoring project in Salt Lake City, Utah, we assessed bird songs and calls learned by volunteers, and compared species detections, number of birds, and distance measurements between point counts by citizen scientists and professional biologists. We found significant increases in correct species identification for citizen scientists after going through the training program; the average percentage of bird songs and calls identified rose from 42.5% before training to 72.7% after training (p &lt; 0.00001). For two data quality metrics, citizen scientists and professional biologists collected similar quality data: the average number of birds and average detection distances were not significantly different for point counts conducted by citizen scientists and professional biologists in the same locations. However, professional biologists identified an average of 1.48 more species than citizen scientists (p &lt; 0.00001). Our findings emphasize the importance of evaluating training programs and data accuracy for citizen science projects. In instances in which citizen scientists may not be performing at the same level as professional biologists, identifying these patterns ensures that they can be fully explained and accounted for during data analysis.</t>
  </si>
  <si>
    <t>[Farr, Cooper M.; Ngo, Frances; Olsen, Bryant] Tracy Aviary, Salt Lake City, UT 84105 USA</t>
  </si>
  <si>
    <t>Farr, CM (corresponding author), Tracy Aviary, Salt Lake City, UT 84105 USA.</t>
  </si>
  <si>
    <t>cooperfarr@gmail.com</t>
  </si>
  <si>
    <t>10.5334/cstp.604</t>
  </si>
  <si>
    <t>6HT7D</t>
  </si>
  <si>
    <t>WOS:001553664000002</t>
  </si>
  <si>
    <t>Uche-Dike, R; Tolman, E; Benischek, C; Schneider, M; Kohli, MK; Bush, J; Frandsen, PB; Errigo, IM; Frankel, W; Gnojewski, K; Chmura, K; Jordan, D; Kittler, H; Liao, M; Tobin, T; Su, C; Castillo, G; Derderian, E; Wei, M; Fernandez-Jaurez, S; Tamano, T; Gallafent, B; Jenson, J; Walser, CA; Ware, JL; Beatty, CD</t>
  </si>
  <si>
    <t>Uche-Dike, Rhema; Tolman, Ethan; Benischek, Christian; Schneider, Magnolia; Kohli, Manpreet K.; Bush, Jonas; Frandsen, Paul B.; Errigo, Isabella M.; Frankel, Wendy; Gnojewski, Kristin; Chmura, Kim; Jordan, Dick; Kittler, Hannah; Liao, Michel; Tobin, Trinity; Su, Cindy; Castillo, Gracie; Derderian, Ethan; Wei, Maleah; Fernandez-Jaurez, Santiago; Tamano, Towako; Gallafent, Ben; Jenson, James; Walser, Christoph A.; Ware, Jessica L.; Beatty, Christopher D.</t>
  </si>
  <si>
    <t>Integrating eDNA and community science to monitor urban Odonata diversity</t>
  </si>
  <si>
    <t>Anisoptera; Gomphidae; Libellulidae; metabarcoding; Oxford nanopore technologies; urban ecology; urban waterways</t>
  </si>
  <si>
    <t>ENVIRONMENTAL DNA; BARCODE; LIFE</t>
  </si>
  <si>
    <t>The study of insect decline remains a major and increasingly urgent frontier in insect biodiversity and conservation. Despite increased attention to fluctuating insect decline trends, relatively little data have been compiled about aquatic insect species, particularly in urban ecosystems. Here, we combine environmental DNA (eDNA) metabarcoding and community science observations to monitor Odonata communities across an urban system in southwest Idaho, USA. We show that the distribution of Odonata communities across this urban landscape is not uniform, and that both monitoring methods have distinct strengths and limitations. Environmental DNA metabarcoding was sensitive to the detection of genera from underrepresented families in the region but was less effective at distinguishing closely related genera, particularly in sites where DNA degradation may have occurred. Community science observations effectively detected genera from more species-rich families but failed to capture relatively rare taxa or those with short flight periods. These findings highlight the complementary strengths of both methods: eDNA excels at detecting elusive or rare taxa in targeted sampling windows, while community science provides broader temporal coverage and finer taxonomic resolution. Integrating both methods offers a more robust approach to monitoring and managing urban biodiversity. In cases where only one method is employed, care should be taken to account for its inherent detection biases.</t>
  </si>
  <si>
    <t>[Uche-Dike, Rhema; Tolman, Ethan; Kohli, Manpreet K.; Frankel, Wendy; Tobin, Trinity; Su, Cindy; Ware, Jessica L.; Beatty, Christopher D.] Amer Museum Nat Hist, New York, NY USA; [Uche-Dike, Rhema] CUNY Grad Ctr, New York, NY USA; [Tolman, Ethan] Virginia Tech, Blacksburg, VA 24061 USA; [Tolman, Ethan; Kohli, Manpreet K.; Gnojewski, Kristin; Chmura, Kim; Jordan, Dick; Kittler, Hannah; Liao, Michel; Castillo, Gracie; Derderian, Ethan; Wei, Maleah; Fernandez-Jaurez, Santiago; Tamano, Towako; Gallafent, Ben; Jenson, James; Beatty, Christopher D.] Conservat Connect Fdn, Boise, ID 83709 USA; [Benischek, Christian; Schneider, Magnolia; Castillo, Gracie; Fernandez-Jaurez, Santiago; Walser, Christoph A.] Coll Idaho, Caldwell, ID USA; [Kohli, Manpreet K.] Baruch Coll, New York, NY 10010 USA; [Bush, Jonas] Penn State Univ, Huck Inst Life Sci, University Pk, PA USA; [Frandsen, Paul B.; Errigo, Isabella M.] Brigham Young Univ, Dept Plant &amp; Wildlife Sci, Provo, UT USA; [Errigo, Isabella M.] Cornell Univ, Dept Nat Resources &amp; Environm, Ithaca, NY USA; [Liao, Michel] Princeton Univ, Princeton, NJ USA; [Jenson, James; Walser, Christoph A.] Boise State Univ, Boise, ID USA; [Beatty, Christopher D.] Stanford Univ, Dept Biol, Program Conservat Genom, Stanford, CA USA</t>
  </si>
  <si>
    <t>American Museum of Natural History (AMNH); City University of New York (CUNY) System; City University of New York (CUNY) Graduate School; Virginia Polytechnic Institute &amp; State University; College of Idaho; City University of New York (CUNY) System; Baruch College (CUNY); Pennsylvania Commonwealth System of Higher Education (PCSHE); Pennsylvania State University; Pennsylvania State University - University Park; Brigham Young University; Cornell University; Princeton University; Boise State University; Stanford University</t>
  </si>
  <si>
    <t>Tolman, E (corresponding author), Virginia Tech, Blacksburg, VA 24061 USA.</t>
  </si>
  <si>
    <t>etolman@amnh.org</t>
  </si>
  <si>
    <t>; Beatty, Christopher/ABE-6438-2020; Bush, Jonas/LHC-9189-2024</t>
  </si>
  <si>
    <t>Frandsen, Paul/0000-0002-4801-7579; Tolman, Ethan/0000-0002-2594-2833; Uche-Dike, Rhema/0000-0002-7182-0300;</t>
  </si>
  <si>
    <t>Ada County Soil and Water Conservation District</t>
  </si>
  <si>
    <t>American Museum of Natural History; Ada County Soil and Water Conservation District</t>
  </si>
  <si>
    <t>10.1111/icad.70006</t>
  </si>
  <si>
    <t>AUG 2025</t>
  </si>
  <si>
    <t>CA6BD</t>
  </si>
  <si>
    <t>WOS:001548679800001</t>
  </si>
  <si>
    <t>Culin, J; Finney, M</t>
  </si>
  <si>
    <t>Culin, Joseph; Finney, Michael</t>
  </si>
  <si>
    <t>Incorporating Citizen Science into Monitoring Hemlock Following Predator Releases for Adelges tsugae (Hemiptera: Adelgidae) Management</t>
  </si>
  <si>
    <t>JOURNAL OF ENTOMOLOGICAL SCIENCE</t>
  </si>
  <si>
    <t>Adelges tsugae; citizen science; forest pest monitoring</t>
  </si>
  <si>
    <t>A photograph-based monitoring system was developed to involve citizen scientists in monitoring sites in western North Carolina and northern Georgia where the predators Sasajiscymnus tsugae (Sasaji &amp; McClure) and Laricobius nigrinus Fender had been released as part of the U.S. Forest Service's biological control program for Adelges tsugae Annand (hemlock woolly adelgid). The study was divided into an initial phase conducted during 2006 and 2007 in Jackson and Macon counties, NC, and Rabun County, GA, and a second phase conducted from 2008 to 2010 in Fannin, Gilmer, Lumpkin, and Union counties, GA. Over the course of the study, 32 volunteers monitored 27 predator release sites and provided 4,356 photographs from which data were obtained. Data from photographs included the number of A. tsugae ovisacs present at each sample site and hemlock needle loss on photographed branches. To ensure accuracy in counting A. tsugae and assessing hemlock needle loss, personnel from Clemson University's A. tsugae insectary evaluated each photograph for data collection. The citizen scientist volunteers participating in this study allowed us to obtain a large amount of quality data from across the wide geographic range of predator release sites. Obtaining that amount of data would not have been possible using only our laboratory personnel. This study shows that including dedicated and properly trained volunteers in large-scale forest surveys was an effective way to dramatically increase the amount of data we could obtain for use in assessing trends in both the numbers of A. tsugae present and hemlock needle loss at predator release sites.</t>
  </si>
  <si>
    <t>[Culin, Joseph; Finney, Michael] Clemson Univ, Dept Agr &amp; Environm Sci, Clemson, SC 29634 USA</t>
  </si>
  <si>
    <t>Clemson University</t>
  </si>
  <si>
    <t>Culin, J (corresponding author), Clemson Univ, Dept Agr &amp; Environm Sci, Clemson, SC 29634 USA.</t>
  </si>
  <si>
    <t>jculin@clemson.edu</t>
  </si>
  <si>
    <t>National Forest Foundation, Centennial Year Challenge Program [5CY-08-05]; Jackson-Macon Conservation Alliance; Clemson University's College of Agriculture, Forestry, and Life Sciences; Clemson University Experiment Station; Chattooga Conservancy</t>
  </si>
  <si>
    <t>National Forest Foundation, Centennial Year Challenge Program; Jackson-Macon Conservation Alliance; Clemson University's College of Agriculture, Forestry, and Life Sciences; Clemson University Experiment Station; Chattooga Conservancy</t>
  </si>
  <si>
    <t>We thank the members of the Jackson-Macon Conservation Alliance, Atlanta Audubon Society, and Lumpkin Coalition who participated in this study. Without their efforts we could not have gathered these data. James Wentworth (Central Zone Biologist, U.S. Forest Service) provided valuable assistance in selecting monitoring sites for the second phase. We thank LayLa Burgess for assisting in volunteer training sessions, Brittany Russ and Michael Simmons for counting A. tsugae ovisacs in the photographs, Suzette Sharpe for rating needle loss in the photographs, and Walker Massey and Chris Semerjian for producing the final figures. Reviews of this manuscript by LayLa Burgess, Mike Vickers, and two anonymous reviewers are greatly appreciated. This project was funded by the National Forest Foundation, 2005 Centennial Year Challenge Program (5CY-08-05) with matching funds provided by the Jackson-Macon Conservation Alliance and Chattooga Conservancy. Additional support was provided by Clemson University's College of Agriculture, Forestry, and Life Sciences, and the Clemson University Experiment Station.</t>
  </si>
  <si>
    <t>GEORGIA ENTOMOLOGICAL SOC INC</t>
  </si>
  <si>
    <t>TIFTON</t>
  </si>
  <si>
    <t>PO BOX 748 DEPT ENTOMOLOGY COASTAL PLAIN EXPT STATION, TIFTON, GA 31793-0748 USA</t>
  </si>
  <si>
    <t>0749-8004</t>
  </si>
  <si>
    <t>J ENTOMOL SCI</t>
  </si>
  <si>
    <t>J. Entomol. Sci.</t>
  </si>
  <si>
    <t>CV2SL</t>
  </si>
  <si>
    <t>WOS:000364107400007</t>
  </si>
  <si>
    <t>Lanning, KK; Kline, N; Elliott, M; Stamm, E; Warnick, T; LeBoldus, JM; Garbelotto, M; Chastagner, G; Hulbert, JM</t>
  </si>
  <si>
    <t>Lanning, Kara K.; Kline, Norma; Elliott, Marianne; Stamm, Elizabeth; Warnick, Taylor; LeBoldus, Jared M.; Garbelotto, Matteo; Chastagner, Gary; Hulbert, Joseph M.</t>
  </si>
  <si>
    <t>Citizen science can add value to Phytophthora monitoring: five case studies from western North America</t>
  </si>
  <si>
    <t>citizen science; phytophthora; plant disease; monitoring; public engagement; invasive species</t>
  </si>
  <si>
    <t>PORT-ORFORD-CEDAR; SUDDEN OAK DEATH; RAMORUM DETECTION; PATHOGEN; CALIFORNIA; TANOAK; VOLUNTEERS; KNOWLEDGE; DETECT; FOREST</t>
  </si>
  <si>
    <t>Phytophthora species are plant pathogens responsible for many notable biological invasions in agricultural, forests, and natural ecosystems. Detection and monitoring for invasive introductions of Phytophthora spp. is time and resource intensive. Development of citizen science detection and monitoring programs can aid in these efforts focused on reducing Phythophthora impacts. There are multiple methods for monitoring and detecting Phytophthora invasions suitable for citizen science approaches such as, leaf sampling, stream baiting or soil collections. Here we summarize five active projects in western North America where citizen scientists are aiding the monitoring and research efforts surrounding Phytophthora species and their impacts. Projects varied in scope, scale, methods, and capacity, but each project increased citizen scientists' abilities for surveillance and advanced detection or knowledge of Phytophthora species. Some projects were integrated with school programs, others involved hands-on training with small groups, and another approach invited mass participation from interested citizens. Overall, all projects had positive outcomes multiplied across education, monitoring, and research. Together these case studies demonstrate how citizen scientists can amplify surveillance efforts, advance baseline knowledge, and reduce the impacts of biological invasions.</t>
  </si>
  <si>
    <t>[Lanning, Kara K.; Warnick, Taylor] Pacific Univ, Dept Environm Sci, Forest Grove, OR 97116 USA; [Kline, Norma; LeBoldus, Jared M.] Oregon State Univ, Dept Forest Engn &amp; Resources Management, Corvallis, OR USA; [Elliott, Marianne; Chastagner, Gary; Hulbert, Joseph M.] Washington State Univ, Dept Plant Pathol, Ornamental Plant Pathol Program, Puyallup, WA USA; [Stamm, Elizabeth; LeBoldus, Jared M.] Oregon State Univ, Dept Bot &amp; Plant Pathol, LeBoldus Lab, Corvallis, OR USA; [Garbelotto, Matteo] Univ Calif Berkeley, Dept Environm Sci Policy &amp; Management, Forest Pathol &amp; Mycol Lab, Berkeley, CA USA</t>
  </si>
  <si>
    <t>Pacific University; Oregon State University; Washington State University; Oregon State University; University of California System; University of California Berkeley</t>
  </si>
  <si>
    <t>Lanning, KK (corresponding author), Pacific Univ, Dept Environm Sci, Forest Grove, OR 97116 USA.</t>
  </si>
  <si>
    <t>kara.lanning@pacificu.edu</t>
  </si>
  <si>
    <t>MG was supported by USFS Region 5 State and Private Forestry, Gordon and Betty Moore Foundation, NSF Ecology of Infectious Disease Program, PG amp;amp; E Foundation, Mid Peninsula Open Space. NK was supported by USDA Animal and Plant Health Inspection Ser; USFS Region 5 State and Private Forestry, Gordon and Betty Moore Foundation; NSF Ecology of Infectious Disease Program, PG amp;amp; E Foundation; Mid Peninsula Open Space; USDA Animal and Plant Health Inspection Service; USFWS OR Coastal Program; USDA National Institute of Food and Agriculture; Albert Victor Ravenholt Fund; Pacific University College of Arts and Sciences Undergraduate Research Funds; [2023-00353]</t>
  </si>
  <si>
    <t>MG was supported by USFS Region 5 State and Private Forestry, Gordon and Betty Moore Foundation, NSF Ecology of Infectious Disease Program, PG amp;amp; E Foundation, Mid Peninsula Open Space. NK was supported by USDA Animal and Plant Health Inspection Ser; USFS Region 5 State and Private Forestry, Gordon and Betty Moore Foundation; NSF Ecology of Infectious Disease Program, PG amp;amp; E Foundation; Mid Peninsula Open Space; USDA Animal and Plant Health Inspection Service; USFWS OR Coastal Program; USDA National Institute of Food and Agriculture(United States Department of Agriculture (USDA)); Albert Victor Ravenholt Fund; Pacific University College of Arts and Sciences Undergraduate Research Funds;</t>
  </si>
  <si>
    <t>The authors would like to acknowledge the many citizen scientists and students who have participated in the monitoring and detection of invasive Phytophthora species in the western United States.r MG was supported by USFS Region 5 State and Private Forestry, Gordon and Betty Moore Foundation, NSF Ecology of Infectious Disease Program, PG &amp; amp; E Foundation, Mid Peninsula Open Space. NK was supported by USDA Animal and Plant Health Inspection Service and the USFWS OR Coastal Program. JH was supported by USDA National Institute of Food and Agriculture through a Postdoctoral Fellowship agreement #2023-00353 and funding provided by the Albert Victor Ravenholt Fund. KL and TW were supported by the Pacific University College of Arts and Sciences Undergraduate Research Funds.</t>
  </si>
  <si>
    <t>AUG 17</t>
  </si>
  <si>
    <t>10.3389/fenvs.2023.1130210</t>
  </si>
  <si>
    <t>Q6YY6</t>
  </si>
  <si>
    <t>WOS:001058972600001</t>
  </si>
  <si>
    <t>Barlow, KE; Briggs, PA; Haysom, KA; Hutson, AM; Lechiara, NL; Racey, PA; Walsh, AL; Langton, SD</t>
  </si>
  <si>
    <t>Barlow, K. E.; Briggs, P. A.; Haysom, K. A.; Hutson, A. M.; Lechiara, N. L.; Racey, P. A.; Walsh, A. L.; Langton, S. D.</t>
  </si>
  <si>
    <t>Citizen science reveals trends in bat populations: The National Bat Monitoring Programme in Great Britain</t>
  </si>
  <si>
    <t>Bats; Biodiversity; Chiroptera; Conservation; Indicators; Population trends; Survey methods</t>
  </si>
  <si>
    <t>WHITE-NOSE SYNDROME; PIPISTRELLUS-PIPISTRELLUS; BARBASTELLA-BARBASTELLUS; ACOUSTIC IDENTIFICATION; FIELD IDENTIFICATION; VESPERTILIONID BATS; FARMLAND BIRDS; CLIMATE-CHANGE; ABUNDANCE; HABITAT</t>
  </si>
  <si>
    <t>Bats play an important role in ecosystems and are highly relevant as indicators of environmental change. Long-term monitoring of bat populations is therefore fundamental to verifying environmental change over time. Although in the past, significant declines in bat populations have been reported across Europe, only limited data are available from systematic monitoring schemes over long periods. In this study we use data from the National Bat Monitoring Programme, a citizen science scheme drawing on over 3500 volunteers, to estimate changes in populations across Great Britain for 10 bat species or species groups between 1997 and 2012. We demonstrate uniquely how data collected on relative abundance and activity of bats by volunteers at 3272 sites using standardised, multiple survey methods (counts at roosts and bat detector surveys using tuneable, heterodyne detectors) can be successfully utilised to produce statistically robust population indices for a large proportion of a country's bat fauna. All trends calculated, with the exception of one species (Rhinolophus ferrumequinum), had sufficient power to detect Red Alert level declines. Our results reveal a generally favourable picture for bats over the monitoring period; all species showed a stable or increasing trend from at least one survey type, although for four species where there were multiple trends from different survey types, the trend directions did not agree (Myotis nattereri, Pipistrellus pipistrellus, Pipistrellus pygmaeus and Eptesicus serotinus). This study demonstrates that use of volunteer programmes can be successful in monitoring bat populations, provided that key features including standardised survey,methods and volunteer training are incorporated. Some species that are more difficult to detect and identify may however require specialist surveillance techniques. (C) 2014 Elsevier Ltd. All rights reserved.</t>
  </si>
  <si>
    <t>[Barlow, K. E.; Briggs, P. A.; Haysom, K. A.; Hutson, A. M.; Lechiara, N. L.; Racey, P. A.; Walsh, A. L.] Bat Conservat Trust, London SE11 5RD, England; [Langton, S. D.] Steve Langton Stat Consultancy, Malton YO17 9SA, N Yorkshire, England</t>
  </si>
  <si>
    <t>Barlow, KE (corresponding author), Bat Conservat Trust, Quadrant House,250 Kennington Lane, London SE11 5RD, England.</t>
  </si>
  <si>
    <t>kbarlow@bats.org.uk; pbriggs@bats.org.uk; karenhaysom@bbowt.org.uk; hutson.t@btinternet.com; p.racey@abdn.ac.uk; awalsh@sandiegozoo.org; stats@slangton.org.uk</t>
  </si>
  <si>
    <t>Racey, Paul/I-4541-2019</t>
  </si>
  <si>
    <t>Department of the Environment, Transport and the Regions (DETR) [CR018]; Natural England; Bat Conservation Trust; Joint Nature Conservation Committee; National Resources Wales; Defra</t>
  </si>
  <si>
    <t>Department of the Environment, Transport and the Regions (DETR); Natural England; Bat Conservation Trust; Joint Nature Conservation Committee; National Resources Wales; Defra(Department for Environment, Food &amp; Rural Affairs (DEFRA))</t>
  </si>
  <si>
    <t>The National Bat Monitoring Programme was funded between 1996 and 2000 by the Department of the Environment, Transport and the Regions (DETR Contract Reference No. CR018). The programme is now run as a partnership between the Bat Conservation Trust, Joint Nature Conservation Committee, National Resources Wales and Defra with additional funding provided by Natural England. All partners have provided a financial contribution to the running of the programme and agree to the submission of this article based on the outputs of the programme for publication. An annual report of the National Bat Monitoring Programme is published online at http://www.bats.org.uk/</t>
  </si>
  <si>
    <t>10.1016/j.biocon.2014.11.022</t>
  </si>
  <si>
    <t>CB3AY</t>
  </si>
  <si>
    <t>WOS:000349501400004</t>
  </si>
  <si>
    <t>Sadikovic, S; Branovacki, B; Oljaca, M; Mitrovic, D; Pajic, D; Smederevac, S</t>
  </si>
  <si>
    <t>Sadikovic, Selka; Branovacki, Bojan; Oljaca, Milan; Mitrovic, Dusanka; Pajic, Dejan; Smederevac, Snezana</t>
  </si>
  <si>
    <t>Daily Monitoring of Emotional Responses to the Coronavirus Pandemic in Serbia: A Citizen Science Approach</t>
  </si>
  <si>
    <t>FRONTIERS IN PSYCHOLOGY</t>
  </si>
  <si>
    <t>COVID-19; emotional reactions; RRST; the state of emergency; citizen science</t>
  </si>
  <si>
    <t>PERSONALITY-TRAITS; SARS; QUARANTINE; INTENSITY; INFLUENZA; DIRECTION; ANXIETY; THREAT; IMPACT</t>
  </si>
  <si>
    <t>The COVID-19 pandemic, a health emergency with international consequences, has brought serious impact on all aspects of society and affects not only health and economy, but psychological functioning and mental health as well. This research was conducted in order to examine and further our understanding of emotional reactions to the ongoing pandemic. Change in emotional reactions during the pandemic and relations with specific pandemic related behaviors and personality traits from the revised Reinforcement sensitivity theory were explored. The research was conducted in Serbia for 35 days while the country was in a state of emergency, as a citizen science project. Out of the 1526 participants that joined the study, 444 (67% female) had measures for all five weeks. Longitudinal changes in four emotional states during the pandemic were examined: worry, fear, boredom, and anger/annoyance. Results indicate a decrease in all four emotional states over time. The biggest decrease was present in case of worry, followed by fear and boredom. Regression analysis showed that personality dimensions, as well as behavioral responses in this situation significantly predicted emotional reactions. Findings revealed the Behavioral activation system was significantly related to worry, fear and boredom, Fight with boredom and anger, and the Behavioral inhibition system with anger. Adherence to protection measures, as well as increased exposure to the media, had significant positive relations with worry and fear. These results indicate that both stable characteristics and specific pandemic-related behaviors are significantly related to emotional response during the pandemic.</t>
  </si>
  <si>
    <t>[Sadikovic, Selka; Branovacki, Bojan; Oljaca, Milan; Mitrovic, Dusanka; Pajic, Dejan; Smederevac, Snezana] Univ Novi Sad, Fac Philosophy, Dept Psychol, Novi Sad, Serbia</t>
  </si>
  <si>
    <t>University of Novi Sad</t>
  </si>
  <si>
    <t>Sadikovic, S (corresponding author), Univ Novi Sad, Fac Philosophy, Dept Psychol, Novi Sad, Serbia.</t>
  </si>
  <si>
    <t>selka.sadikovic@ff.uns.ac.rs</t>
  </si>
  <si>
    <t>Pajić, Dejan/GSD-7294-2022; Oljača, Milan/Q-8797-2018; Mitrović, Dušanka/AAT-3396-2020; Smederevac, Snežana/J-9355-2018</t>
  </si>
  <si>
    <t>Oljača, Milan/0000-0003-4628-4558; Mitrović, Dušanka/0000-0001-8532-6795; Smederevac, Snežana/0000-0002-3780-0576; Branovacki, Bojan/0000-0001-8417-9746; Sadikovic, Selka/0000-0003-0874-2511</t>
  </si>
  <si>
    <t>1664-1078</t>
  </si>
  <si>
    <t>FRONT PSYCHOL</t>
  </si>
  <si>
    <t>Front. Psychol.</t>
  </si>
  <si>
    <t>AUG 19</t>
  </si>
  <si>
    <t>10.3389/fpsyg.2020.02133</t>
  </si>
  <si>
    <t>Psychology, Multidisciplinary</t>
  </si>
  <si>
    <t>Psychology</t>
  </si>
  <si>
    <t>NM0WA</t>
  </si>
  <si>
    <t>WOS:000567824300001</t>
  </si>
  <si>
    <t>Quinlivan, L; Chapman, DV; Sullivan, T</t>
  </si>
  <si>
    <t>Quinlivan, Lauren; Chapman, Deborah V.; Sullivan, Timothy</t>
  </si>
  <si>
    <t>Validating citizen science monitoring of ambient water quality for the United Nations sustainable development goals</t>
  </si>
  <si>
    <t>SDG 6; Capacity development; Volunteer monitoring; Water quality monitoring; SDG Indicator 6.3.2</t>
  </si>
  <si>
    <t>PARTICIPATION; SCIENTISTS; VOLUNTEERS; PHOSPHORUS</t>
  </si>
  <si>
    <t>Citizen science (CS) may be described as research carried out by members of the public with the aim of gathering scientific information for the purpose of aiding in scientific projects. It has many potential advantages, including data collection at a scale not possible by professional scientists alone. The United Nations (UN) has recently recognized citizen science as a potential source of data that may contribute to the UN Sustainable Development Goals (SDGs). The availability of relatively inexpensive water quality monitoring field equipment suitable for CS suggests great potential for increased spatial coverage far beyond that of traditional, laboratory-based monitoring networks for water quality. In support of work towards the achievement of Sustainable Development Goal 6: Clean Water and Sanitation, this study tested the use of such field equipment by citizen scientists for SDG Indicator 6.3.2: Proportion of bodies of water with good ambient water quality. Data generated by 26 citizen scientists were compared with the results produced by an accredited laboratory. The results compared well for most parameters, suggesting that citizen science may be able to contribute towards monitoring ambient water quality for the Sustainable Development Goals. (C) 2019 Elsevier B.V. All rights reserved.</t>
  </si>
  <si>
    <t>[Quinlivan, Lauren; Chapman, Deborah V.; Sullivan, Timothy] Univ Coll Cork, Sch Biol Earth &amp; Environm Sci, Cork, Ireland; [Sullivan, Timothy] Univ Coll Cork, Environm Res Inst, Cork T23 XE10, Ireland; [Quinlivan, Lauren; Chapman, Deborah V.] Univ Coll Cork, Environm Res Inst, UN Environm GEMS Water Capac Dev Ctr, Cork, Ireland</t>
  </si>
  <si>
    <t>University College Cork; University College Cork; University College Cork</t>
  </si>
  <si>
    <t>Chapman, DV (corresponding author), Environm Res Inst, UN Environm GEMS Water Capac Dev Ctr, Lee Rd, Cork T23 XE10, Ireland.</t>
  </si>
  <si>
    <t>d.chapman@ucc.ie</t>
  </si>
  <si>
    <t>Sullivan, Timothy/0000-0002-1093-0602</t>
  </si>
  <si>
    <t>University College Cork Centre for Global Development</t>
  </si>
  <si>
    <t>We thank the University College Cork Centre for Global Development for providing Lauren Quinliven with a Scholarship for the research, and Earthwatch for technical support, in particular Stephen Parkinson at Earthwatch FreshWater Watch (UK) for his assistance with designing and organizing the research project. The efforts of our young citizen scientists were greatly appreciated, and special thanks must also be given to Marian O'Gorman, Clare Quinlivan, Cornelius Quinlivan and Jim O'Brien at St. Brendan's College, Killarney for their help in implementing the research study. We thank Michael Cronin of the School of Mathematical Sciences, University College Cork, for his oversight on the design of the study and analysis of data, as well as Stuart Warner and Patrick Cross of UN Environment GEMS/Water Capacity Development Centre for support with the design of the study and for documenting and publicizing the study as part of World Water Day 2019, respectively.</t>
  </si>
  <si>
    <t>10.1016/j.scitotenv.2019.134255</t>
  </si>
  <si>
    <t>JS8WY</t>
  </si>
  <si>
    <t>Green Submitted, Bronze</t>
  </si>
  <si>
    <t>WOS:000500583400038</t>
  </si>
  <si>
    <t>Corrales, C; Bacela-Spychalska, K; Buzan, E; Ekrem, T; Ferreira, S; Goodall-Copestake, W; Kloeke, EV; Hollingsworth, PM; Bourlat, SJ</t>
  </si>
  <si>
    <t>Corrales, Carolina; Bacela-Spychalska, Karolina; Buzan, Elena; Ekrem, Torbjorn; Ferreira, Sonia; Goodall-Copestake, William; van Ommen Kloeke, Elaine; Hollingsworth, Peter M.; Bourlat, Sarah J.</t>
  </si>
  <si>
    <t>The Role of Community Science in DNA-Based Biodiversity Monitoring</t>
  </si>
  <si>
    <t>MOLECULAR ECOLOGY</t>
  </si>
  <si>
    <t>biodiversity monitoring; community science; DNA-based methods; hobby experts</t>
  </si>
  <si>
    <t>CITIZEN SCIENCE; CONSERVATION; EDUCATION; PROGRAM; CREDIT; EDNA</t>
  </si>
  <si>
    <t>The mutual interest in nature by the general public and scientists has led to many collaborations, past and present. Community science shows great potential for monitoring species occurrences and distributions, especially in combination with scalable and (semi)-automated methods such as DNA-based monitoring, helping to obtain data from a broader geographic and temporal range than would be possible by the scientific community alone. Here, we present an overview of the complementarity between community science and DNA-based biomonitoring through examples from ongoing projects. The involvement of hobby experts is particularly crucial for building up the necessary species reference databases that enable DNA-based monitoring. Based on this overview, we identify some key points related to learning opportunities and participant recognition to maximise the success, impact and benefit of community participants in DNA-based monitoring.</t>
  </si>
  <si>
    <t>[Corrales, Carolina; Bourlat, Sarah J.] Leibniz Inst Anal Biodivers Change, Museum Koenig Bonn, Ctr Biodivers Monitoring &amp; Conservat Res, Bonn, Germany; [Bacela-Spychalska, Karolina] Univ Lodz, Dept Invertebrate Zool &amp; Hydrobiol, Lodz, Poland; [Buzan, Elena] Univ Primorska, Fac Math Nat Sci &amp; Informat Technol, Koper, Slovenia; [Buzan, Elena] Fac Environm Protect, Velenje, Slovenia; [Ekrem, Torbjorn] Norwegian Univ Sci &amp; Technol, NTNU Univ Museum, Dept Nat Hist, Trondheim, Norway; [Ferreira, Sonia] Univ Porto, Ctr Invest Biodiversidade &amp; Recursos Genet, InBIO Lab Associado, CIBIO, Campus Vairao, Vairao, Portugal; [Ferreira, Sonia] CIBIO, BIOPOLIS Program Genom Biodivers &amp; Land Planning, Campus Vairao, Vairao, Portugal; [Goodall-Copestake, William; Hollingsworth, Peter M.] Royal Bot Garden Edinburgh, Edinburgh, Scotland; [van Ommen Kloeke, Elaine] Nat Biodivers Ctr, Leiden, Netherlands</t>
  </si>
  <si>
    <t>University of Lodz; University of Primorska; Norwegian University of Science &amp; Technology (NTNU); Universidade do Porto; Universidade do Porto; Naturalis Biodiversity Center</t>
  </si>
  <si>
    <t>Bourlat, SJ (corresponding author), Leibniz Inst Anal Biodivers Change, Museum Koenig Bonn, Ctr Biodivers Monitoring &amp; Conservat Res, Bonn, Germany.</t>
  </si>
  <si>
    <t>s.bourlat@leibniz-lib.de</t>
  </si>
  <si>
    <t>Ferreira, Sonia/L-7141-2013; Bacela-Spychalska, Karolina/E-4234-2015; Ekrem, Torbjørn/AAC-4087-2021; Bourlat, Sarah/AAR-2251-2020</t>
  </si>
  <si>
    <t>Ferreira, Sonia/0000-0002-6884-3966; Hollingsworth, Peter/0000-0003-0602-0654; Bacela-Spychalska, Karolina/0000-0003-4498-5107; Goodall-Copestake, Will/0000-0003-3586-9091; Bourlat, Sarah/0000-0003-0218-0298</t>
  </si>
  <si>
    <t>UK Research and Innovation</t>
  </si>
  <si>
    <t>UK Research and Innovation(UK Research &amp; Innovation (UKRI))</t>
  </si>
  <si>
    <t>This work was supported by HORIZON EUROPE Framework Programme (grant no. 101059492); co-funded by the Staatssekretariat fuer Bildung, Forschung und Innovation under contract numbers 22.00173 and 24.00054 and by the UK Research and Innovation (UKRI) under the Department for Business, Energy and Industrial Strategy's Horizon Europe Guarantee Scheme. S.F. was funded by the FCT through the program 'Stimulus of Scientific Employment, Individual Support-3rd Edition' (https://doi.org/10.54499/2020.03526.CEECIND/CP1601/CP1649/CT0007). ARISE (Authoritative and Rapid Identification System for Essential Biodiversity Information) is a joint project between Naturalis Biodiversity Center, the University of Amsterdam, the Westerdijk Fungal Biodiversity Institute and the University of Twente. It was made possible by a subsidy from the Dutch Research Council (NWO) as part of its National Roadmap for Large-Scale Scientific Infrastructure programme (grant number 2020/ENW/00901156).</t>
  </si>
  <si>
    <t>0962-1083</t>
  </si>
  <si>
    <t>1365-294X</t>
  </si>
  <si>
    <t>MOL ECOL</t>
  </si>
  <si>
    <t>Mol. Ecol.</t>
  </si>
  <si>
    <t>e70100</t>
  </si>
  <si>
    <t>10.1111/mec.70100</t>
  </si>
  <si>
    <t>Biochemistry &amp; Molecular Biology; Ecology; Evolutionary Biology</t>
  </si>
  <si>
    <t>Biochemistry &amp; Molecular Biology; Environmental Sciences &amp; Ecology; Evolutionary Biology</t>
  </si>
  <si>
    <t>7ZI8B</t>
  </si>
  <si>
    <t>WOS:001571130300001</t>
  </si>
  <si>
    <t>Bota, G; Traba, J; Sardà-Palomera, F; Giralt, D; Pérez-Granados, C</t>
  </si>
  <si>
    <t>Bota, Gerard; Traba, Juan; Sarda-Palomera, Francesc; Giralt, David; Perez-Granados, Cristian</t>
  </si>
  <si>
    <t>Acoustic monitoring of diurnally migrating European Bee-eaters agrees with data derived from citizen science</t>
  </si>
  <si>
    <t>ARDEA</t>
  </si>
  <si>
    <t>ARUs; automated recognition; citizen science; Merops apiaster; migration; Ornitho; Vocal Activity Rate</t>
  </si>
  <si>
    <t>MEROPS-APIASTER; SOARING BIRDS; FLIGHT CALLS; COUNTS; POPULATIONS; PERFORMANCE; PHENOLOGY; DYNAMICS; POINT; EBIRD</t>
  </si>
  <si>
    <t>The use of Autonomous Recording Units (ARUs) for wildlife monitoring has increased in recent years. Acoustic monitoring has been used for a wide range of research topics, but it has rarely been used for monitoring wildlife migrations. In this work we evaluate the use of acoustic monitoring to characterise the diurnal migration pattern of a bird species, the European Bee-eater Merops apiaster. We set up 3-4 acoustic monitoring stations daily from 11 August to 21 September 2017 in north-eastern Spain, during post-breeding migration of the species. We used the Vocal Activity Rate (VAR), defined as the number of calls per unit time, as an index of Bee-eater abundance to describe the daily and seasonal migration pattern of the species. We also assessed the relationship between daily mean VAR estimated by ARUs, with citizen science data uploaded to the platform Ornitho.cat over a large spatial scale. According to mean VAR, intensity of migration increased weekly until the last week of August when it peaked, with species abundance decreasing to the lowest values in the study area by late September. A significantly higher number of calls was detected in the first and last hours of the day. Our results agree with previously published seasonal and daily migration patterns described for the species. VAR was significantly, positively correlated with the percentage of citizen science records of Bee-eater uploaded to complete checklists, used as an independent source to compare migration timing. Overall, our results, validated through citizen science data, show that acoustic monitoring can effectively provide complementary data for monitoring the bird migration of vocally active species. The use of ARUs may help to improve our understanding of migratory behaviour and be useful for a wide range of purposes.</t>
  </si>
  <si>
    <t>[Bota, Gerard; Sarda-Palomera, Francesc; Giralt, David] Forest Sci &amp; Technol Ctr Catalonia CTFC, Landscape Dynam &amp; Biodivers Programme, Solsona, Catalonia, Spain; [Traba, Juan; Perez-Granados, Cristian] Univ Autonoma Madrid, Dept Ecol, Terr Ecol Grp TEG UAM, Madrid, Spain; [Traba, Juan] Univ Autonoma Madrid CIBC UAM, Ctr Invest Biodiversidad &amp; Cambio Global, Madrid, Spain; [Perez-Granados, Cristian] Fed Univ Mato Grosso UFMT, Natl Inst Sci &amp; Technol Wetlands INAU, Computat Bioacoust Res Unit COBRA, Cuiaba, Mato Grosso, Brazil</t>
  </si>
  <si>
    <t>Autonomous University of Madrid; Universidade Federal de Mato Grosso do Sul; Universidade Federal de Mato Grosso</t>
  </si>
  <si>
    <t>Bota, G (corresponding author), Forest Sci &amp; Technol Ctr Catalonia CTFC, Landscape Dynam &amp; Biodivers Programme, Solsona, Catalonia, Spain.</t>
  </si>
  <si>
    <t>gerard.bota@ctfc.cat</t>
  </si>
  <si>
    <t>Giralt, David/ABG-6410-2020; Pérez-Granados, Cristian/W-8387-2018; Bota, Gerard/E-3921-2014; Traba, Juan/D-9191-2012</t>
  </si>
  <si>
    <t>Giralt, David/0000-0001-9712-1957; Pérez-Granados, Cristian/0000-0003-3247-4182; Bota Cabau, Gerard/0000-0001-9020-7272; Sardà-Palomera, Francesc/0000-0002-3121-9182;</t>
  </si>
  <si>
    <t>Department of Territory and Sustainability of the Generalitat de Catalunya</t>
  </si>
  <si>
    <t>European Bee-eater monitoring was funded by the Department of Territory and Sustainability of the Generalitat de Catalunya. We thank Joan Rodriguez, Marc Perez Osanz and Josetxo Rodriguez who contributed significantly to the Bee-eater fieldwork, as well as Nuria Pou and Ana Sanz-Perez for data preparation/analysis support. We also wish to thank Josep Albarracin for his close collaboration and technical support, and the Catalan Institute of Ornithology and David Marti who provided citizen science data from the Ornitho.cat platform. Finally, we would like to thank all the birders that uploaded their observations to Ornitho.cat as well as the beekeepers who gave us the opportunity to work at their hives. Sean Ronayne helped us with the English review. Comments from two anonymous reviewers provided significant improvements to the manuscript.</t>
  </si>
  <si>
    <t>NEDERLANDSE ORNITHOLOGISCHE UNIE</t>
  </si>
  <si>
    <t>ZEIST</t>
  </si>
  <si>
    <t>C/O PAUL STARMANS, OUDE ARNHEMSEWEG 261, 3705 BD ZEIST, NETHERLANDS</t>
  </si>
  <si>
    <t>0373-2266</t>
  </si>
  <si>
    <t>2213-1175</t>
  </si>
  <si>
    <t>Ardea</t>
  </si>
  <si>
    <t>10.5253/arde.v108i2.a3</t>
  </si>
  <si>
    <t>PG9SZ</t>
  </si>
  <si>
    <t>WOS:000600067400004</t>
  </si>
  <si>
    <t>Bishop, IJ; Warner, S; van Noordwijk, TCGE; Nyoni, FC; Loiselle, S</t>
  </si>
  <si>
    <t>Bishop, Isabel J.; Warner, Stuart; van Noordwijk, Toos C. G. E.; Nyoni, Frank C.; Loiselle, Steven</t>
  </si>
  <si>
    <t>Citizen Science Monitoring for Sustainable Development Goal Indicator 6.3.2 in England and Zambia</t>
  </si>
  <si>
    <t>sustainable development goals; citizen science; indicator 6; 3; 2 ambient water quality; freshwater watch</t>
  </si>
  <si>
    <t>Citizen science has the potential to support the delivery of the United Nations Sustainable Development Goals (SDGs) through its integration into national monitoring schemes. In this study, we explored the opportunities and biases of citizen science (CS) data when used either as a primary or secondary source for SDG 6.3.2 reporting. We used data from waterbodies with both CS and regulatory monitoring in England and Zambia to explore their biases and complementarity. A comparative analysis of regulatory and CS data provided key information on appropriate sampling frequency, site selection, and measurement parameters necessary for robust SDG reporting. The results showed elevated agreement for pass/fail ratios and indicator scores for English waterbodies (80%) and demonstrated that CS data improved for granularity and spatial coverage for SDG indicator scoring, even when extensive statutory monitoring programs were present. In Zambia, management authorities are actively using citizen science projects to increase spatial and temporal coverage for SDG reporting. Our results indicate that design considerations for SDG focused citizen science can address local needs and provide a more representative indicator of the state of a nation's freshwater ecosystems for international reporting requirements.</t>
  </si>
  <si>
    <t>[Bishop, Isabel J.; van Noordwijk, Toos C. G. E.; Loiselle, Steven] Earthwatch Europe, Oxford OX2 7DE, England; [Warner, Stuart] Univ Coll Cork, United Nat Environm Programme, GEMS Water Capac Dev Ctr, Sch Biol Earth &amp; Environm Sci, Cork T23 XE10, Ireland; [Warner, Stuart] Univ Coll Cork, Environm Res Inst, Cork T23 XE10, Ireland; [Nyoni, Frank C.] Water Resources Management Author WARMA, Lusaka 10101, Zambia</t>
  </si>
  <si>
    <t>University College Cork; University College Cork</t>
  </si>
  <si>
    <t>Bishop, IJ (corresponding author), Earthwatch Europe, Oxford OX2 7DE, England.</t>
  </si>
  <si>
    <t>ibishop@earthwatch.org.uk; s.warner@ucc.ie; tvnoordwijk@earthwatch.org.uk; fcnj8p@yahoo.com; sloiselle@earthwatch.org.uk</t>
  </si>
  <si>
    <t>Loiselle, Steven/ABA-3324-2020</t>
  </si>
  <si>
    <t>Warner, Stuart/0000-0002-2626-2784</t>
  </si>
  <si>
    <t>project COS4CLOUD - European Union's Horizon 2020 research and innovation program [863463]</t>
  </si>
  <si>
    <t>project COS4CLOUD - European Union's Horizon 2020 research and innovation program</t>
  </si>
  <si>
    <t>The research described in this paper is partly supported by the project COS4CLOUD, which has received funding from the European Union's Horizon 2020 research and innovation program under grant agreement No 863463. The opinions expressed in it are those of the authors and not necessarily those of the COS4CLOUD partners or the European Commission.</t>
  </si>
  <si>
    <t>10.3390/su122410271</t>
  </si>
  <si>
    <t>PL7PV</t>
  </si>
  <si>
    <t>WOS:000603309800001</t>
  </si>
  <si>
    <t>Becken, S; Connolly, RM; Chen, JY; Stantic, B</t>
  </si>
  <si>
    <t>Becken, Susanne; Connolly, Rod M.; Chen, Jinyan; Stantic, Bela</t>
  </si>
  <si>
    <t>A hybrid is born: Integrating collective sensing, citizen science and professional monitoring of the environment</t>
  </si>
  <si>
    <t>Citizen science; Collective sensing; Monitoring; Hybrid system; Coral; Great barrier reef</t>
  </si>
  <si>
    <t>SOCIAL MEDIA; TWITTER; INFORMATION</t>
  </si>
  <si>
    <t>Including members of the public in the development of effective environmental monitoring systems is gaining traction. This research assesses the potential for a hybrid monitoring system for the case of coral at the Great Barrier Reef. Based on a review of citizen-derived data sources, the paper first develops a framework and then populates it with five datasets. These are then compared based on data volumes, type of data, spatial coverage, and bleaching patterns. The results reveal the inherent difficulties - both in terms of quantity and quality - for collective sensing data (Twitter in this case) and more structured human sensors approaches (Eye on the Reef Sightings). However, more targeted approaches, such as CoralWatch and tourism-operator based data collection, emerged as important contributors to information generation on the state of coral. Citizen-based data that either deliver a high data density per location, a wide geographic coverage, or regular observations over time are particularly valuable. Recommendations are made for developing a hybrid monitoring system that integrates citizen-derived with professionally collected data.</t>
  </si>
  <si>
    <t>[Becken, Susanne; Chen, Jinyan] Griffith Univ, Griffith Inst Tourism, Griffith Business Sch, Gold Coast, Qld 4222, Australia; [Connolly, Rod M.] Griffith Univ, Australian Rivers Inst Coast &amp; Estuaries, Gold Coast, Qld 4222, Australia; [Connolly, Rod M.] Griffith Univ, Sch Environm &amp; Sci, Gold Coast, Qld 4222, Australia; [Stantic, Bela] Griffith Univ, Griffith Sci, Inst Integrated &amp; Intelligent Syst, Gold Coast, Qld 4222, Australia; [Becken, Susanne] Univ Surrey, Sch Hospitality &amp; Tourism Management, Guildford, Surrey, England</t>
  </si>
  <si>
    <t>Griffith University; Griffith University; Griffith University; Griffith University; University of Surrey</t>
  </si>
  <si>
    <t>Becken, S (corresponding author), Griffith Univ, Griffith Inst Tourism, Griffith Business Sch, Gold Coast, Qld 4222, Australia.;Becken, S (corresponding author), Univ Surrey, Sch Hospitality &amp; Tourism Management, Guildford, Surrey, England.</t>
  </si>
  <si>
    <t>s.becken@griffith.edu.au</t>
  </si>
  <si>
    <t>Chen, Jinyan/GPC-4917-2022; Connolly, Rod/C-4094-2008; Becken, Susanne/AFK-2875-2022</t>
  </si>
  <si>
    <t>Chen, Jinyan/0000-0001-5986-977X; Connolly, Rod/0000-0001-6223-1291;</t>
  </si>
  <si>
    <t>National Environment Science Program (NESP) fund, within the Tropical Water Quality Hub [2.3.2]</t>
  </si>
  <si>
    <t>National Environment Science Program (NESP) fund, within the Tropical Water Quality Hub</t>
  </si>
  <si>
    <t>This project was funded through a National Environment Science Program (NESP) fund, within the Tropical Water Quality Hub (Project No: 2.3.2). We would also like to thank GBRMPA for providing us with their data, and we also greatly appreciate CoralWatch's collaboration in sharing their data.</t>
  </si>
  <si>
    <t>10.1016/j.ecoinf.2019.05.001</t>
  </si>
  <si>
    <t>IF3ML</t>
  </si>
  <si>
    <t>WOS:000472984800005</t>
  </si>
  <si>
    <t>Mazariegos-Ortíz, C; Quintanilla, R; Delvalle-Borrero, D; Amaya-Monterrosa, O; Xajil-Sabán, M</t>
  </si>
  <si>
    <t>Mazariegos-Ortiz, Carlos; Quintanilla, Rebeca; Delvalle-Borrero, Denise; Amaya-Monterrosa, Oscar; Xajil-Saban, Marvin</t>
  </si>
  <si>
    <t>Central American academics create a research network and monitor marine litter by applying citizen science</t>
  </si>
  <si>
    <t>ECOSISTEMAS</t>
  </si>
  <si>
    <t>Spanish</t>
  </si>
  <si>
    <t>[Mazariegos-Ortiz, Carlos; Xajil-Saban, Marvin] Univ San Carlos, Ctr Estudios Mar &amp; Acuicultura, Ciudad Univ,Zona 12,Edificio T14, Guatemala City 01012, Guatemala; [Quintanilla, Rebeca; Amaya-Monterrosa, Oscar] Univ El Salvador, Fac Ciencias Nat &amp; Matemat, Lab Toxinas Marinas, Final Ave Martires &amp; Heroes 30 Julio,CP 1101, San Salvador, El Salvador; [Delvalle-Borrero, Denise] Univ Tecnol Panama, Lab Microplast, Ave Univ Tecnol,Campus Victor Levi Sasso, El Dorado, Panama</t>
  </si>
  <si>
    <t>Universidad de San Carlos de Guatemala; Universidad de El Salvador; Universidad Tecnologica de Panama</t>
  </si>
  <si>
    <t>Mazariegos-Ortíz, C (corresponding author), Univ San Carlos, Ctr Estudios Mar &amp; Acuicultura, Ciudad Univ,Zona 12,Edificio T14, Guatemala City 01012, Guatemala.</t>
  </si>
  <si>
    <t>carlosmaza07@profesor.usac.edu.gt</t>
  </si>
  <si>
    <t>; Mazariegos-Ortíz, Carlos/NTQ-7866-2025; Delvalle-Borrero, Denise/MOY-8756-2025</t>
  </si>
  <si>
    <t>Xajil-Sabán, Marvin/0000-0003-3011-9929; Delvalle-Borrero, Denise/0000-0002-7696-9710</t>
  </si>
  <si>
    <t>ASOCIACION ESPANOLA ECOLOGIA TERRESTRE</t>
  </si>
  <si>
    <t>MOSTOLES</t>
  </si>
  <si>
    <t>C/ TULIPSAN S-N, DEPT BIOLOGIA &amp; GEOLOGIA, UNIV REY JUAN CARLOS, MOSTOLES, 28933, SPAIN</t>
  </si>
  <si>
    <t>1697-2473</t>
  </si>
  <si>
    <t>Ecosistemas</t>
  </si>
  <si>
    <t>MAY-AUG</t>
  </si>
  <si>
    <t>10.7818/ECOS.2397</t>
  </si>
  <si>
    <t>3F8DE</t>
  </si>
  <si>
    <t>WOS:000830892100009</t>
  </si>
  <si>
    <t>Dwivedi, AK</t>
  </si>
  <si>
    <t>Dwivedi, Arvind Kumar</t>
  </si>
  <si>
    <t>Role of digital technology in freshwater biodiversity monitoring through citizen science during COVID-19 pandemic</t>
  </si>
  <si>
    <t>RIVER RESEARCH AND APPLICATIONS</t>
  </si>
  <si>
    <t>citizen science; COVID-19; digital technology; freshwater biodiversity monitoring</t>
  </si>
  <si>
    <t>ENVIRONMENT; CHALLENGES</t>
  </si>
  <si>
    <t>Citizen Science plays a vital role in monitoring biodiversity. However, it has been challenging for scientists to interact with citizens involved in biodiversity monitoring during the COVID-19 pandemic. In such circumstances, digital technology can serve as a tool for biodiversity monitoring through the cooperation between citizens and scientists. Trained volunteers can share ecological data, photographs, and videos of the species, and disturbances within ecosystems, due to anthropological activities through various digital platforms, such as Email, WhatsApp, Facebook, Twitter, and mobile apps designed for this purpose. The Wildlife Institute of India has taken the initiative by launching an android app Ganga Data Collector and Facebook pages Glimpses of Ganga and Ganga Rejuvenation as part of the Biodiversity Conservation and Ganga Rejuvenation project with an objective to monitor the biodiversity of the Ganga River involving the local community known as Guardians of the Ganga or Ganga Prahari. These trained volunteers can share photos and videos of recorded species, their mortality and rescue operations along with water quality data and prohibited activities like illegal fishing and habitat degradation due to pollution and mining. Professionals around the world employed in freshwater biodiversity monitoring could follow the same strategy to overcome the present COVID-19 pandemic crisis and prepare to monitor biodiversity during future lock-downs.</t>
  </si>
  <si>
    <t>[Dwivedi, Arvind Kumar] Wildlife Inst India, Dept Habitat Ecol, Dehra Dun 248001, Uttarakhand, India</t>
  </si>
  <si>
    <t>Wildlife Institute of India</t>
  </si>
  <si>
    <t>Dwivedi, AK (corresponding author), Wildlife Inst India, Dept Habitat Ecol, Dehra Dun 248001, Uttarakhand, India.</t>
  </si>
  <si>
    <t>arvindbio@rediffmail.com</t>
  </si>
  <si>
    <t>Dwivedi, Arvind/AAP-9727-2020</t>
  </si>
  <si>
    <t>Dwivedi, Arvind/0000-0003-4407-5752</t>
  </si>
  <si>
    <t>1535-1459</t>
  </si>
  <si>
    <t>1535-1467</t>
  </si>
  <si>
    <t>RIVER RES APPL</t>
  </si>
  <si>
    <t>River Res. Appl.</t>
  </si>
  <si>
    <t>10.1002/rra.3820</t>
  </si>
  <si>
    <t>UM4LV</t>
  </si>
  <si>
    <t>WOS:000656092800001</t>
  </si>
  <si>
    <t>Neate-Clegg, MHC; Horns, JJ; Adler, FR; Aytekin, MÇK; Sekercioglu, ÇH</t>
  </si>
  <si>
    <t>Neate-Clegg, Montague H. C.; Horns, Joshua J.; Adler, Frederick R.; Aytekin, M. Cisel Kemahli; Sekercioglu, Cagan H.</t>
  </si>
  <si>
    <t>Monitoring the world's bird populations with community science data</t>
  </si>
  <si>
    <t>Avian ecology; Citizen science; Ornithology; Population trends; Threat status; Tropical biology</t>
  </si>
  <si>
    <t>CITIZEN-SCIENCE; CONSERVATION; EBIRD; DECLINES; URBAN</t>
  </si>
  <si>
    <t>Systematic monitoring of species across their geographic ranges is a critical part of conservation but it is resource-intensive, costly, and difficult to organize and maintain in the long-term. Large-scale community science programs like eBird may improve our ability to monitor bird populations, particularly in tropical regions where formal studies are lacking. Here, we estimated population trends for nearly 9000 bird species using global eBird birdwatching data and compared our trends to the population trends designated by BirdLife International. We calculated the rate of agreement between eBird and BirdLife trends and examined the effects of latitudinal affiliation, threat status, number of eBird checklists, eBird trend, BirdLife trend and BirdLife trend derivation on the rate of agreement. We also used a randomization approach to compare observed rates of agreement with the rates of agreement expected by chance alone. We show that the rate of agreement was marginally better than expected by chance and improved significantly for temperate region species of Least Concern with more checklists, and species that eBird or BirdLife identified as increasing. Our results suggest that eBird data are not currently adequate for monitoring populations of the majority of the world's bird species, especially in the developing world where systematic surveys are essential. Increased local participation in community science initiatives like eBird may improve our ability to effectively monitor species. Furthermore, it is important to assess the accuracy of BirdLife trends and the manner in which they are derived, especially for species where BirdLife and eBird data trends disagree.</t>
  </si>
  <si>
    <t>[Neate-Clegg, Montague H. C.; Horns, Joshua J.; Adler, Frederick R.; Sekercioglu, Cagan H.] Univ Utah, Sch Biol Sci, 257 South 1400 East, Salt Lake City, UT 84112 USA; [Adler, Frederick R.] Univ Utah, Dept Math, 155 South 1400 East, Salt Lake City, UT 84112 USA; [Aytekin, M. Cisel Kemahli; Sekercioglu, Cagan H.] Koc Univ, Dept Mol Biol &amp; Genet, Istanbul, Turkey</t>
  </si>
  <si>
    <t>Utah System of Higher Education; University of Utah; Utah System of Higher Education; University of Utah; Koc University</t>
  </si>
  <si>
    <t>Neate-Clegg, MHC (corresponding author), Univ Utah, Salt Lake City, UT 84112 USA.</t>
  </si>
  <si>
    <t>monte.neate-clegg@utah.edu</t>
  </si>
  <si>
    <t>Şekercioğlu, Çağan H/A-2331-2013; KEMAHLI AYTEKİN, M ÇİSEL/IWU-5786-2023</t>
  </si>
  <si>
    <t>Şekercioğlu, Çağan H/0000-0003-3193-0377; KEMAHLI AYTEKİN, M ÇİSEL/0000-0002-6908-7568</t>
  </si>
  <si>
    <t>University of Utah Graduate Research Fellowship</t>
  </si>
  <si>
    <t>University of Utah Graduate Research Fellowship(University of Utah)</t>
  </si>
  <si>
    <t>We are grateful to Evan Buechley, Mark Chynoweth, Robert Greenhalgh, James Ruff, Emily Sorensen, and Anna Vickrey for their technical help and creative guidance, and to dozens of volunteers and students, especially Evan Buechley, Jason Socci, David Blount, John Jackson, Sherron Bullens, Debbie Fisher, David Hayes, Beth Karpas, Kathleen McMullen and Burak Over, for their dedicated help with our world bird ecology database. We are grateful to the University of Utah Graduate Research Fellowship for providing funding. We thank Batubay Ozkan and Barbara Watkins for their generous support, the staff of the Center for High Performance Computing, University of Utah, for their help in implementing computational resources, and the millions of birdwatchers and other community scientists whose dedicated contributions to eBird and other growing citizen science datasets make many studies like this possible and improve our ability to conserve biodiversity. We also thank BirdLife International for their critical bird conservation work and the Cornell Lab of Ornithology's dedicated eBird team for creating and maintaining eBird, and for making this phenomenal citizen science dataset available to the public.</t>
  </si>
  <si>
    <t>10.1016/j.biocon.2020.108653</t>
  </si>
  <si>
    <t>MW1ZL</t>
  </si>
  <si>
    <t>WOS:000556843900024</t>
  </si>
  <si>
    <t>Hsu, CH; Fang, WT; Chiu, HK; Jiang, BR; Huang, TS</t>
  </si>
  <si>
    <t>Hsu, Chia-Hsuan; Fang, Wei-Ta; Chiu, Hung-Kai; Jiang, Bing-Rong; Huang, Tsung-Shun</t>
  </si>
  <si>
    <t>Coastal citizen science monitoring and suggested conservation strategy: ghost crab survey at Suao Dakenggu, Taiwan</t>
  </si>
  <si>
    <t>JOURNAL OF COASTAL CONSERVATION</t>
  </si>
  <si>
    <t>Coastal monitoring; Citizen science; Community-based monitoring; Ghost crabs; Taiwan</t>
  </si>
  <si>
    <t>OCYPODE-QUADRATA FABRICIUS; SANDY BEACHES; PREDATION; INVERTEBRATES; CORDIMANUS; TOURISM; IMPACT; WATER</t>
  </si>
  <si>
    <t>Beaches provide a buffer zone between the sea and the land, which mitigates the impact of natural hazards on waterfront residents. In this study, the beach at the Dakenggu community in Suao Township, Yilan, was used as a long-term monitoring site for ghost crabs. The survey was conducted by researchers in collaboration with local residents, which can be considered community-based citizen science. In collaboration, researchers and residents conducted monthly surveys. The findings showed that Ocypode sinensis was a dominant species on the Dakenggu beach. Juvenile O. sinensis were more abundant in the spring (April) and the summer (July-September). Except in September, no sex predominance was observed in other months, which may be related to the breeding period of the crabs. As far as other data are concerned, O. sinensis females were significantly larger than males, and O. sinensis occurrences exhibited a significant positive correlation with temperature and a significant negative correlation with relative humidity when weather data for the survey days were analyzed. Multiple studies have shown that the ghost crab population is highly affected by offroad vehicle use on the beach. As a result, local residents can use the findings of this study to develop corresponding conservation strategies, such as permitting off-road vehicle use only in the winter (November-February) and planting coastal plants as natural barriers to prevent vehicles from destroying ghost crab habitat. Long-term environmental monitoring through community-based citizen science can document changes in the local environment, and such information can be the basis for increased community resilience to face the challenges posed by environmental change.</t>
  </si>
  <si>
    <t>[Hsu, Chia-Hsuan; Huang, Tsung-Shun] Taiwan Assoc Marine Environm Educ, Taipei 112, Taiwan; [Hsu, Chia-Hsuan] Natl Inst Environm Studies, Biodivers Div, Mito, Ibaraki 3058506, Japan; [Fang, Wei-Ta; Huang, Tsung-Shun] Natl Taiwan Normal Univ, Grad Inst Sustainabil Management &amp; Environm Educ, Taipei 116, Taiwan; [Chiu, Hung-Kai] Dakenggu Community Dev Assoc, Yilan 270, Taiwan; [Jiang, Bing-Rong] Natl Sun Yat sen Univ, Kaohsiung 804, Taiwan</t>
  </si>
  <si>
    <t>National Taiwan Normal University; National Sun Yat Sen University</t>
  </si>
  <si>
    <t>Hsu, CH; Huang, TS (corresponding author), Taiwan Assoc Marine Environm Educ, Taipei 112, Taiwan.;Hsu, CH (corresponding author), Natl Inst Environm Studies, Biodivers Div, Mito, Ibaraki 3058506, Japan.;Huang, TS (corresponding author), Natl Taiwan Normal Univ, Grad Inst Sustainabil Management &amp; Environm Educ, Taipei 116, Taiwan.</t>
  </si>
  <si>
    <t>johnson20535@hotmail.com; wtfang@ntnu.edu.tw; lanvoobear@gmail.com; robert20647@gmail.com; hunzun@tamee.org</t>
  </si>
  <si>
    <t>Hsu, Chia-Hsuan/HZL-5391-2023</t>
  </si>
  <si>
    <t>Hsu, Chia-Hsuan/0000-0002-5128-5902</t>
  </si>
  <si>
    <t>Urban Intertidal Company; Eaton Phoenixtec MMPL Co., Ltd; Taiwan Association for Marine Environmental Education</t>
  </si>
  <si>
    <t>We want to thank Mr. Chin-Ti Lin for helping with the drone-based map and Mr. Wei-Cheng Kao for supporting the survey. We thank Urban Intertidal Company, Eaton Phoenixtec MMPL Co., Ltd, and Taiwan Association for Marine Environmental Education for supporting this research. We also appreciate Yilan County Government, Luodong Forest District Office, Forestry Bureau, and all the residents of Dakenggu Community giving us great support for this research. Finally, we want to thank our dear friend, Chao-Wei Kuo, for all the help in arranging the project. We hope he is enjoying his beloved ocean in the afterlife and resting in peace.</t>
  </si>
  <si>
    <t>1400-0350</t>
  </si>
  <si>
    <t>1874-7841</t>
  </si>
  <si>
    <t>J COAST CONSERV</t>
  </si>
  <si>
    <t>J. Coast. Conserv.</t>
  </si>
  <si>
    <t>10.1007/s11852-024-01063-0</t>
  </si>
  <si>
    <t>Biodiversity Conservation; Environmental Sciences; Marine &amp; Freshwater Biology; Water Resources</t>
  </si>
  <si>
    <t>Biodiversity &amp; Conservation; Environmental Sciences &amp; Ecology; Marine &amp; Freshwater Biology; Water Resources</t>
  </si>
  <si>
    <t>XH5A8</t>
  </si>
  <si>
    <t>WOS:001260793100001</t>
  </si>
  <si>
    <t>Issel, D; Laaha, G; Laimighofer, J; Zaller, J; Zink, R; Dörler, D; Heigl, F</t>
  </si>
  <si>
    <t>Issel, Daniel; Laaha, Gregor; Laimighofer, Johannes; Zaller, Johann G.; Zink, Richard; Dorler, Daniel; Heigl, Florian</t>
  </si>
  <si>
    <t>Urban wildlife monitoring using citizen science suggests that European hedgehogs and badgers select different habitats</t>
  </si>
  <si>
    <t>WEB ECOLOGY</t>
  </si>
  <si>
    <t>MELES-MELES; ERINACEUS-EUROPAEUS; DENSITY; POPULATION; BIODIVERSITY; ECOSYSTEMS; ABUNDANCE; MOVEMENT; ECOLOGY; GARDENS</t>
  </si>
  <si>
    <t>Some wildlife species can successfully adapt to urban environments. To prevent potential conflict of these species with humans or their pets, a better understanding of the presence of urban wildlife is needed. However, traditional monitoring methods are often inadequate because many privately owned properties are inaccessible. In this study, we analyse reports of European hedgehogs (Erinaceus europaeus or E. roumanicus) and badgers (Meles meles) provided by two long-term citizen science projects in the city of Vienna, Austria - stadtwildtiere.at and roadkill.at - to assess habitat preferences and potential ecological interactions. Vienna has a human population of about 2x106 and covers an area of 415 km2, 50 % of which is green space in the form of forests, parks and private gardens. A total of 356 hedgehog and 918 badger sightings were reported between 2012 and 2023. Sightings of both species were positively associated with a mix of sealed/built-up areas and green spaces with meadows and shrubs. However, sightings of both species were negatively associated with arable land, most likely due to the avoidance of open terrain, reduced food availability or simply because both nocturnal species were more difficult to spot on dark arable land. The steeper the slope of a habitat, the fewer hedgehogs were reported, whereas for badgers, a positive correlation between slope and reports was observed in areas with built-up fractions over 15 %. Overall, we observed hardly any hedgehog reports in areas in which badgers were reported. We conclude that citizen science wildlife monitoring can be a good data source to better understand human-wildlife interactions and could therefore be a model for other urban areas and species.</t>
  </si>
  <si>
    <t>[Issel, Daniel; Zaller, Johann G.; Dorler, Daniel; Heigl, Florian] BOKU Univ, Dept Ecosyst Management Climate &amp; Biodivers, A-1180 Vienna, Austria; [Issel, Daniel] Leibniz Inst Zoo &amp; Wildlife Res, Dept Evolutionary Ecol, D-10315 Berlin, Germany; [Laaha, Gregor; Laimighofer, Johannes] BOKU Univ, Dept Nat Sci &amp; Sustainable Resources, A-1190 Vienna, Austria; [Zink, Richard] Univ Vet Med Vienna, Dept Interdisciplinary Life Sci, A-1160 Vienna, Austria</t>
  </si>
  <si>
    <t>BOKU University; Leibniz Institut fur Zoo und Wildtierforschung; BOKU University; University of Veterinary Medicine Vienna</t>
  </si>
  <si>
    <t>Issel, D (corresponding author), BOKU Univ, Dept Ecosyst Management Climate &amp; Biodivers, A-1180 Vienna, Austria.;Issel, D (corresponding author), Leibniz Inst Zoo &amp; Wildlife Res, Dept Evolutionary Ecol, D-10315 Berlin, Germany.</t>
  </si>
  <si>
    <t>daniel.issel@students.boku.ac.at</t>
  </si>
  <si>
    <t>Zaller, Johann/A-9914-2009; Dörler, Daniel/AAF-2573-2019; Heigl, Florian/W-9142-2019; Laaha, Gregor/ABG-3058-2020</t>
  </si>
  <si>
    <t>Citizen science platforms StadtWildTiereWien and Roadkill; City of Vienna; Municipal Department 22 - Environmental Protection in Vienna</t>
  </si>
  <si>
    <t>This research was conducted with the generous support of the citizen science platforms StadtWildTiereWien and Roadkill and the city of Vienna, especially the Municipal Department 22 - Environmental Protection in Vienna.</t>
  </si>
  <si>
    <t>2193-3081</t>
  </si>
  <si>
    <t>1399-1183</t>
  </si>
  <si>
    <t>WEB ECOL</t>
  </si>
  <si>
    <t>Web Ecol.</t>
  </si>
  <si>
    <t>OCT 7</t>
  </si>
  <si>
    <t>10.5194/we-25-177-2025</t>
  </si>
  <si>
    <t>8GM0S</t>
  </si>
  <si>
    <t>WOS:001588098500001</t>
  </si>
  <si>
    <t>Olson, CA; Malakar, A; D'Alessio, M; Schumacher, N; Ray, C; Snow, DD</t>
  </si>
  <si>
    <t>Olson, Chrisopher A.; Malakar, Arindam; D'Alessio, Matteo; Schumacher, Nicole; Ray, Chittaranjan; Snow, Daniel D.</t>
  </si>
  <si>
    <t>Evaluating Youth-Led Citizen Science for Improved Monitoring of Domestic Well Water Quality in Nebraska</t>
  </si>
  <si>
    <t>ACS ES&amp;T WATER</t>
  </si>
  <si>
    <t>domestic wells; water quality; citizen science; education</t>
  </si>
  <si>
    <t>Domestic well water quality is unregulated, infrequently monitored, and increasingly impacted by contamination, which seriously affects safe use for drinking, especially in intensively agricultural states such as Nebraska. In this study, rural Nebraska high school students and teachers who participated in a youth-led educational citizen science project received hands-on training in domestic well water construction, sampling, and vulnerability as well as basic knowledge about groundwater flow and availability. Students independently collected groundwater samples and measured atrazine, nitrate, chloride, calcium hardness, pH, and electrical conductivity using commercial test kits and a multiparameter probe. To evaluate the comparability of student test measurements, replicate samples were collected and tested for the same parameters in a university laboratory. Similarities and differences between student tests and laboratory measurements were expressed in terms of the coefficient of determination (R-2) and the absolute difference in averages (|Delta ave|). A comparison of the results between the youth citizen scientists and laboratory results proved good comparability for many tests while revealing the need for improvement in instruction, calibration, and use of the test probe and kits. Additional parameters measured in the split samples underscore the value of using citizen science sampling for evaluating the vulnerability of domestic well water quality to contamination. In the first three years of student sampling, laboratory results show that nitrate concentrations in over one-quarter of Nebraska domestic wells sampled more than safe levels for drinking water, and many wells sampled have concentrations of geogenic arsenic, manganese, and uranium above drinking water standards. This study shows how youth-led citizen science can improve monitoring coverage, provide data, and integrate local communities to better evaluate and respond to growing concerns over domestic well water quality.</t>
  </si>
  <si>
    <t>[Olson, Chrisopher A.; Malakar, Arindam; D'Alessio, Matteo; Schumacher, Nicole; Ray, Chittaranjan; Snow, Daniel D.] Univ Nebraska, Daugherty Water Food Global Inst, Nebraska Water Ctr, Lincoln, NE 68588 USA; [Olson, Chrisopher A.; Malakar, Arindam; D'Alessio, Matteo; Schumacher, Nicole; Snow, Daniel D.] Univ Nebraska, Sch Nat Resources, 202 Water Sci Lab, Lincoln, NE 68583 USA; [Olson, Chrisopher A.] NOAA, Ctr Coastal &amp; Marine Ecosyst, 1515 S Martin Luther King Jr Blvd 305-D FSH Sci Re, Tallahassee, FL 32307 USA; [D'Alessio, Matteo] Ole Miss, Civil Engn Dept, 204 Carrier Hall, University, MS 38677 USA; [Schumacher, Nicole] Missouri Dept Nat Resources, 1101 Riverside Dr, Jefferson City, MO 65101 USA; [Ray, Chittaranjan] Univ Nebraska, Dept Civil &amp; Environm Engn, Lincoln, NE 68588 USA</t>
  </si>
  <si>
    <t>University of Nebraska System; University of Nebraska Lincoln; University of Nebraska System; University of Nebraska Lincoln; National Oceanic Atmospheric Admin (NOAA) - USA; University of Nebraska System; University of Nebraska Lincoln</t>
  </si>
  <si>
    <t>Snow, DD (corresponding author), Univ Nebraska, Daugherty Water Food Global Inst, Nebraska Water Ctr, Lincoln, NE 68588 USA.;Snow, DD (corresponding author), Univ Nebraska, Sch Nat Resources, 202 Water Sci Lab, Lincoln, NE 68583 USA.</t>
  </si>
  <si>
    <t>dsnow1@unl.edu</t>
  </si>
  <si>
    <t>; Snow, Daniel/AAG-9528-2020; Malakar, Arindam/D-7642-2011</t>
  </si>
  <si>
    <t>Ray, Chittaranjan/0000-0002-1731-2030; Snow, Daniel/0000-0003-0885-0504; Malakar, Arindam/0000-0001-6704-8891</t>
  </si>
  <si>
    <t>Nebraska Environmental Trust; Nebraska Environmental Trust</t>
  </si>
  <si>
    <t>Thank you to the participating high school teachers and students for investing their time and interests in the Know Your Well project and to David Cassada and Matt Kreifels for their support throughout the study. The Know Your Well project was funded by a grant to A. Samal, C. Ray, D. Snow, and M. Kreifels from the Nebraska Environmental Trust to the University of Nebraska.</t>
  </si>
  <si>
    <t>2690-0637</t>
  </si>
  <si>
    <t>ACS EST WATER</t>
  </si>
  <si>
    <t>ACS ES&amp;T Wat.</t>
  </si>
  <si>
    <t>JAN 8</t>
  </si>
  <si>
    <t>10.1021/acsestwater.3c00640</t>
  </si>
  <si>
    <t>HS0N0</t>
  </si>
  <si>
    <t>WOS:001161377800001</t>
  </si>
  <si>
    <t>Gratzer, K; Brodschneider, R</t>
  </si>
  <si>
    <t>Gratzer, Kristina; Brodschneider, Robert</t>
  </si>
  <si>
    <t>How and why beekeepers participate in the INSIGNIA citizen science honey bee environmental monitoring project</t>
  </si>
  <si>
    <t>ENVIRONMENTAL SCIENCE AND POLLUTION RESEARCH</t>
  </si>
  <si>
    <t>Apis mellifera; Pesticides; Pollen; Public participation; Survey; Volunteer motivation</t>
  </si>
  <si>
    <t>In the contributory citizen science project INSIGNIA, beekeepers carried out non-invasive sampling of their own honey bee colonies for an environmental investigation of pesticide residues and pollen plant origin. We surveyed several traits and attitudes of 69 of the volunteering beekeepers from ten countries. We found that their motivation was similar to that found in previous studies of environmental volunteer motivation, with helping the environment and contributing to scientific knowledge being strong motivators. Our results suggest that receiving laboratory analysis results of the samples from their colonies is the most meaningful way of appreciation for beekeepers, but is not their primary reason for participation. A citizen scientist beekeeper in this study spent on average 10.4 working hours on the project during a sampling season. Our study indicates that most of our volunteers would participate in similar future investigations, or would recommend participation to other beekeepers, underlining the potential of beekeepers as citizen scientists in honey bee research.</t>
  </si>
  <si>
    <t>[Gratzer, Kristina; Brodschneider, Robert] Karl Franzens Univ Graz, Inst Biol, Univ Pl 2, A-8010 Graz, Austria</t>
  </si>
  <si>
    <t>University of Graz</t>
  </si>
  <si>
    <t>Brodschneider, R (corresponding author), Karl Franzens Univ Graz, Inst Biol, Univ Pl 2, A-8010 Graz, Austria.</t>
  </si>
  <si>
    <t>kristina.gratzer@uni-graz.at; robert.brodschneider@uni-graz.at</t>
  </si>
  <si>
    <t>Brodschneider, Robert/0000-0002-2535-0280; Gratzer, Kristina/0000-0002-2338-3708</t>
  </si>
  <si>
    <t>University of Graz; EC/DG SANTE project: pilot project on environmental monitoring of pesticide use through honey bees [SANTE/2018/E4/SI2.788418-SI2.788452]</t>
  </si>
  <si>
    <t>University of Graz; EC/DG SANTE project: pilot project on environmental monitoring of pesticide use through honey bees</t>
  </si>
  <si>
    <t>Open access funding provided by University of Graz. This study was part of the EC/DG SANTE project: pilot project on environmental monitoring of pesticide use through honey bees no. SANTE/2018/E4/SI2.788418-SI2.788452, acronym: INSIGNIA.</t>
  </si>
  <si>
    <t>0944-1344</t>
  </si>
  <si>
    <t>1614-7499</t>
  </si>
  <si>
    <t>ENVIRON SCI POLLUT R</t>
  </si>
  <si>
    <t>Environ. Sci. Pollut. Res.</t>
  </si>
  <si>
    <t>10.1007/s11356-021-13379-7</t>
  </si>
  <si>
    <t>TQ3XY</t>
  </si>
  <si>
    <t>WOS:000629549300015</t>
  </si>
  <si>
    <t>Brooks, SJ; Fitch, B; Davy-Bowker, J; Codesal, SA</t>
  </si>
  <si>
    <t>Brooks, Stephen J.; Fitch, Ben; Davy-Bowker, John; Codesal, Soraya Alvarez</t>
  </si>
  <si>
    <t>Anglers' Riverfly Monitoring Initiative (ARMI): A UK-wide citizen science project for water quality assessment</t>
  </si>
  <si>
    <t>Riverfly Partnership; Anglers' Riverfly Monitoring Initiative; pollution; citizen science; river quality assessment; biomonitoring; volunteer; Environment Agency; community engagement; freshwater; macroinvertebrates</t>
  </si>
  <si>
    <t>VOLUNTEER; WORKING</t>
  </si>
  <si>
    <t>The Anglers' Riverfly Monitoring Initiative (ARMI) is a UK-wide citizen science project focused on river water quality assessment. There are currently &gt;2000 ARMI volunteers monitoring &gt;1600 sites that are organized into 35 regional hubs across the UK. ARMI is effective in the early detection of water pollution and complements the routine monitoring undertaken by the UK statutory environment agencies. ARMI volunteers are trained to take standardized 3-min kick-samples of freshwater invertebrates from a river site, and use these samples to produce an ARMI score based on the abundance of key pollution-sensitive taxa. ARMI scores and standard invertebrate monitoring metrics are closely correlated. Each sampling site has a 'trigger level' score set by the national regulatory authority-e.g., the Environment Agency (EA) in England. If the ARMI score falls below this trigger level, the regulatory authority is notified and agency officers investigate the cause of the low score. This process has resulted in many reports of pollution incidents that otherwise may have gone undiscovered but were instead rapidly detected and neutralized. In some cases, investigations resulted in fines being levied against those responsible. ARMI data have also proved useful in assessing the effectiveness of river restoration schemes. Here, we demonstrate the effectiveness of the ARMI as a structured citizen science program in enhancing the environmental protection of rivers. We also show that the ARMI program complements the work of statutory authorities and describe how it promotes community engagement with river environments.</t>
  </si>
  <si>
    <t>[Brooks, Stephen J.; Davy-Bowker, John] Nat Hist Museum, Life Sci, London SW7 5BD, England; [Fitch, Ben] Riverfly Partnership, Ambleside LA22 0LP, Cumbria, England; [Davy-Bowker, John] Freshwater Biol Assoc, River Lab, Wareham BH20 6BB, Dorset, England; [Codesal, Soraya Alvarez] Freshwater Biol Assoc, Ambleside LA22 0LP, Cumbria, England</t>
  </si>
  <si>
    <t>Natural History Museum London; Freshwater Biological Association (FBA); Freshwater Biological Association (FBA)</t>
  </si>
  <si>
    <t>Brooks, SJ (corresponding author), Nat Hist Museum, Life Sci, London SW7 5BD, England.</t>
  </si>
  <si>
    <t>s.brooks@nhm.ac.uk; ben@riverflies.org; jdb@fba.org.uk; salvarez@fba.org.uk</t>
  </si>
  <si>
    <t>Álvarez Codesal, Soraya/0000-0001-6399-1954</t>
  </si>
  <si>
    <t>10.1086/703397</t>
  </si>
  <si>
    <t>WOS:000474076400005</t>
  </si>
  <si>
    <t>Appels, WM; Bradford, L; Chun, KP; Coles, AE; Strickert, G</t>
  </si>
  <si>
    <t>Appels, Willemijn M.; Bradford, Lori; Chun, Kwok P.; Coles, Anna E.; Strickert, Graham</t>
  </si>
  <si>
    <t>DIY meteorology: Use of citizen science to monitor snow dynamics in a data-sparse city</t>
  </si>
  <si>
    <t>FACETS</t>
  </si>
  <si>
    <t>urban snow measurements; citizen science; social learning; sustainable community</t>
  </si>
  <si>
    <t>CLIMATE-CHANGE IMPACTS; URBAN; ADAPTATION; PRECIPITATION; METABOLISM; COVER</t>
  </si>
  <si>
    <t>Cities are under pressure to operate their services effectively and project costs of operations across various timeframes. In high-latitude and high-altitude urban centers, snow management is one of the larger unknowns and has both operational and budgetary limitations. Snowfall and snow depth observations within urban environments are important to plan snow clearing and prepare for the effects of spring runoff on cities' drainage systems. In-house research functions are expensive, but one way to overcome that expense and still produce effective data is through citizen science. In this paper, we examine the potential to use citizen science for snowfall data collection in urban environments. A group of volunteers measured daily snowfall and snow depth at an urban site in Saskatoon (Canada) during two winters. Reliability was assessed with a statistical consistency analysis and a comparison with other data sets collected around Saskatoon. We found that citizen-science-derived data were more reliable and relevant for many urban management stakeholders. Feedback from the participants demonstrated reflexivity about social learning and a renewed sense of community built around generating reliable and useful data. We conclude that citizen science holds great potential to improve data provision for effective and sustainable city planning and greater social learning benefits overall.</t>
  </si>
  <si>
    <t>[Appels, Willemijn M.] Lethbridge Coll, Ctr Technol Environm &amp; Design, 3000 Coll Dr South, Lethbridge, AB T1K 1L6, Canada; [Bradford, Lori] Univ Saskatchewan, Sch Publ Hlth, 104 Clin Pl, Saskatoon, SK S7N 2Z4, Canada; [Chun, Kwok P.] Hong Kong Baptist Univ, Dept Geog, Off AAB 1235, 12-F Acad &amp; Adm Bldg,15 Baptist Univ Rd, Kowloon Tong, Hong Kong, Peoples R China; [Coles, Anna E.] Univ Saskatchewan, Global Inst Water Secur, 11 Innovat Blvd, Saskatoon, SK S7N 3H5, Canada; [Strickert, Graham] Univ Saskatchewan, Sch Environm &amp; Sustainabil, Room 323,Kirk Hall,117 Sci Pl, Saskatoon, SK S7N 5C8, Canada</t>
  </si>
  <si>
    <t>University of Saskatchewan; Hong Kong Baptist University; University of Saskatchewan; Global Institute for Water Security; University of Saskatchewan</t>
  </si>
  <si>
    <t>Appels, WM (corresponding author), Lethbridge Coll, Ctr Technol Environm &amp; Design, 3000 Coll Dr South, Lethbridge, AB T1K 1L6, Canada.</t>
  </si>
  <si>
    <t>willemijn.appels@gmail.com</t>
  </si>
  <si>
    <t>Chun, Kwok Pan/P-5782-2018; Bradford, Lori/AFB-8752-2022</t>
  </si>
  <si>
    <t>Chun, Kwok Pan/0000-0001-9873-6240; Bradford, Lori/0000-0002-0926-2010</t>
  </si>
  <si>
    <t>CANADIAN SCIENCE PUBLISHING</t>
  </si>
  <si>
    <t>OTTAWA</t>
  </si>
  <si>
    <t>65 AURIGA DR, SUITE 203, OTTAWA, ON K2E 7W6, CANADA</t>
  </si>
  <si>
    <t>2371-1671</t>
  </si>
  <si>
    <t>Facets</t>
  </si>
  <si>
    <t>SEP 26</t>
  </si>
  <si>
    <t>10.1139/facets-2017-0030</t>
  </si>
  <si>
    <t>FI7LL</t>
  </si>
  <si>
    <t>WOS:000412178100001</t>
  </si>
  <si>
    <t>Li, XJ; Mak, CM; Dai, YW; Ma, KW; Wong, HM</t>
  </si>
  <si>
    <t>Li, Xiujie; Mak, Cheuk Ming; Dai, Yuwei; Ma, Kuen Wai; Wong, Hai Ming</t>
  </si>
  <si>
    <t>Hyper-Localized Pollution Mapping Using Low-Cost Wearable Monitors and Citizen Science in Hong Kong</t>
  </si>
  <si>
    <t>BUILDINGS</t>
  </si>
  <si>
    <t>air pollution; indoor air quality; exposure; particulate matter; low-cost sensor; wearable sensor; citizen science; optical particle counter</t>
  </si>
  <si>
    <t>PARTICULATE MATTER; PERSONAL EXPOSURE; AIR-QUALITY; PM2.5; VARIABILITY; INDOOR</t>
  </si>
  <si>
    <t>Low-cost sensors have demonstrated their advances in acquiring hyper-localized data compared to traditional, high-maintenance air quality monitoring stations. The study aims to leverage the mobility of participants equipped with low-cost wearable monitors (LWMs) by comparing their exposure to particulate matter (PM) across indoor-home, outdoor-walking, and hybrid-commuting micro-environments. The LWMs would be calibrated first through field co-location and the multiple linear regression models. The coefficient of determination (R2) of PM1.0 and PM2.5 increased to over 0.85 after calibration, along with the reduced root mean square error of 2.25 and 3.46 mu g/m3, respectively. The 26-day PM data collection with geographic locations could identify individual exposure patterns, local source contributions, and hotspot maps. Commuting constituted a small fraction of daily time (4-8%) but contributed a disproportionate impact, accounting for 11% of individual PM exposure. Indoor-home PM2.5 exposure varied significantly among the urban districts. Based on the PM2.5 hotspot map, the elevated concentration was mainly concentrated in dense residential areas and historical industrial areas, as well as interchanges of major roads and the highway system. LWMs acting as non-regulatory instruments can complement monitoring stations to provide missing short-term and hyper-localized air pollution data. Future studies should integrate long-term monitoring and citizen science across seasons and geographical regions to address pollutant spatiotemporal variability for building and city sustainability.</t>
  </si>
  <si>
    <t>[Li, Xiujie; Mak, Cheuk Ming; Ma, Kuen Wai] Hong Kong Polytech Univ, Dept Bldg Environm &amp; Energy Engn, Hong Kong, Peoples R China; [Dai, Yuwei] Univ Shanghai Sci &amp; Technol, Sch Environm &amp; Architecture, 516 Jungong Rd, Shanghai 200093, Peoples R China; [Wong, Hai Ming] Univ Hong Kong, Fac Dent, Hong Kong, Peoples R China</t>
  </si>
  <si>
    <t>Hong Kong Polytechnic University; University of Shanghai for Science &amp; Technology; University of Hong Kong</t>
  </si>
  <si>
    <t>Mak, CM (corresponding author), Hong Kong Polytech Univ, Dept Bldg Environm &amp; Energy Engn, Hong Kong, Peoples R China.</t>
  </si>
  <si>
    <t>xiu-jie.li@polyu.edu.hk; cheuk-ming.mak@polyu.edu.hk; ywdai@usst.edu.cn; kuen-wai.ma@polyu.edu.hk; wonghmg@hku.hk</t>
  </si>
  <si>
    <t>Li, Xiujie/IWD-4809-2023; Dai, Yuwei/MTA-0199-2025; Mak, Cheuk/P-3264-2014</t>
  </si>
  <si>
    <t>Li, Xiujie/0000-0001-8221-0279; Wong, Hai Ming/0000-0003-3411-6442; , Yuwei/0009-0005-3035-7013;</t>
  </si>
  <si>
    <t>Postdoc Matching Fund Scheme of Hong Kong Polytechnic University; [1-W32R]</t>
  </si>
  <si>
    <t>Postdoc Matching Fund Scheme of Hong Kong Polytechnic University;</t>
  </si>
  <si>
    <t>This research was funded by Postdoc Matching Fund Scheme of Hong Kong Polytechnic University (1-W32R).</t>
  </si>
  <si>
    <t>2075-5309</t>
  </si>
  <si>
    <t>BUILDINGS-BASEL</t>
  </si>
  <si>
    <t>SEP 1</t>
  </si>
  <si>
    <t>10.3390/buildings15173131</t>
  </si>
  <si>
    <t>Construction &amp; Building Technology; Engineering, Civil</t>
  </si>
  <si>
    <t>Construction &amp; Building Technology; Engineering</t>
  </si>
  <si>
    <t>7FP6O</t>
  </si>
  <si>
    <t>WOS:001569868900001</t>
  </si>
  <si>
    <t>Bonas, M; Castruccio, S</t>
  </si>
  <si>
    <t>Bonas, Matthew; Castruccio, Stefano</t>
  </si>
  <si>
    <t>High-resolution urban air quality monitoring from citizen science data with echo-state transformer networks</t>
  </si>
  <si>
    <t>JOURNAL OF THE ROYAL STATISTICAL SOCIETY SERIES C-APPLIED STATISTICS</t>
  </si>
  <si>
    <t>attention mechanisms; citizen science data; reservoir computing; transformers; urban air quality</t>
  </si>
  <si>
    <t>POLLUTION; PURPLEAIR; SPIKE; TERM</t>
  </si>
  <si>
    <t>Citizen science data for monitoring air pollution have recently emerged as a powerful yet under-explored resource to complement expensive and sparse national air quality monitors. In urban environments, these new data have the potential to allow for high-resolution and high-frequency forecasts, and thereby to provide an assessment of population exposure at neighbourhood level. The complex spatio-temporal structure of these data, however, requires new flexible methods that are also able to provide timely forecasts. In this work, we propose a novel method that first provides forecasts with a reservoir computing approach, an echo-state network, adjusts the forecast with a transformer network with attention mechanism and then merges the echo-state and transformer forecast into a combined network. The stochastic nature of the method allows for a fast and more accurate forecast then individual predictors as well as standard statistical methods. Simulation and application to San Francisco air pollution show how the proposed method is able to produce high-resolution urban maps of air quality. Additionally, we show how these forecasts can be used to provide neighbour-level exposure assessment using population data, a task that would not be achievable with sparse government-sponsored air quality networks.</t>
  </si>
  <si>
    <t>[Bonas, Matthew; Castruccio, Stefano] Univ Notre Dame, Dept Appl &amp; Computat Math &amp; Stat, Notre Dame, IN 46556 USA</t>
  </si>
  <si>
    <t>University of Notre Dame</t>
  </si>
  <si>
    <t>Castruccio, S (corresponding author), Univ Notre Dame, Dept Appl &amp; Computat Math &amp; Stat, Notre Dame, IN 46556 USA.</t>
  </si>
  <si>
    <t>scastruc@nd.edu</t>
  </si>
  <si>
    <t>Castruccio, Stefano/HLH-3774-2023</t>
  </si>
  <si>
    <t>Castruccio, Stefano/0000-0002-6728-965X</t>
  </si>
  <si>
    <t>National Science Foundation [CISE OAC- 2347239]; King Abdullah University of Science and Technology (KAUST) Office of Sponsored Research (OSR) [ORFS-2022-CRG11-5069.2]</t>
  </si>
  <si>
    <t>National Science Foundation(National Science Foundation (NSF)); King Abdullah University of Science and Technology (KAUST) Office of Sponsored Research (OSR)(King Abdullah University of Science &amp; Technology)</t>
  </si>
  <si>
    <t>This work was partially funded by National Science Foundation grant CISE OAC- 2347239 and by the King Abdullah University of Science and Technology (KAUST) Office of Sponsored Research (OSR) under Award ORFS-2022-CRG11-5069.2.</t>
  </si>
  <si>
    <t>0035-9254</t>
  </si>
  <si>
    <t>1467-9876</t>
  </si>
  <si>
    <t>J ROY STAT SOC C</t>
  </si>
  <si>
    <t>J. R. Stat. Soc. Ser. C-Appl. Stat.</t>
  </si>
  <si>
    <t>10.1093/jrsssc/qlaf007</t>
  </si>
  <si>
    <t>FEB 2025</t>
  </si>
  <si>
    <t>Statistics &amp; Probability</t>
  </si>
  <si>
    <t>Mathematics</t>
  </si>
  <si>
    <t>6GB4Y</t>
  </si>
  <si>
    <t>WOS:001429419000001</t>
  </si>
  <si>
    <t>Agersnap, S; Sigsgaard, EE; Jensen, MR; Avila, MD; Carl, H; Moller, PR; Kros, SL; Knudsen, SW; Wisz, MS; Thomsen, PF</t>
  </si>
  <si>
    <t>Agersnap, Sune; Sigsgaard, Eva Egelyng; Jensen, Mads Reinholdt; Avila, Marcelo De Paula; Carl, Henrik; Moller, Peter Rask; Kros, Simon Leed; Knudsen, Steen Wilhelm; Wisz, Mary S.; Thomsen, Philip Francis</t>
  </si>
  <si>
    <t>A National Scale BioBlitz Using Citizen Science and eDNA Metabarcoding for Monitoring Coastal Marine Fish</t>
  </si>
  <si>
    <t>citizen science (CS); biomonitoring; BioBlitz; eDNA metabarcoding; marine fish</t>
  </si>
  <si>
    <t>ENVIRONMENTAL DNA; PROGRAM; FUTURE</t>
  </si>
  <si>
    <t>Marine biodiversity is threatened by human activities. To understand the changes happening in aquatic ecosystems and to inform management, detailed, synoptic monitoring of biodiversity across large spatial extents is needed. Such monitoring is challenging due to the time, cost, and specialized skills that this typically requires. In an unprecedented study, we combined citizen science with eDNA metabarcoding to map coastal fish biodiversity at a national scale. We engaged 360 citizen scientists to collect filtered seawater samples from 100 sites across Denmark over two seasons (1 p.m. on September 29th 2019 and May 10th 2020), and by sampling at nearly the exact same time across all 100 sites, we obtained an overview of fish biodiversity largely unaffected by temporal variation. This would have been logistically impossible for the involved scientists without the help of volunteers. We obtained a high return rate of 94% of the samples, and a total richness of 52 fish species, representing approximately 80% of coastal Danish fish species and approximately 25% of all Danish marine fish species. We retrieved distribution patterns matching known occurrence for both invasive, endangered, and cryptic species, and detected seasonal variation in accordance with known phenology. Dissimilarity of eDNA community compositions increased with distance between sites. Importantly, comparing our eDNA data with National Fish Atlas data (the latter compiled from a century of observations) we found positive correlation between species richness values and a congruent pattern of community compositions. These findings support the use of eDNA-based citizen science to detect patterns in biodiversity, and our approach is readily scalable to other countries, or even regional and global scales. We argue that future large-scale biomonitoring will benefit from using citizen science combined with emerging eDNA technology, and that such an approach will be important for data-driven biodiversity management and conservation.</t>
  </si>
  <si>
    <t>[Agersnap, Sune; Sigsgaard, Eva Egelyng; Jensen, Mads Reinholdt; Avila, Marcelo De Paula; Thomsen, Philip Francis] Aarhus Univ, Dept Biol, Aarhus, Denmark; [Carl, Henrik; Moller, Peter Rask; Knudsen, Steen Wilhelm] Univ Copenhagen, Nat Hist Museum Denmark, Copenhagen, Denmark; [Moller, Peter Rask] Arctic Univ Norway, Norwegian Coll Fishery Sci, UiT, Tromso, Norway; [Kros, Simon Leed] Danish Soc Nat Conservat, Copenhagen, Denmark; [Knudsen, Steen Wilhelm] NIVA Denmark Water Res, Copenhagen, Denmark; [Wisz, Mary S.] World Maritime Univ, Sasakawa Global Ocean Inst, Malmo, Sweden</t>
  </si>
  <si>
    <t>Aarhus University; University of Copenhagen; UiT The Arctic University of Tromso</t>
  </si>
  <si>
    <t>Agersnap, S; Thomsen, PF (corresponding author), Aarhus Univ, Dept Biol, Aarhus, Denmark.</t>
  </si>
  <si>
    <t>sagersnap@bio.au.dk; pfthomsen@bio.au.dk</t>
  </si>
  <si>
    <t>Wisz, Mary S/J-7826-2013; Thoen, Philip Francis/AAE-9354-2019; Jensen, Mads Reinholdt/AAF-5368-2019; Agersnap, Sune/IQR-7591-2023; Sigsgaard, Eva Egelyng/ABB-6275-2021; Knudsen, Steen/C-1072-2015</t>
  </si>
  <si>
    <t>Wisz, Mary S/0000-0002-5357-6367; Thoen, Philip Francis/0000-0002-9867-4366; Jensen, Mads Reinholdt/0000-0001-8240-1083; Agersnap, Sune/0000-0001-9193-8069;</t>
  </si>
  <si>
    <t>10.3389/fmars.2022.824100</t>
  </si>
  <si>
    <t>0V8AD</t>
  </si>
  <si>
    <t>WOS:000788561000001</t>
  </si>
  <si>
    <t>Rabins, LF; Theuerkauf, EJ; Bunting, EL</t>
  </si>
  <si>
    <t>Rabins, Lucas F. F.; Theuerkauf, Ethan J. J.; Bunting, Erin L. L.</t>
  </si>
  <si>
    <t>Using existing infrastructure as ground control points to support citizen science coastal UAS monitoring programs</t>
  </si>
  <si>
    <t>UAV; citizen science; ground control point (GCP); coastal erosion; monitoring</t>
  </si>
  <si>
    <t>FLIGHT ALTITUDE; RTK-GPS; BEACH; ACCURACY; EROSION; LIDAR</t>
  </si>
  <si>
    <t>Recent publications have described the ability of citizen scientists to conduct unoccupied aerial system (UAS) flights to collect data for coastal management. Ground control points (GCPs) can be collected to georeference these data, however collecting ground control points require expensive surveying equipment not accessible to citizen scientists. Instead, existing infrastructure can be used as naturally occurring ground control points (NGCPs), although availably of naturally occurring ground control point placement on such infrastructure differs from published best practices of ground control point placement. This study therefore evaluates the achievable accuracy of sites georeferenced with naturally occurring ground control points through an analysis of 20 diverse coastal sites. At most sites naturally occurring ground control points produced horizontal and vertical root mean square errors (RMSE) less than 0.060 m which are similar to those obtained using traditional ground control points. To support future unoccupied aerial system citizen science coastal monitoring programs, an assessment to determine the optimal naturally occurring ground control point quantity and distribution was conducted for six coastal sites. Results revealed that generally at least seven naturally occurring ground control points collected in the broadest distribution across the site will result in a horizontal and vertical root mean square errors less than 0.030 m and 0.075 m respectively. However, the relationship between these placement characteristics and root mean square errors was poor, indicating that georeferencing accuracy using naturally occurring ground control points cannot be optimized solely through ideal quantity and distribution. The results of these studies highlight the value of naturally occurring ground control points to support unoccupied aerial system citizen science coastal monitoring programs, however they also indicate a need for an initial accuracy assessment of sites surveyed with naturally occurring ground control points at the onset of such programs.</t>
  </si>
  <si>
    <t>[Rabins, Lucas F. F.; Theuerkauf, Ethan J. J.; Bunting, Erin L. L.] Michigan State Univ, Dept Geog Environm &amp; Spatial Sci, E Lansing, MI 48824 USA; [Bunting, Erin L. L.] Michigan State Univ, Remote Sensing &amp; GIS Res &amp; Outreach Serv, E Lansing, MI USA</t>
  </si>
  <si>
    <t>Michigan State University; Michigan State University</t>
  </si>
  <si>
    <t>Theuerkauf, EJ (corresponding author), Michigan State Univ, Dept Geog Environm &amp; Spatial Sci, E Lansing, MI 48824 USA.</t>
  </si>
  <si>
    <t>theuerk5@msu.edu</t>
  </si>
  <si>
    <t>Bunting, Erin/0000-0001-9103-6065</t>
  </si>
  <si>
    <t>National Science Foundation's Coastlines and People (CoPe) Program [1939979]</t>
  </si>
  <si>
    <t>National Science Foundation's Coastlines and People (CoPe) Program</t>
  </si>
  <si>
    <t>This research was funded by a grant from the National Science Foundation's Coastlines and People (CoPe) Program (Award Number: 1939979).</t>
  </si>
  <si>
    <t>MAR 21</t>
  </si>
  <si>
    <t>10.3389/fenvs.2023.1101458</t>
  </si>
  <si>
    <t>E3VT2</t>
  </si>
  <si>
    <t>WOS:000974862900001</t>
  </si>
  <si>
    <t>Westphal, AM; Breiter, CJC; Falconer, S; Saffar, N; Ashraf, AB; McCall, AG; McIver, K; Petersen, SD</t>
  </si>
  <si>
    <t>Westphal, Ashleigh M. M.; Breiter, C-Jae C.; Falconer, Sarah; Saffar, Najmeh; Ashraf, Ahmed B. B.; McCall, Alysa G. G.; McIver, Kieran; Petersen, Stephen D. D.</t>
  </si>
  <si>
    <t>Citizen science and machine learning: Interdisciplinary approach to non-invasively monitoring a northern marine ecosystem</t>
  </si>
  <si>
    <t>citizen science; machine learning; Cnidara; Ctenophora; conservation; deep learning; beluga whale (Delphinapterus leucas); wildlife monitoring</t>
  </si>
  <si>
    <t>CLIMATE-CHANGE; CONSERVATION; JELLYFISH; BIODIVERSITY; POPULATION; ECOLOGY; CLASSIFICATION; ESTUARY</t>
  </si>
  <si>
    <t>Successful conservation efforts often require novel tactics to achieve the desired goals of protecting species and habitats. One such tactic is to develop an interdisciplinary, collaborative approach to ensure that conservation initiatives are science-based, scalable, and goal-oriented. This approach may be particularly beneficial to wildlife monitoring, as there is often a mismatch between where monitoring is required and where resources are available. We can bridge that gap by bringing together diverse partners, technologies, and global resources to expand monitoring efforts and use tools where they are needed most. Here, we describe a successful interdisciplinary, collaborative approach to long-term monitoring of beluga whales (Delphinapterus leucas) and their marine ecosystem. Our approach includes extracting images from video data collected through partnerships with other organizations who live-stream educational nature content worldwide. This video has resulted in an average of 96,000 underwater images annually. However, due to the frame extraction process, many images show only water. We have therefore incorporated an automated data filtering step using machine learning models to identify frames that include beluga, which filtered out an annual average of 67.9% of frames labelled as empty  (no beluga) with a classification accuracy of 97%. The final image datasets were then classified by citizen scientists on the Beluga Bits project on Zooniverse (https://www.zooniverse.org). Since 2016, more than 20,000 registered users have provided nearly 5 million classifications on our Zooniverse workflows. Classified images are then used in various researcher-led projects. The benefits of this approach have been multifold. The combination of machine learning tools followed by citizen science participation has increased our analysis capabilities and the utilization of hundreds of hours of video collected each year. Our successes to date include the photo-documentation of a previously tagged beluga and of the common northern comb jellyfish (Bolinopsis infundibulum), an unreported species in Hudson Bay. Given the success of this program, we recommend other conservation initiatives adopt an interdisciplinary, collaborative approach to increase the success of their monitoring programs.</t>
  </si>
  <si>
    <t>[Westphal, Ashleigh M. M.; Breiter, C-Jae C.; Falconer, Sarah; Petersen, Stephen D. D.] Assiniboine Pk Zoo, Conservat &amp; Res Dept, Winnipeg, MB, Canada; [Breiter, C-Jae C.] Fisheries &amp; Oceans Canada, Winnipeg, MB, Canada; [Saffar, Najmeh; Ashraf, Ahmed B. B.] Univ Manitoba, Dept Elect &amp; Comp Engn, Winnipeg, MB, Canada; [McCall, Alysa G. G.; McIver, Kieran] Polar Bears Int, Winnipeg, MB, Canada</t>
  </si>
  <si>
    <t>Fisheries &amp; Oceans Canada; University of Manitoba</t>
  </si>
  <si>
    <t>Westphal, AM (corresponding author), Assiniboine Pk Zoo, Conservat &amp; Res Dept, Winnipeg, MB, Canada.</t>
  </si>
  <si>
    <t>awestphal@assiniboinepark.ca</t>
  </si>
  <si>
    <t>Breiter, C-Jae/0009-0001-7139-0056; Westphal, Ashleigh/0009-0008-8637-3647</t>
  </si>
  <si>
    <t>Assiniboine Park Conservancy; RBC Environmental Donations Fund; Churchill Northern Studies Centre's Northern Research Fund; Calm Air, and Mitacs Accelerate program</t>
  </si>
  <si>
    <t>This work was supported by the Assiniboine Park Conservancy, the RBC Environmental Donations Fund, Churchill Northern Studies Centre's Northern Research Fund, Calm Air, and Mitacs Accelerate program</t>
  </si>
  <si>
    <t>SEP 23</t>
  </si>
  <si>
    <t>10.3389/fmars.2022.961095</t>
  </si>
  <si>
    <t>6J0RC</t>
  </si>
  <si>
    <t>WOS:000886536000001</t>
  </si>
  <si>
    <t>Sheard, JK; Sanders, NJ; Gundlach, C; Schär, S; Larsen, RS</t>
  </si>
  <si>
    <t>Sheard, Julie K.; Sanders, Nathan J.; Gundlach, Carsten; Schar, Sami; Larsen, Rasmus Stenbak</t>
  </si>
  <si>
    <t>Monitoring the influx of new species through citizen science: the first introduced ant in Denmark</t>
  </si>
  <si>
    <t>Exotics; Invasives; Citizen science; Tetramorium immigrans; Niche modelling; Species monitoring; Formicidae; DNA analysis; MicroCT; Tetramorium caespitum</t>
  </si>
  <si>
    <t>EXOTIC ANTS; HYMENOPTERA; FORMICIDAE; URBANIZATION; DISPERSAL; ABUNDANCE; LIZARDS; COLONY; SIZE</t>
  </si>
  <si>
    <t>Climate change and invasive species threaten biodiversity, yet rigorous monitoring of their impact can be costly. Citizen science is increasingly used as a tool for monitoring exotic species, because citizens are geographically and temporally dispersed, whereas scientists tend to cluster in museums and at universities. Here we report on the establishment of the first exotic ant taxon (Tetramorium immigrans) in Denmark, which was discovered by children participating in The Ant Hunt. The Ant Hunt is a citizen science project for children that we ran in 2017 and 2018, with a pilot study in 2015. T. immigrans was discovered in the Botanical Garden of the Natural History Museum of Denmark in 2015 and confirmed as established in 2018. This finding extends the northern range boundary of T. immigrans by almost 460 km. Using climatic niche modelling, we compared the climatic niche of T. immigrans in Europe with that of T. caespitum based on confirmed observations from 2006 to 2019. T. immigrans and T. caespitum had a 13% niche overlap, with T. immigrans showing stronger occurrence in warmer and drier areas compared to T. caespitum. Mapping the environmental niches onto geographic space identified several, currently uninhabited, areas as climatically suitable for the establishment of T. immigrans. Tetramorium immigrans was sampled almost three times as often in areas with artificial surfaces compared to T. caespitum, suggesting that T. immigrans may not be native to all of Europe and is being accidentally introduced by humans. Overall, citizen scientists collected data on ants closer to cities and harbours than scientists did and had a stronger bias towards areas of human disturbance. This increased sampling effort in areas of likely introduction of exotic species naturally increases the likelihood of discovering species sooner, making citizen science an excellent tool for exotic species monitoring, as long as trained scientists are involved in the identification process.</t>
  </si>
  <si>
    <t>[Sheard, Julie K.] Univ Copenhagen, Ctr Macroecol Evolut &amp; Climate, Globe Inst, Copenhagen, Denmark; [Sanders, Nathan J.] Univ Vermont, Environm Program, Rubenstein Sch Environm &amp; Nat Resources, Burlington, VT USA; [Gundlach, Carsten] Tech Univ Denmark, Dept Phys, Copenhagen, Denmark; [Larsen, Rasmus Stenbak] Univ Copenhagen, Dept Biol, Sect Ecol &amp; Evolut, Copenhagen, Denmark</t>
  </si>
  <si>
    <t>University of Copenhagen; University of Vermont; Technical University of Denmark; University of Copenhagen</t>
  </si>
  <si>
    <t>Sheard, JK (corresponding author), Univ Copenhagen, Ctr Macroecol Evolut &amp; Climate, Globe Inst, Copenhagen, Denmark.</t>
  </si>
  <si>
    <t>julie.sheard@sund.ku.dk</t>
  </si>
  <si>
    <t>Sanders, Nathan/ABE-4335-2020; Gundlach, Carsten/B-9122-2008; Sheard, Julie/ABE-7905-2020</t>
  </si>
  <si>
    <t>Sanders, Nathan/0000-0001-6220-6731; Gundlach, Carsten/0000-0002-2895-1882; Sheard, Julie/0000-0002-1073-0221</t>
  </si>
  <si>
    <t>Danish National Research Foundation [DNRF96]; 15th of June Foundation; Knud Hojgaard Foundation; Augustinus Foundation; Beckett Foundation; 3D Imaging Centre at the Technical University of Denmark</t>
  </si>
  <si>
    <t>Danish National Research Foundation(Danmarks Grundforskningsfond); 15th of June Foundation; Knud Hojgaard Foundation; Augustinus Foundation; Beckett Foundation; 3D Imaging Centre at the Technical University of Denmark</t>
  </si>
  <si>
    <t>This work was supported by the Danish National Research Foundation (DNRF96), 15th of June Foundation, Knud Hojgaard Foundation, Augustinus Foundation and Beckett Foundation and the 3D Imaging Centre at the Technical University of Denmark. The funders had no role in study design, data collection and analysis, decision to publish, or preparation of the manuscript.</t>
  </si>
  <si>
    <t>APR 8</t>
  </si>
  <si>
    <t>e8850</t>
  </si>
  <si>
    <t>10.7717/peerj.8850</t>
  </si>
  <si>
    <t>LB3IC</t>
  </si>
  <si>
    <t>WOS:000524530100004</t>
  </si>
  <si>
    <t>Kim, H; Witten, D; Madey, J; Frissell, N; Gibbons, J; Engelke, W; Liddle, A; Muscolino, N; Visone, J; Cao, ZS</t>
  </si>
  <si>
    <t>Kim, Hyomin; Witten, David; Madey, Julius; Frissell, Nathaniel; Gibbons, John; Engelke, William; Liddle, Anderson; Muscolino, Nicholas; Visone, Joseph; Cao, Zhaoshu</t>
  </si>
  <si>
    <t>Citizen science: Development of a low-cost magnetometer system for a coordinated space weather monitoring</t>
  </si>
  <si>
    <t>Magnetometer; Space weather; Citizen science; Ionosphere; HF communication</t>
  </si>
  <si>
    <t>As part of Ham Radio Science Citizen Investigation (HamSCI) Personal Space Weather Station (PSWS) project, a low-cost, commercial off-the-shelf magnetometer has been developed to provide quantitative and qualitative measurements of the geospace environment from the ground for both scientific and operational purposes at a cost that will allow for crowd-sourced data contributions. The PSWS magnetometers employ a magneto-inductive sensor technology to record three-axis magnetic field variations with a field resolution of similar to 3 nT at a 1 Hz sample rate. The measurement range of the sensor is +/- 1.1x10(6) nT) and is valid over a temperature range of -40 degrees C to +85 degrees C. Data from the PSWS network will combine these magnetometer measurements with high frequency (HF, 3-30 MHz) radio observations to monitor large-scale current systems and ionospheric disturbances due to drivers from both space and the atmosphere. A densely-spaced magnetometer array, once established, will demonstrate their space weather monitoring capability to an unprecedented spatial extent. Magnetic field data obtained by the magnetometers installed at various locations in the US are presented and compared with the existing magnetometers nearby, demonstrating that the performance is very adequate for scientific investigations.</t>
  </si>
  <si>
    <t>[Kim, Hyomin; Visone, Joseph] New Jersey Inst Technol, Dept Phys, Newark, NJ 07102 USA; [Witten, David] HamSCI Community, Blacksburg, VA USA; [Madey, Julius] HamSCI Community, Cleveland, WA USA; [Frissell, Nathaniel] Univ Scranton, Dept Phys &amp; Engn, Scranton, PA USA; [Gibbons, John] Case Western Reserve Univ, Case Sch Engn, Cleveland, OH USA; [Engelke, William; Liddle, Anderson; Muscolino, Nicholas] Univ Alabama, Coll Engn, Tuscaloosa, AL USA; [Cao, Zhaoshu] New Jersey Inst Technol, Dept Comp Sci, Newark, NJ USA; [Cao, Zhaoshu] New Jersey Inst Technol, Dept Math Sci, Newark, NJ USA</t>
  </si>
  <si>
    <t>New Jersey Institute of Technology; University of Scranton; University System of Ohio; Case Western Reserve University; University of Alabama System; University of Alabama Tuscaloosa; New Jersey Institute of Technology; New Jersey Institute of Technology</t>
  </si>
  <si>
    <t>Kim, H (corresponding author), New Jersey Inst Technol, Dept Phys, Newark, NJ 07102 USA.</t>
  </si>
  <si>
    <t>hmkim@njit.edu</t>
  </si>
  <si>
    <t>National Science Foundation [AGS-1932973, AGS-2002278]</t>
  </si>
  <si>
    <t>The work at the University of Scranton and New Jersey Institute of Technology was supported by National Science Foundation under grants AGS-1932973 and AGS-2002278, respectively. The authors would like thank the HamSCI members for development and installation of the instrument, and provision of data.</t>
  </si>
  <si>
    <t>e00580</t>
  </si>
  <si>
    <t>10.1016/j.ohx.2024.e00580</t>
  </si>
  <si>
    <t>G4L8F</t>
  </si>
  <si>
    <t>WOS:001316381200001</t>
  </si>
  <si>
    <t>Kerr, GD; Auld, H</t>
  </si>
  <si>
    <t>Kerr, Gregory D.; Auld, Hannah</t>
  </si>
  <si>
    <t>Implementing a citizen science bird monitoring project in the Grampians/Gariwerd National Park, Victoria, Australia</t>
  </si>
  <si>
    <t>TRANSACTIONS OF THE ROYAL SOCIETY OF SOUTH AUSTRALIA</t>
  </si>
  <si>
    <t>Citizen science; training; bird survey; Grampians Gariwerd National Park; program design</t>
  </si>
  <si>
    <t>PARTICIPATION</t>
  </si>
  <si>
    <t>Global bird populations are threatened by ongoing habitat loss and climate change. Inconsistent and short-term funding of faunal surveys in Australia makes population and distribution changes difficult to detect. To meet this challenge, alternative methods of supplementing regular surveys by professional ornithologists have been proffered, including surveys by trained citizen scientists. Here we outline the development, implementation and assessment of the Great Gariwerd Bird Survey (GGBS), a citizen science (CS) monitoring project designed to address long-term management questions in vulnerable Stringybark Heathy Woodland in Grampians/Gariwerd National Park. Forty volunteers that met appropriate criteria were selected and trained in practical 10-week/40-h courses. We assessed data from 288 2-ha/20-min surveys undertaken in autumn and spring 2021 at 36 sites, ran workshops to improve surveyor skills and data quality and assessed trainee experiences and program content through online anonymous surveys. Concurrent professional field ornithologist surveys enabled cross validation of CS surveys. Overlapping species accumulation curves for professional and citizen scientist surveys reflected very high correlations for site species diversity (r=0.836) and abundances (r=0.768). In autumn, the professional surveyor recorded significantly more species and birds than CS surveyors. Additional training in the identification of cryptic birds and challenging calls partially addressed the numerical differences in the following spring survey. This project demonstrates the potential for valuable long-term ecological data collection by well-trained citizen scientists with benefits to community environmental knowledge and participation despite some manageable obstacles. Participant surveys showed highly positive program perceptions, reflected by ongoing involvement in the GGBS.</t>
  </si>
  <si>
    <t>[Kerr, Gregory D.] Nat Glenelg Trust, 24 Clarke St, Hamilton, Vic 3300, Australia; [Auld, Hannah] Pk Victoria, Halls Gap, Australia</t>
  </si>
  <si>
    <t>Kerr, GD (corresponding author), Nat Glenelg Trust, 24 Clarke St, Hamilton, Vic 3300, Australia.</t>
  </si>
  <si>
    <t>greg.kerr@ngt.org.au</t>
  </si>
  <si>
    <t>Kerr, Gregory Dale/0009-0007-2765-4281</t>
  </si>
  <si>
    <t>The project received grant funding from the Australian Government through the Australian Heritage Grants Program and was funded with the support of the Victorian Government's Weeds and Pests on Public Land program and is helping to ensure that Victoria's natural environment is healthy, valued and actively cared for. BirdLife Australia provided support through their Birdata App and through access to the final data set. We thank Parks Victoria for supporting this project's implementation in the Grampians/Gariwerd National Park and for on-ground and logistical support through the Friends of Parks program. Finally, it has only been possible through the substantive generosity in thousands of volunteer hours and associated costs provided by 45 skilled and dedicated community members from across western Victoria who participated in a 10-week training program and undertook two sets of four surveys at 36 remote sites across the Grampian/Gariwerd National Park.</t>
  </si>
  <si>
    <t>0372-1426</t>
  </si>
  <si>
    <t>2204-0293</t>
  </si>
  <si>
    <t>T ROY SOC SOUTH AUST</t>
  </si>
  <si>
    <t>Trans. R. Soc. S. Aust.</t>
  </si>
  <si>
    <t>JAN 2</t>
  </si>
  <si>
    <t>10.1080/03721426.2024.2341350</t>
  </si>
  <si>
    <t>PU0J4</t>
  </si>
  <si>
    <t>WOS:001201348500001</t>
  </si>
  <si>
    <t>Pearce-Higgins, JW; Baillie, SR; Boughey, K; Bourn, NAD; Foppen, RPB; Gillings, S; Gregory, RD; Hunt, T; Jiguet, F; Lehikoinen, A; Musgrove, AJ; Robinson, RA; Roy, DB; Siriwardena, GM; Walker, KJ; Wilson, JD</t>
  </si>
  <si>
    <t>Pearce-Higgins, James W.; Baillie, Stephen R.; Boughey, Katherine; Bourn, Nigel A. D.; Foppen, Ruud P. B.; Gillings, Simon; Gregory, Richard D.; Hunt, Tom; Jiguet, Frederic; Lehikoinen, Aleksi; Musgrove, Andy J.; Robinson, Rob A.; Roy, David B.; Siriwardena, Gavin M.; Walker, Kevin J.; Wilson, Jeremy D.</t>
  </si>
  <si>
    <t>Overcoming the challenges of public data archiving for citizen science biodiversity recording and monitoring schemes</t>
  </si>
  <si>
    <t>biological recording; citizen science; data archiving; monitoring scheme; open data; quality assurance; volunteer</t>
  </si>
  <si>
    <t>1. Public data archiving (PDA) is widely advocated as a means of achieving open data standards, leading to improved data preservation, increased scientific reproducibility, and transparency, as well as additional data use. 2. Public data archiving was primarily conceived to archive data from short-term, single-purpose scientific studies. It is now more widely applied, including to large-scale citizen science biodiversity recording and monitoring schemes which combine the efforts of volunteers with professional scientists. 3. This may affect the financial security of such schemes by reducing income from data and analytical services. Communication between scheme organizers and researchers may be disrupted, reducing scientific quality and impeding scheme development. It may also have an impact on the participation of some volunteers. 4. Synthesis and applications. In response to the challenges of public data archiving for citizen science biodiversity recording and monitoring schemes, the archive function of scheme organizations should be better recognized by those promoting open data principles. Increased financial support from the public sector or from commercial or academic data users may offset financial risk. Those in favour of public data archiving should do more to facilitate communication between nonscheme users and the originating schemes, while a more flexible approach to data archiving may be required to address potential impacts on volunteer participation.</t>
  </si>
  <si>
    <t>[Pearce-Higgins, James W.; Baillie, Stephen R.; Gillings, Simon; Musgrove, Andy J.; Robinson, Rob A.; Siriwardena, Gavin M.] British Trust Ornithol, Thetford IP24 2PU, Norfolk, England; [Boughey, Katherine] Bat Conservat Trust, London, England; [Bourn, Nigel A. D.] Butterfly Conservat, Wareham, Dorset, England; [Foppen, Ruud P. B.] Sovon Dutch Ctr Field Ornithol, Nijmegen, Netherlands; [Foppen, Ruud P. B.] Radboud Univ Nijmegen, Dept Anim Ecol &amp; Ecophysiol, Nijmegen, Netherlands; [Gregory, Richard D.] RSPB Ctr Conservat Sci, Sandy, Beds, England; [Gregory, Richard D.] UCL, Ctr Biodivers &amp; Environm Res, Dept Genet Evolut &amp; Environm, London, England; [Hunt, Tom] Associat Local Environm Records Ctr, NEYEDC, York, N Yorkshire, England; [Jiguet, Frederic] Sorbonne Univ, CNRS, Ctr Ecol &amp; Sci Conservat, MNHN,UMR7204, Paris, France; [Lehikoinen, Aleksi] Univ Helsinki, Finnish Museum Nat Hist, Helsinki, Finland; [Roy, David B.] Ctr Ecol &amp; Hydrol, Biol Records Ctr, Wallingford, Oxon, England; [Walker, Kevin J.] BSBI, Harrogate, England; [Wilson, Jeremy D.] RSPB Scotland, RSPB Ctr Conservat Sci, Edinburgh, Midlothian, Scotland</t>
  </si>
  <si>
    <t>British Trust for Ornithology; Radboud University Nijmegen; Royal Society for Protection of Birds; University of London; University College London; Sorbonne Universite; Centre National de la Recherche Scientifique (CNRS); CNRS - Institute of Ecology &amp; Environment (INEE); Museum National d'Histoire Naturelle (MNHN); University of Helsinki; UK Centre for Ecology &amp; Hydrology (UKCEH); Royal Society for Protection of Birds</t>
  </si>
  <si>
    <t>Pearce-Higgins, JW (corresponding author), British Trust Ornithol, Thetford IP24 2PU, Norfolk, England.</t>
  </si>
  <si>
    <t>james.pearce-higgins@bto.org</t>
  </si>
  <si>
    <t>Lehikoinen, Aleksi/O-5444-2016; Baillie, Stephen/H-3023-2013; Roy, David/A-6619-2009; Walker, Kevin/KGK-8288-2024; Foppen, Ruud/PEV-3503-2025; Robinson, Robert/B-8237-2009; Boughey, Katherine/AAK-4225-2020</t>
  </si>
  <si>
    <t>Lehikoinen, Aleksi/0000-0002-1989-277X; Baillie, Stephen/0000-0001-5126-9470; Gregory, Richard/0000-0002-7419-5053; Bourn, Nigel/0000-0003-1416-6047;</t>
  </si>
  <si>
    <t>Natural Environment Research Council [NE/R016429/1, ceh020012] Funding Source: researchfish; NERC [NE/R016429/1, ceh020012] Funding Source: UKRI</t>
  </si>
  <si>
    <t>10.1111/1365-2664.13180</t>
  </si>
  <si>
    <t>GW9HW</t>
  </si>
  <si>
    <t>WOS:000447296300003</t>
  </si>
  <si>
    <t>La Sorte, FA; Cohen, JM; Jetz, W</t>
  </si>
  <si>
    <t>La Sorte, Frank A.; Cohen, Jeremy M.; Jetz, Walter</t>
  </si>
  <si>
    <t>Data coverage, biases, and trends in a global citizen-science resource for monitoring avian diversity</t>
  </si>
  <si>
    <t>DIVERSITY AND DISTRIBUTIONS</t>
  </si>
  <si>
    <t>citizen science; climate; eBird; hotspots; landcover; protected areas; sampling biases; species richness; survey completeness</t>
  </si>
  <si>
    <t>BIG DATA; DATA QUALITY; BIODIVERSITY; EBIRD</t>
  </si>
  <si>
    <t>AimUnderstanding and addressing the global biodiversity crisis requires ecological information compiled continuously from across the globe. Data from citizen science initiatives are useful for quantifying species' ecological niches and geographical distributions but can be difficult to apply towards biodiversity monitoring. The presence of fixed geographical locations reduces the opportunistic nature of citizen science data, allowing for more reliable and nuanced trend estimation. The eBird citizen-science program contains predefined locations whose bird assemblages are sampled across years ('hotspots'). For hotspots to function as a biodiversity monitoring resource, issues related to data coverage, biases, and trends need to be addressed.LocationGlobal.MethodsWe estimated the survey completeness of species richness at 300,500 eBird hotspots during 2002-2022. We documented sampling biases at eBird hotspot and non-hotspot locations during 2022 based on protection status, temperature, precipitation, and landcover.ResultsA total of 10,410 bird species (ca. 96.9% of total) were recorded at hotspots. The number of hotspots, checklists, and participants and the quality of species richness estimates increased worldwide with the Nearctic containing the strongest and most consistent trends. Compared to non-hotspots, hotspots oversampled areas with higher protection status. Hotspots and non-hotspots oversampled warmer and wetter locations in the Antarctic, Nearctic, and Palearctic, and cooler locations in the Afrotropics, Australasia, and the Neotropics. Hotspots and especially non-hotspots oversampled urban areas. Hotspots and non-hotspots undersampled shrublands in Australasia. Hotspots and especially non-hotspots undersampled forests in the Afrotropics, Indomalaya, Neotropics, and Oceania.Main ConclusionsHotspots have captured a large component of the world's avian diversity but have done so inconsistently across space and time. Data quantity and quality are increasing in many regions, but the presence of regionally specific sampling biases and spatial uncertainty in hotspot locations should be addressed when applying the data.</t>
  </si>
  <si>
    <t>[La Sorte, Frank A.; Cohen, Jeremy M.; Jetz, Walter] Yale Univ, Dept Ecol &amp; Evolutionary Biol, New Haven, CT 06511 USA; [La Sorte, Frank A.; Cohen, Jeremy M.; Jetz, Walter] Yale Univ, Ctr Biodivers &amp; Global Change, New Haven, CT 06511 USA</t>
  </si>
  <si>
    <t>Yale University; Yale University</t>
  </si>
  <si>
    <t>La Sorte, FA (corresponding author), Yale Univ, Dept Ecol &amp; Evolutionary Biol, New Haven, CT 06511 USA.</t>
  </si>
  <si>
    <t>fl235@yale.edu</t>
  </si>
  <si>
    <t>Jetz, Walter/ABF-1517-2020; La Sorte, Frank/A-2849-2009</t>
  </si>
  <si>
    <t>Jetz, Walter/0000-0002-1971-7277;</t>
  </si>
  <si>
    <t>National Aeronautics and Space Administration [DEB-1441737]; NSF [80NSSC17K0282, 80NSSC18K0435]; NASA; E.O. Wilson Biodiversity Foundation in furtherance of the Half-Earth Project</t>
  </si>
  <si>
    <t>National Aeronautics and Space Administration(National Aeronautics &amp; Space Administration (NASA)); NSF(National Science Foundation (NSF)); NASA(National Aeronautics &amp; Space Administration (NASA)); E.O. Wilson Biodiversity Foundation in furtherance of the Half-Earth Project</t>
  </si>
  <si>
    <t>We thank the many eBird participants and expert reviewers for their contributions to the eBird database. We thank K. Winner, J. Portmann, and J. Wilshire for assistance with data acquisition and preparation and members of the Jetz lab for valuable discussions. We acknowledge funding from NSF grant DEB-1441737 and NASA grants 80NSSC17K0282 and 80NSSC18K0435. This work was partially supported by the E.O. Wilson Biodiversity Foundation in furtherance of the Half-Earth Project.</t>
  </si>
  <si>
    <t>1366-9516</t>
  </si>
  <si>
    <t>1472-4642</t>
  </si>
  <si>
    <t>DIVERS DISTRIB</t>
  </si>
  <si>
    <t>Divers. Distrib.</t>
  </si>
  <si>
    <t>10.1111/ddi.13863</t>
  </si>
  <si>
    <t>JUN 2024</t>
  </si>
  <si>
    <t>YI1Y0</t>
  </si>
  <si>
    <t>WOS:001237599500001</t>
  </si>
  <si>
    <t>Dekramanjian, B</t>
  </si>
  <si>
    <t>Dekramanjian, Berj</t>
  </si>
  <si>
    <t>Dispositional regulatory focus in citizen science: Implications for engagement in environmental and public health monitoring</t>
  </si>
  <si>
    <t>SUSTAINABLE FUTURES</t>
  </si>
  <si>
    <t>Citizen science; Regulatory focus; Goal orientation; Behavioral persistence; Volunteer Engagement; Environmental monitoring</t>
  </si>
  <si>
    <t>SELF-REGULATION; MOTIVATION; FIT; PARTICIPATE; PERFORMANCE; VOLUNTEERS; COMMITMENT</t>
  </si>
  <si>
    <t>Citizen science faces persistent challenges in sustaining engagement, and understanding drivers of volunteer participation, particularly in digital initiatives addressing environmental and public health concerns. The study offers a novel application of Regulatory Focus Theory to examine the impact of dispositional goal orientations among participants of Mosquito Alert, a transnational initiative tracking invasive disease-carrying mosquitoes. Using mixed-method analysis of survey data and in-platform behavioral metrics, a significant skew towards prevention-focused participants was found. A further discrepancy emerged between self-reported motivations and actual behavior. Notably, heightened dispositional regulatory focus correlated with shorter participation spans. The findings revealed critical gaps between perceived motivations and behavioral outcomes, underscored importance of further integrating psychological constructs into platform design to enable and maintain long-term volunteer participation. The study advances theoretical understanding of volunteer psychology in sustainability contexts offering actionable strategies for improving the efficacy of initiatives.</t>
  </si>
  <si>
    <t>[Dekramanjian, Berj] Univ Pompeu Fabra, Dept Ciencies Polit &amp; Socials, Ramon Trias Fargas 25-27,Off 20 185, Barcelona 08005, Spain</t>
  </si>
  <si>
    <t>Pompeu Fabra University</t>
  </si>
  <si>
    <t>Dekramanjian, B (corresponding author), Univ Pompeu Fabra, Dept Ciencies Polit &amp; Socials, Ramon Trias Fargas 25-27,Off 20 185, Barcelona 08005, Spain.</t>
  </si>
  <si>
    <t>berj.dekramanjian@upf.edu</t>
  </si>
  <si>
    <t>Dekramanjian, Berj/GRJ-8891-2022</t>
  </si>
  <si>
    <t>HORIZON EUROPE [853271, 101057554]; FI-AGAUR [X2022002752]</t>
  </si>
  <si>
    <t>HORIZON EUROPE; FI-AGAUR</t>
  </si>
  <si>
    <t>This work was supported by HORIZON EUROPE under Grant 853271 &amp; Grant 101057554, and by FI-AGAUR under Grant X2022002752. I thank Mosquito Alert team and volunteers for their contributions to data collection and platform development facilitating this researc</t>
  </si>
  <si>
    <t>2666-1888</t>
  </si>
  <si>
    <t>SUSTAIN FUTURES</t>
  </si>
  <si>
    <t>Sustain. Futures</t>
  </si>
  <si>
    <t>10.1016/j.sftr.2026.101656</t>
  </si>
  <si>
    <t>JAN 2026</t>
  </si>
  <si>
    <t>Environmental Sciences; Operations Research &amp; Management Science</t>
  </si>
  <si>
    <t>Environmental Sciences &amp; Ecology; Operations Research &amp; Management Science</t>
  </si>
  <si>
    <t>CN0QU</t>
  </si>
  <si>
    <t>WOS:001669685700001</t>
  </si>
  <si>
    <t>Inspiring citizen science innovation for sustainable development goal 6 in water quality monitoring in China</t>
  </si>
  <si>
    <t>water quality monitoring; sustainable development goals; citizen science; innovative design; China</t>
  </si>
  <si>
    <t>DRINKING-WATER</t>
  </si>
  <si>
    <t>Introduction: The global challenge of sustainable development is encapsulated in the 17 United Nations Sustainable Development Goals (SDGs), to which China is committed. As outlined in the UNESCO World Water Assessment Program (WWAP) report, water fundamentally impacts on sustainable development, making the achievement of SDG 6 (water and sanitation) crucial. China, as a leading manufacturing hub with extensive agriculture, grapples with challenges in monitoring SDG 6 indicators, especially concerning water quality.Methods: In light of these challenges, this study explores the utilisation of non-traditional data sources, specifically citizen science (CS), to address aspects of SDG 6 monitoring pertaining to water quality monitoring in China. Specifically, our study employs a combination of research techniques-including a literature review, semi-structured interviews, and participant observation-to critically evaluate 13 existing CS projects focused on water quality monitoring. A modified CS assessment framework has been utilised, offering a comprehensive, structured approach to evaluation.Results: In total, this analysis identified four key findings: 1) CS projects related to water monitoring in China predominantly focus on freshwater and drinking water; 2) Greater attention and support are needed for freshwater monitoring initiatives to align with China's ecological civilisation policy; 3) Replacing citizen science with public participation may promote broader acceptance of these initiatives; 4) Training requires enhancement, particularly for participants from third- and fourth-tier cities as well as remote rural areas.Discussion: This research delineates feasible strategies for the future expansion and integration of CS projects throughout the country. It advocates for a more participatory data-driven approach to sustainable water management in China, given the highlighted challenges and the potential solutions unearthed through the use of citizen science and public participation.</t>
  </si>
  <si>
    <t>[Wu, Yaqian; Haklay, Muki] UCL, Geog Dept, Extreme Citizen Sci ExCiteS, London, England; [Washbourne, Carla] UCL, Dept Sci Technol Engn &amp; Publ Policy STEaPP, London, England</t>
  </si>
  <si>
    <t>Wu, YQ (corresponding author), UCL, Geog Dept, Extreme Citizen Sci ExCiteS, London, England.</t>
  </si>
  <si>
    <t>Washbourne, Carla-Leanne/AAK-9118-2020; Haklay, Mordechai/AAN-6892-2021</t>
  </si>
  <si>
    <t>Washbourne, Carla-Leanne/0000-0001-7818-918X;</t>
  </si>
  <si>
    <t>We thank the reviewers for helping improve the manuscript.</t>
  </si>
  <si>
    <t>10.3389/fenvs.2023.1234966</t>
  </si>
  <si>
    <t>X8WA2</t>
  </si>
  <si>
    <t>WOS:001101176800001</t>
  </si>
  <si>
    <t>Janez, M; Verovsek, S; Zupancic, T; Moskon, M</t>
  </si>
  <si>
    <t>Janez, Miha; Verovsek, Spela; Zupancic, Tadeja; Moskon, Miha</t>
  </si>
  <si>
    <t>Citizen Science for Traffic Monitoring: Investigating the Potentials for Complementing Traffic Counters with Crowdsourced Data</t>
  </si>
  <si>
    <t>traffic monitoring; regression; citizen science; inductive loop counters; Telraam counters; kernel ridge regression</t>
  </si>
  <si>
    <t>MOVING VEHICLE; CONGESTION; PREDICTION; REGRESSION; PATTERNS</t>
  </si>
  <si>
    <t>Traffic counts are among the most frequently employed data to assess the traffic patterns and key performance indicators of next generation sustainable cities. Automatised counting is often based on conventional traffic monitoring systems such as inductive loop counters (ILCs). These are costly to install, maintain, and support. In this paper, we investigate the possibilities to complement and potentially replace the existing traffic monitoring infrastructure with crowdsourcing solutions. More precisely, we investigate the capabilities to predict the ILC-obtained data using Telraam counters, low-cost camera counters voluntarily employed by citizens and freely accessible by the general public. In this context, we apply different exploratory data analysis approaches and demonstrate a regression procedure with a selected set of regression models. The presented analysis is demonstrated on different urban and highway road segments in Slovenia. Our results show that the data obtained from low-cost and easily accessible counters can be used to replace the existing traffic monitoring infrastructure in different scenarios. These results confirm the prospective to directly apply the citizen engagement in the process of planning and maintaining sustainable future cities.</t>
  </si>
  <si>
    <t>[Janez, Miha; Moskon, Miha] Univ Ljubljana, Fac Comp &amp; Informat Sci, Ljubljana 1000, Slovenia; [Verovsek, Spela; Zupancic, Tadeja] Univ Ljubljana, Fac Architecture, Ljubljana 1000, Slovenia</t>
  </si>
  <si>
    <t>University of Ljubljana; University of Ljubljana</t>
  </si>
  <si>
    <t>Moskon, M (corresponding author), Univ Ljubljana, Fac Comp &amp; Informat Sci, Ljubljana 1000, Slovenia.</t>
  </si>
  <si>
    <t>miha.janez@fri.uni-lj.si; spela.verovsek@fa.uni-lj.si; tadeja.zupancic@fa.uni-lj.si; miha.moskon@fri.uni-lj.si</t>
  </si>
  <si>
    <t>Moškon, Miha/J-3802-2019; Verovsek, Spela/C-9394-2011; Zupančič, Tadeja/R-8275-2017</t>
  </si>
  <si>
    <t>Moškon, Miha/0000-0003-4600-1730; Janež, Miha/0000-0002-6096-3023; Verovsek, Spela/0000-0001-5656-636X; Zupančič, Tadeja/0000-0001-5455-6918</t>
  </si>
  <si>
    <t>10.3390/su14020622</t>
  </si>
  <si>
    <t>YL8HT</t>
  </si>
  <si>
    <t>WOS:000746129300001</t>
  </si>
  <si>
    <t>González-Villanueva, R; Soriano-González, J; Alejo, I; Criado-Sudau, F; Plomaritis, T; Fernàndez-Mora, A; Benavente, J; Del Río, L; Nombela, MA; Sánchez-García, E</t>
  </si>
  <si>
    <t>Gonzalez-Villanueva, Rita; Soriano-Gonzalez, Jesus; Alejo, Irene; Criado-Sudau, Francisco; Plomaritis, Theocharis; Fernandez-Mora, Angels; Benavente, Javier; Del Rio, Laura; Nombela, Miguel Angel; Sanchez-Garcia, Elena</t>
  </si>
  <si>
    <t>SCShores: a comprehensive shoreline dataset of Spanish sandy beaches from a citizen-science monitoring programme</t>
  </si>
  <si>
    <t>EARTH SYSTEM SCIENCE DATA</t>
  </si>
  <si>
    <t>Sandy beaches are ever-changing environments, as they experience constant reshaping due to the external forces of tides, waves, and winds. The shoreline position, which marks the boundary between water and sand, holds great significance in the fields of coastal geomorphology, coastal engineering, and coastal management. It is crucial to understand how beaches evolve over time, but high-resolution shoreline datasets are scarce, and establishing monitoring systems can be costly. To address this, we present a new dataset of the shorelines of five Spanish sandy beaches located in contrasting environments that is derived from the CoastSnap citizen-science shoreline monitoring programme. The use of citizen science within environmental projects is increasing, as it allows both community awareness and the collection of large amounts of data that are otherwise difficult to obtain. This dataset includes a total of 1721 individual shorelines composed of 3 m spaced points alongshore, accompanied by additional attributes, such as elevation value and acquisition date, allowing for easy comparisons. Our dataset offers a unique perspective on how citizen science can provide reliable datasets that are useful for management and geomorphological studies. The shoreline dataset, along with relevant metadata, is available at 10.5281/zenodo.8056415 (Gonz &amp; aacute;lez-Villanueva et al., 2023b).</t>
  </si>
  <si>
    <t>[Gonzalez-Villanueva, Rita; Alejo, Irene; Nombela, Miguel Angel] Univ Vigo, Ctr Invest Marina, XM1, Vigo 36310, Spain; [Soriano-Gonzalez, Jesus; Criado-Sudau, Francisco; Fernandez-Mora, Angels; Sanchez-Garcia, Elena] Balearic Isl Coastal Observing &amp; Forecasting Syst, Palma De Mallorca 07121, Spain; [Plomaritis, Theocharis] Univ Cadiz, Fac Marine &amp; Environm Sci, Dept Appl Phys, Puerto Real 11510, Cadiz, Spain; [Benavente, Javier; Del Rio, Laura] Univ Cadiz, Fac Marine &amp; Environm Sci, Dept Earth Sci, Puerto Real 11510, Cadiz, Spain</t>
  </si>
  <si>
    <t>Universidade de Vigo; CIM UVIGO; Universidad de Cadiz; Universidad de Cadiz</t>
  </si>
  <si>
    <t>González-Villanueva, R (corresponding author), Univ Vigo, Ctr Invest Marina, XM1, Vigo 36310, Spain.</t>
  </si>
  <si>
    <t>ritagonzalez@uvigo.gal</t>
  </si>
  <si>
    <t>Sánchez-García, Elena/ABE-3969-2020; Del Río Rodríguez, Laura/L-3213-2014; Criado-Sudau, Francisco Fabián/AAA-3955-2019; del Rio, Laura/L-3213-2014; González-Villanueva, Rita/G-7409-2015; Alejo, Irene/F-8909-2016; Plomaritis, Theocharis/C-1309-2012; Benavente González, Javier/B-7309-2017; Fernandez-Mora, Angels/AAB-4187-2019</t>
  </si>
  <si>
    <t>Sánchez-García, Elena/0000-0002-8642-2436; Del Río Rodríguez, Laura/0000-0001-6537-4773; Criado-Sudau, Francisco Fabián/0000-0002-4724-362X; Soriano-González, Jesús/0000-0001-6573-3924; González-Villanueva, Rita/0000-0002-6583-2348; Benavente González, Javier/0000-0003-1415-8776; Fernandez-Mora, Angels/0000-0003-0150-1432</t>
  </si>
  <si>
    <t>Spanish Foundation for Science and Technology (FECYT) [FCT-20-15835]; Xunta de Galicia (Centro de Investigacion de Galicia accreditation 2019-2022); European Union (European Regional Development Fund - ERDF); University of Cadiz [PR2019-022]</t>
  </si>
  <si>
    <t>Spanish Foundation for Science and Technology (FECYT); Xunta de Galicia (Centro de Investigacion de Galicia accreditation 2019-2022)(Xunta de Galicia); European Union (European Regional Development Fund - ERDF)(European Union (EU)Marie Curie Actions); University of Cadiz</t>
  </si>
  <si>
    <t>This work received support from the Spanish Foundation for Science and Technology (FECYT) through the project Centinelas de la Costa (FCT-20-15835). This work received financial support from the Xunta de Galicia (Centro de Investigacion de Galicia accreditation 2019-2022) and the European Union (European Regional Development Fund - ERDF). The installation of Cadiz station was funded by the University of Cadiz through project PR2019-022.</t>
  </si>
  <si>
    <t>1866-3508</t>
  </si>
  <si>
    <t>1866-3516</t>
  </si>
  <si>
    <t>EARTH SYST SCI DATA</t>
  </si>
  <si>
    <t>Earth Syst. Sci. Data</t>
  </si>
  <si>
    <t>10.5194/essd-15-4613-2023</t>
  </si>
  <si>
    <t>Geosciences, Multidisciplinary; Meteorology &amp; Atmospheric Sciences</t>
  </si>
  <si>
    <t>Geology; Meteorology &amp; Atmospheric Sciences</t>
  </si>
  <si>
    <t>HV7Q2</t>
  </si>
  <si>
    <t>WOS:001162352300001</t>
  </si>
  <si>
    <t>Gardiner, MM; Allee, LL; Brown, PMJ; Losey, JE; Roy, HE; Smyth, RR</t>
  </si>
  <si>
    <t>Gardiner, Mary M.; Allee, Leslie L.; Brown, Peter M. J.; Losey, John E.; Roy, Helen E.; Smyth, Rebecca Rice</t>
  </si>
  <si>
    <t>Lessons from lady beetles: accuracy of monitoring data from US and UK citizen-science programs</t>
  </si>
  <si>
    <t>COLEOPTERA; TOOL</t>
  </si>
  <si>
    <t>Citizen scientists have the potential to play a crucial role in the study of rapidly changing lady beetle (Coccinellidae) populations. We used data derived from three coccinellid-focused citizen-science programs to examine the costs and benefits of data collection from direct citizen-science (data used without verification) and verified citizen-science (observations verified by trained experts) programs. Data collated through direct citizen science overestimated species richness and diversity values in comparison to verified data, thereby influencing interpretation. The use of citizen scientists to collect data also influenced research costs; our analysis shows that verified citizen science was more cost effective than traditional science (in terms of data gathered per dollar). The ability to collect a greater number of samples through direct citizen science may compensate for reduced accuracy, depending on the type of data collected and the type(s) and extent of errors committed by volunteers.</t>
  </si>
  <si>
    <t>[Gardiner, Mary M.] Ohio State Univ, Dept Entomol, Wooster, OH USA; [Allee, Leslie L.; Losey, John E.; Smyth, Rebecca Rice] Cornell Univ, Dept Entomol, Ithaca, NY 14853 USA; [Brown, Peter M. J.] Anglia Ruskin Univ, Dept Life Sci, Anim &amp; Environm Res Grp, Cambridge, England; [Roy, Helen E.] NERC Ctr Ecol &amp; Hydrol, Oxford, England</t>
  </si>
  <si>
    <t>University System of Ohio; Ohio State University; Cornell University; Anglia Ruskin University; UK Centre for Ecology &amp; Hydrology (UKCEH)</t>
  </si>
  <si>
    <t>Gardiner, MM (corresponding author), Ohio State Univ, Dept Entomol, Wooster, OH USA.</t>
  </si>
  <si>
    <t>gardiner.29@osu.edu</t>
  </si>
  <si>
    <t>Gardiner, Mary/B-3733-2012; Roy, Helen/A-1488-2010</t>
  </si>
  <si>
    <t>Brown, Peter/0000-0002-6163-4504</t>
  </si>
  <si>
    <t>Informal Science Education Program of the National Science Foundation; NERC Centre for Ecology Hydrology; Joint Nature Conservation Committee; Department for Environment, Food and Rural Affairs; OSU-OARDC SEEDS Grant; Natural Environment Research Council [CEH010021] Funding Source: researchfish</t>
  </si>
  <si>
    <t>Informal Science Education Program of the National Science Foundation; NERC Centre for Ecology Hydrology; Joint Nature Conservation Committee; Department for Environment, Food and Rural Affairs(Department for Environment, Food &amp; Rural Affairs (DEFRA)); OSU-OARDC SEEDS Grant; Natural Environment Research Council(UK Research &amp; Innovation (UKRI)Natural Environment Research Council (NERC))</t>
  </si>
  <si>
    <t>We thank all our volunteers for contributing lady beetle data. LLP is supported by a grant from the Informal Science Education Program of the National Science Foundation. HER is funded through the NERC Centre for Ecology &amp; Hydrology and the Joint Nature Conservation Committee. The development of the online surveys in Britain was funded in part by the Department for Environment, Food and Rural Affairs. MMG thanks B Hunt, S Prajzner, C Smith, and H Edgington, who verified volunteer identifications. BLBB is funded by an OSU-OARDC SEEDS Grant to MMG. B Bishop, OSU-OARDC, provided assistance with statistical analyses.</t>
  </si>
  <si>
    <t>1540-9309</t>
  </si>
  <si>
    <t>10.1890/110185</t>
  </si>
  <si>
    <t>031WF</t>
  </si>
  <si>
    <t>WOS:000310672600016</t>
  </si>
  <si>
    <t>Ibrahim, ST; Hammami, N; Katapally, TR</t>
  </si>
  <si>
    <t>Ibrahim, Sheriff Tolulope; Hammami, Nour; Katapally, Tarun Reddy</t>
  </si>
  <si>
    <t>Traditional surveys versus ecological momentary assessments: Digital citizen science approaches to improve ethical physical activity surveillance among youth</t>
  </si>
  <si>
    <t>PLOS DIGITAL HEALTH</t>
  </si>
  <si>
    <t>ACTIVITY QUESTIONNAIRE; YOUNG-ADULTS; HEALTH; VALIDITY; PARTICIPATION; POPULATION; IMPACT</t>
  </si>
  <si>
    <t>The role of physical activity (PA) in minimizing non-communicable diseases is well established. Measurement bias can be reduced via ecological momentary assessments (EMAs) deployed via citizen-owned smartphones. This study aims to engage citizen scientists to understand how PA reported digitally by retrospective and prospective measures varies within the same cohort. This study used the digital citizen science approach to collaborate with citizen scientists, aged 13-21 years over eight consecutive days via a custom-built app. Citizen scientists were recruited through schools in Regina, Saskatchewan, Canada in 2018 (August 31-December 31). Retrospective PA was assessed through a survey, which was adapted from three validated PA surveys to suit smartphone-based data collection, and prospective PA was assessed through time-triggered EMAs deployed consecutively every day, from day 1 to day 8, including weekdays and weekends. Data analyses included paired ttests to understand the difference in PA reported retrospectively and prospectively, and linear regressions to assess contextual and demographic factors associated with PA reported retrospectively and prospectively. Findings showed a significant difference between PA reported retrospectively and prospectively (p = 0.001). Ethnicity (visible minorities: (3 =0.911, 95% C.I. =-1.677,-0.146), parental education (university: (3 = 0.978, 95% C.I. = 0.308, 1.649), and strength training (at least one day: (3 = 0.932, 95% C.I. = 0.108, 1.755) were associated with PA reported prospectively. In contrast, the number of active friends (at least one friend: (3 = 0.741, 95% C.I. = 0.026, 1.458) was associated with retrospective PA. Physical inactivity is the fourth leading cause of mortality globally, which requires accurate monitoring to inform population health interventions. In this digital age, where ubiquitous devices provide real-time engagement capabilities, digital citizen science can transform how we measure behaviours using citizen-owned ubiquitous digital tools to support prevention and treatment of non-communicable diseases.</t>
  </si>
  <si>
    <t>[Ibrahim, Sheriff Tolulope; Katapally, Tarun Reddy] Western Univ, Fac Hlth Sci, Sch Hlth Studies, Depth Lab, London, ON, Canada; [Hammami, Nour] Trent Univ Durham, Dept Child &amp; Youth Studies, 55 Thornton Rd South, Oshawa, ON, Canada; [Katapally, Tarun Reddy] Western Univ, Schulich Sch Med &amp; Dent, Dept Epidemiol &amp; Biostat, London, ON, Canada; [Katapally, Tarun Reddy] Lawson Hlth Res Inst, Childrens Hlth Res Inst, London, ON, Canada</t>
  </si>
  <si>
    <t>Western University (University of Western Ontario); Western University (University of Western Ontario); Western University (University of Western Ontario); University Western Ontario Hospital</t>
  </si>
  <si>
    <t>Katapally, TR (corresponding author), Western Univ, Fac Hlth Sci, Sch Hlth Studies, Depth Lab, London, ON, Canada.;Katapally, TR (corresponding author), Western Univ, Schulich Sch Med &amp; Dent, Dept Epidemiol &amp; Biostat, London, ON, Canada.;Katapally, TR (corresponding author), Lawson Hlth Res Inst, Childrens Hlth Res Inst, London, ON, Canada.</t>
  </si>
  <si>
    <t>tarun.katapally@uwo.ca</t>
  </si>
  <si>
    <t>Ibrahim, Sheriff Tolulope/0009-0001-5956-0972; Hammami, Nour/0000-0001-5816-5949; KATAPALLY, TARUN REDDY/0000-0001-5765-1435</t>
  </si>
  <si>
    <t>Canada Research Chairs Program (Canada Research Chair in Digital Health for Equity awarded)</t>
  </si>
  <si>
    <t>This research was supported by the Saskatchewan Health Research Foundation (Establishment Grant and Patient-OrientedResearch Leader Award to TRK) and the Canada Research Chairs Program (Canada Research Chair in Digital Health for Equity awarded to TRK) . The funders had no role in study design, data collection and analysis, decision to publish, or preparation of the manuscript.</t>
  </si>
  <si>
    <t>2767-3170</t>
  </si>
  <si>
    <t>PLOS DIGIT HEALTH</t>
  </si>
  <si>
    <t>PLOS Digit. Health</t>
  </si>
  <si>
    <t>e0000294</t>
  </si>
  <si>
    <t>10.1371/journal.pdig.0000294</t>
  </si>
  <si>
    <t>Health Care Sciences &amp; Services; Medical Informatics</t>
  </si>
  <si>
    <t>W2B7K</t>
  </si>
  <si>
    <t>WOS:001416699000001</t>
  </si>
  <si>
    <t>Maina, CW; Njoroge, P</t>
  </si>
  <si>
    <t>Wa Maina, Ciira; Njoroge, Peter</t>
  </si>
  <si>
    <t>Comparing point counts, passive acoustic monitoring, citizen science and machine learning for bird species monitoring in the Mount Kenya ecosystem</t>
  </si>
  <si>
    <t>point counts; autonomous recording unit; indicator species</t>
  </si>
  <si>
    <t>BIODIVERSITY; RICHNESS; AREAS</t>
  </si>
  <si>
    <t>Biodiversity loss is a pressing challenge, with ecosystems across the world under threat from factors such as human encroachment, over exploitation and climate change. It is important to increase ecosystem monitoring efforts to provide actionable insights for ecosystem managers and to allow effective use of conservation resources. In this work, we compare traditional bird survey approaches using point counts with the use of autonomous recording units and citizen scientists' data at two sites within the Mount Kenya ecosystem. We also present a new dataset of more than 20 h of recordings obtained from the Mount Kenya ecosystem and annotated by expert ornithologists, and investigate the use of large deep learning models to process these recordings. Our results are mixed, and at one site, autonomous recording units and traditional point counts yield similar conclusions when comparing relative abundance of species, while at the second site, conclusions differ. Our results indicate that citizen science is preferable to point counts and autonomous recording units in determining species lists for particular habitats. However, even with the use of multiple methods, our survey still misses rare species known to occur in the Mount Kenya ecosystem, indicating that even the use of multiple methods is not exhaustive.This article is part of the theme issue 'Acoustic monitoring for tropical ecology and conservation'.</t>
  </si>
  <si>
    <t>[Wa Maina, Ciira] Dedan Kimathi Univ Technol, Ctr Data Sci &amp; Artificial Intelligence, Nyeri, Kenya; [Njoroge, Peter] Natl Museums Kenya, Ornithol, Nairobi, Kenya</t>
  </si>
  <si>
    <t>Maina, CW (corresponding author), Dedan Kimathi Univ Technol, Ctr Data Sci &amp; Artificial Intelligence, Nyeri, Kenya.</t>
  </si>
  <si>
    <t>ciira.maina@dkut.ac.ke; pnjoroge@museums.or.ke</t>
  </si>
  <si>
    <t>wa Maina, Ciira/0000-0003-4203-3129</t>
  </si>
  <si>
    <t>Google</t>
  </si>
  <si>
    <t>Google(Google Incorporated)</t>
  </si>
  <si>
    <t>We that the Kenya Wildlife Service for granting us access to the study area. We also thank Professor Alex Rogers of the Department of Computer Science, University of Oxford for donating an early version of the AudioMoth which was used in the study. We also thank David Muchiri, Dominic Chesire, Rashid Saidi, Kaindio Kimathi and Francis Omosugu for support during data collection and annotation.</t>
  </si>
  <si>
    <t>JUN 12</t>
  </si>
  <si>
    <t>10.1098/rstb.2024.0057</t>
  </si>
  <si>
    <t>3TI7X</t>
  </si>
  <si>
    <t>WOS:001508528700002</t>
  </si>
  <si>
    <t>Molnár, AD; Málnás, K; Böhm, S; Gyalai-Korpos, M; Cserép, M; Kiss, T</t>
  </si>
  <si>
    <t>Molnar, Attila David; Malnas, Kristof; Bohm, Sara; Gyalai-Korpos, Miklos; Cserep, Mate; Kiss, Timea</t>
  </si>
  <si>
    <t>Comparative Analysis of Riverine Plastic Pollution Combining Citizen Science, Remote Sensing and Water Quality Monitoring Techniques</t>
  </si>
  <si>
    <t>plastic waste; pollution monitoring; citizen science; remote sensing; microplastic degradation; microplastic fragments</t>
  </si>
  <si>
    <t>The Tisza River is the longest tributary of the Danube, draining the eastern part of the Carpathian Basin (Central Europe). Five countries share its catchment with different waste production and management practices. Large amounts of waste, including macroplastics (MaPs), are washed into the river. Some of the litter is trapped by the riparian vegetation forming litter accumulations. The study aimed to map the amount of litter by a citizen science program and remote sensing data and to compare the MaP data to the amount of microplastic fragments in sediments. Volunteers reported 3216 riverine litter accumulations from five countries along the entire length of the Tisza (2016-2022). The results suggest that low flow conditions (e.g., impoundment by dams) support litter and MaP trapping. The volume of large accumulations registered by the citizens showed a good correlation with the area of drifting litter revealed on Sentinel-2 images (2016-2022) using machine learning algorithms. Though the MaPs probably fragmentate during their fluvial transport, no clear connection was found between the volume of litter accumulations and the mean microplastic fragment content of sediments (2019-2022). The Clean Tisza Map reveals the high degree of stranded pollutants along rivers and supports public cleanup activities.</t>
  </si>
  <si>
    <t>[Molnar, Attila David; Malnas, Kristof; Bohm, Sara; Gyalai-Korpos, Miklos] River Monitoring &amp; Citizen Sci Unit, Plast Cup Soc, Gutenberg Sq 2 V-3, H-5000 Szolnok, Hungary; [Gyalai-Korpos, Miklos] River Cleanup Technol &amp; Innovat Unit, Plast Cup Soc, Gutenberg Sq 2 V-3, H-5000 Szolnok, Hungary; [Cserep, Mate] Eotvos Lorand Univ, Fac Informat, ELTE Geoinformat Lab, Pazmany Peter Str 1-C, H-1117 Budapest, Hungary; [Kiss, Timea] Horvath Gy str 80, H-6630 Mindszent, Hungary</t>
  </si>
  <si>
    <t>Eotvos Lorand University</t>
  </si>
  <si>
    <t>Kiss, T (corresponding author), Horvath Gy str 80, H-6630 Mindszent, Hungary.</t>
  </si>
  <si>
    <t>attila@petkupa.hu; hello@petkupa.hu; sara@petkupa.hu; innovacio@petkupa.hu; mcserep@inf.elte.hu; kisstimi@gmail.com</t>
  </si>
  <si>
    <t>; Cserép, Máté/I-7281-2017</t>
  </si>
  <si>
    <t>Molnár, Attila Dávid/0000-0002-5240-5435; Cserép, Máté/0000-0002-3168-7736; Kiss, Tímea/0000-0002-2597-5176</t>
  </si>
  <si>
    <t>Hungarian Research Foundation [134306]</t>
  </si>
  <si>
    <t>Hungarian Research Foundation(Orszagos Tudomanyos Kutatasi Alapprogramok (OTKA))</t>
  </si>
  <si>
    <t>This presented citizen science research was carried out in the framework of the Danube Transnational Programme's Interreg Project 'Tid(y)Up' (DTP3-620-2.1) and the Erasmus+ project'5 countries1 river' (2020-1-HU01-KA201-078843).Additional data provided by the DALIA(HORIZON-MISS-OCEAN-02-02-101094070) Danube Lighthouse and Aquatic Plastic (DRP0200235)Danube-Region projects. The microplastic study was founded by the Hungarian Research Foundation(OTKA No. 134306).</t>
  </si>
  <si>
    <t>10.3390/su16125040</t>
  </si>
  <si>
    <t>WO3W0</t>
  </si>
  <si>
    <t>WOS:001255788400001</t>
  </si>
  <si>
    <t>Washitani, I; Nagai, M; Yasukawa, M; Kitsuregawa, M</t>
  </si>
  <si>
    <t>Washitani, Izumi; Nagai, Mihoko; Yasukawa, Masaki; Kitsuregawa, Masaru</t>
  </si>
  <si>
    <t>Testing a butterfly commonness hypothesis with data assembled by a citizen science program Tokyo Butterfly Monitoring</t>
  </si>
  <si>
    <t>ECOLOGICAL RESEARCH</t>
  </si>
  <si>
    <t>butterfly; commonness; host plant; megacity; monitoring</t>
  </si>
  <si>
    <t>CITY; SHIFT</t>
  </si>
  <si>
    <t>We tested a hypothesis regarding species commonness using a database compiled by a citizen science program called Tokyo Butterfly Monitoring. The data used were more than 34,000 butterfly records, which were cleansed through expert check after posted by monitoring participants from 2009 to 2017. We hypothesized that butterfly species with multiple annual reproductive cycles and food plants common in city environments are more common and would have more monitoring reports. The generalized linear mixed model (GLMM) analysis revealed significant effects of including cultivated plants in the larval food menu and multivoltinism on the number of individual species reported, which was compatible with the hypothesis. The species with the most records (12% of all records among 90 species) wasZizeeria maha, which reproduces 5-6 times annually and relies onOxalis corniculata, a small weed common in urban open spaces.Argyreus hyperbius, a southern species that was very rare before the 1990s, ranked third in the current data. Its major host plant is a common garden plant, the pansy, which grows in most gardens and green spaces. The data collected by the monitoring program appear to represent the status of the butterfly community in Tokyo, a megacity subjected to rapid environmental changes.</t>
  </si>
  <si>
    <t>[Washitani, Izumi; Nagai, Mihoko] Chuo Univ, Fac Sci &amp; Engn, Tokyo, Japan; [Yasukawa, Masaki] Univ Tokyo, Earth Observat Data Integrat &amp; Fus Res Initiat, Tokyo, Japan; [Kitsuregawa, Masaru] Natl Inst Informat, Tokyo, Japan; [Kitsuregawa, Masaru] Univ Tokyo, Inst Ind Sci, Tokyo, Japan</t>
  </si>
  <si>
    <t>Chuo University; University of Tokyo; Research Organization of Information &amp; Systems (ROIS); National Institute of Informatics (NII) - Japan; University of Tokyo</t>
  </si>
  <si>
    <t>Washitani, I (corresponding author), Chuo Univ, Fac Sci &amp; Engn, Bunkyo Ku, 1-13-27 Kasuga, Tokyo 1128551, Japan.</t>
  </si>
  <si>
    <t>washiizu.22r@g.chuo-u.ac.jp</t>
  </si>
  <si>
    <t>Nagai, Mihoko/OOK-6633-2025</t>
  </si>
  <si>
    <t>0912-3814</t>
  </si>
  <si>
    <t>1440-1703</t>
  </si>
  <si>
    <t>ECOL RES</t>
  </si>
  <si>
    <t>Ecol. Res.</t>
  </si>
  <si>
    <t>10.1111/1440-1703.12161</t>
  </si>
  <si>
    <t>AUG 2020</t>
  </si>
  <si>
    <t>PA4UX</t>
  </si>
  <si>
    <t>WOS:000564414700001</t>
  </si>
  <si>
    <t>Zheng, KY; Wong, MKL; Tsang, TPN; Leong, CM</t>
  </si>
  <si>
    <t>Zheng, Kaiyun; Wong, Mark K. L.; Tsang, Toby P. N.; Leong, Chi Man</t>
  </si>
  <si>
    <t>Bridging Citizen Science and Expert Surveys in urban biodiversity monitoring: Insights from insect diversity in Macao</t>
  </si>
  <si>
    <t>BIODIVERSITY DATA JOURNAL</t>
  </si>
  <si>
    <t>citizen science; iNaturalist; conservation; biodiversity; urban ecosystems</t>
  </si>
  <si>
    <t>CONSERVATION RESEARCH; ECOLOGY; EXTRAPOLATION; RAREFACTION; CHALLENGES</t>
  </si>
  <si>
    <t>Urban ecosystems present unique challenges for biodiversity monitoring, demanding efficient methods to document species diversity in rapidly changing environments. This study quantifies insect diversity in Macao SAR - a hyper-urbanised region - by integrating data on 1,339 species documented in expert-led surveys and 1,012 species recorded in citizen-science observations between 2019 and 2023. Striking divergence emerged between the expert and citizen-science datasets: only 462 species (33.5% of total diversity) were detected by both groups, with experts documenting 877 unique taxa often requiring specialised collection or morphological analysis, while citizen scientists contributed 550 distinctive species through spatially explicit, image-based records. Together, these approaches achieved 96.59% estimated species coverage within five years, demonstrating that combining community-driven data with expert methods accelerates comprehensive biodiversity documentation. Citizen-science platforms played a pivotal role by providing high-resolution geotagged imagery which enabled experts to validate records and resolve taxonomic ambiguities. Meanwhile, expert surveys detected cryptic taxa overlooked by citizen scientists. The rapid species coverage achieved through this synergy highlights the transformative potential of integrated frameworks. By mobilizing the scalability of citizen science to fill spatial and taxonomic gaps, while leveraging expert precision to ensure rigour, urban biodiversity monitoring can adapt to the rapid pace of ecological change. These findings advocate for collaborative strategies that harness public participation and scientific validation to optimise conservation efforts in data-deficient and highly-stressed ecosystems.</t>
  </si>
  <si>
    <t>[Zheng, Kaiyun] Beijing Normal Hong Kong Baptist Univ, Dept Life Sci, Zhuhai, Peoples R China; [Wong, Mark K. L.] Univ Western Australia, Sch Biol Sci, Crawley, Australia; [Tsang, Toby P. N.] Univ Toronto Scarborough, Dept Biol Sci, Toronto, ON, Canada; [Leong, Chi Man] Beijing Normal Hong Kong Baptist Univ, Guangdong Prov Zhuhai Key Lab Interdisciplinary Re, Zhuhai, Peoples R China</t>
  </si>
  <si>
    <t>University of Western Australia; University of Toronto; University Toronto Scarborough</t>
  </si>
  <si>
    <t>Leong, CM (corresponding author), Beijing Normal Hong Kong Baptist Univ, Guangdong Prov Zhuhai Key Lab Interdisciplinary Re, Zhuhai, Peoples R China.</t>
  </si>
  <si>
    <t>dannycmleong@uic.edu.cn</t>
  </si>
  <si>
    <t>; Leong, Chi Man/AAD-8469-2020; Wong, Mark K L/K-9514-2019</t>
  </si>
  <si>
    <t>Zheng, Kaiyun/0009-0001-0865-9833; Leong, Chi Man/0000-0002-6446-6518; Wong, Mark K L/0000-0002-6248-3103</t>
  </si>
  <si>
    <t>Beijing Normal-Hong Kong Baptist University [UICR0100020, UICR0700050-23, UlCR0600072]</t>
  </si>
  <si>
    <t>Beijing Normal-Hong Kong Baptist University</t>
  </si>
  <si>
    <t>This research is supported by the Beijing Normal-Hong Kong Baptist University (UICR0100020, UICR0700050-23, UlCR0600072) .</t>
  </si>
  <si>
    <t>1314-2836</t>
  </si>
  <si>
    <t>1314-2828</t>
  </si>
  <si>
    <t>BIODIVERS DATA J</t>
  </si>
  <si>
    <t>Biodiver. Data J.</t>
  </si>
  <si>
    <t>e153402</t>
  </si>
  <si>
    <t>10.3897/BDJ.13.e153402</t>
  </si>
  <si>
    <t>4AF1C</t>
  </si>
  <si>
    <t>WOS:001513195000001</t>
  </si>
  <si>
    <t>Henriques, B; Brito, B; Barreiros, C; Galvao, G; Coito, J; Lourinho, S; Mil-Homens, T; Maciel, V; Queijinho, A; Cardoso, B; Maria, L; Vatova, M; Bastos, R; Prata, SC; Martins, LO; Ramalho, R; Silva, A; Brigadeiro, E; Leao, MJ; Pereira, PM; Durao, P</t>
  </si>
  <si>
    <t>Henriques, Bruna; Brito, Bruna; Barreiros, Catarina; Galvao, Guilherme; Coito, Joao; Lourinho, Sofia; Mil-Homens, Teresa; Maciel, Veronica; Queijinho, Afonso; Cardoso, Beatriz; Maria, Leonor; Vatova, Mariyana; Bastos, Rodrigo; Prata, Sara Carrera; Martins, Ligia O.; Ramalho, Renata; Silva, Ana; Brigadeiro, Elisabete; Leao, Maria J.; Pereira, Pedro Matos; Durao, Paulo</t>
  </si>
  <si>
    <t>MicroMundo@Oeiras: citizen science promoting antibiotic stewardship, discovery of new antimicrobials, and monitoring of soil resistance</t>
  </si>
  <si>
    <t>FEMS MICROBIOLOGY LETTERS</t>
  </si>
  <si>
    <t>MicroMundo; antibiotic discovery; soil antimicrobial resistance; citizen science</t>
  </si>
  <si>
    <t>ESCHERICHIA-COLI; STAPHYLOCOCCUS-AUREUS; MICROBIAL DIVERSITY; GENES; TETRACYCLINE; MECHANISMS; HOSPITALS; EVOLUTION</t>
  </si>
  <si>
    <t>The alarming rise of antimicrobial resistance (AMR) is an emerging public health challenge to our society. Although resistance is an inevitable evolutionary process, finding new antimicrobials, mapping AMR, and raising community awareness leading to better hygiene attitudes and more responsible antibiotic consumption, when treatment is really required, is a cost-effective route to slow down the pace of resistance propagation. In MicroMundo@Oeiras, a citizen science project implemented at the ITQB NOVA research institute, we have successfully expanded to the Oeiras Municipality in the Lisbon metropolitan area (Portugal) the service-learning MicroMundo project based on the Tiny Earth/Small World Initiative, aimed to explore soil microbial biodiversity in search for novel antibiotics and simultaneously educating a fraction of the community at the university, and junior and high school level about AMR. Moreover, we have successfully extended the MicroMundo protocols to characterize the frequency of resistant soil bacteria to the antibiotics' amoxicillin, tetracycline, and ciprofloxacin. Our preliminary results using this coupled analysis suggest that AMR soil bacteria are likely to be more prevalent than antibiotic-producing bacteria, creating a stimulating experimental outcome for the enrolled citizen scientists, and broadening the scope of possible scientific questions. We have also created a public database, where all AMR frequency found in the isolated soil bacteria will be regularly updated, creating a novel AMR data source with information from unconventional monitoring sites. Modifications of the citizen science project MicroMundo (monitoring antimicrobial resistance in soil bacteria) to extend its scope are reported.</t>
  </si>
  <si>
    <t>[Henriques, Bruna; Vatova, Mariyana; Prata, Sara Carrera; Martins, Ligia O.; Ramalho, Renata; Silva, Ana; Leao, Maria J.; Pereira, Pedro Matos; Durao, Paulo] Univ Nova Lisboa, Inst Tecnol Quim &amp; Biol Antonio Xavier, Ave Republ, P-2780157 Oeiras, Portugal; [Brito, Bruna] Nova Med Sch, Campo Martires da Patria 130, P-1169056 Lisbon, Portugal; [Barreiros, Catarina; Galvao, Guilherme; Coito, Joao; Lourinho, Sofia; Mil-Homens, Teresa; Maciel, Veronica; Queijinho, Afonso; Cardoso, Beatriz; Maria, Leonor; Bastos, Rodrigo] Univ Nova Lisboa, Fac Ciencias &amp; Tecnol, P-2829516 Caparica, Portugal; [Brigadeiro, Elisabete; Leao, Maria J.] Municipio Oeiras, P-2784501 Oeiras, Portugal</t>
  </si>
  <si>
    <t>Universidade Nova de Lisboa; Universidade Nova de Lisboa</t>
  </si>
  <si>
    <t>Leao, MJ; Pereira, PM; Durao, P (corresponding author), Univ Nova Lisboa, Inst Tecnol Quim &amp; Biol Antonio Xavier, Ave Republ, P-2780157 Oeiras, Portugal.</t>
  </si>
  <si>
    <t>mjleao@itqb.unl.pt; pmatos@itqb.unl.pt; pdurao@itqb.unl.pt</t>
  </si>
  <si>
    <t>Cardoso, Beatriz/JHT-0716-2023; Durao, Paulo/I-3973-2014; Pereira, Pedro/I-9375-2014; Martins, Lígia O/C-2513-2009</t>
  </si>
  <si>
    <t>Durao, Paulo/0000-0002-4411-2958; Henriques, Bruna/0009-0003-5277-3806; Martins, Lígia O/0000-0003-0082-9591; Brigadeiro Baioa, Elisabete/0009-0000-8889-0690; Pea Coito, João/0009-0007-3769-5079</t>
  </si>
  <si>
    <t>Fundacao para a Ciencia e Tecnologia (FCT) [UIDB/04612/2020, UIDP/04612/2020]; LS4FUTURE Associated Laboratory [LA/P/0087/2020]; FCT [2021.00778.CEECIND/CP1657/CT0009, PTDC/BIA MIC/2422/2020]; La Caixa Junior Leader Fellowship by la Caixa Foundation [LCF/BQ/PI20/11760012, 100010434]; European Union's [847648]; Maratona da Saude; Oeiras Municipality; ITQB NOVA through the Ciencia + Cidada Program</t>
  </si>
  <si>
    <t>Fundacao para a Ciencia e Tecnologia (FCT)(Fundacao para a Ciencia e a Tecnologia (FCT)); LS4FUTURE Associated Laboratory; FCT(Fundacao para a Ciencia e a Tecnologia (FCT)); La Caixa Junior Leader Fellowship by la Caixa Foundation; European Union's(European Union (EU)); Maratona da Saude; Oeiras Municipality; ITQB NOVA through the Ciencia + Cidada Program</t>
  </si>
  <si>
    <t>P.D. and P.M.P. acknowledge support from Fundacao para a Ciencia e Tecnologia (FCT), through MOSTMICRO-ITQB R&amp;D Unit (UIDB/04612/2020 and UIDP/04612/2020) and LS4FUTURE Associated Laboratory (LA/P/0087/2020). P.D. acknowledges support from FCT personal grant (2021.00778.CEECIND/CP1657/CT0009). P.M.P. acknowledges support from FCT project grant (PTDC/BIA MIC/2422/2020), a La Caixa Junior Leader Fellowship (LCF/BQ/PI20/11760012) financed by la Caixa Foundation (ID 100010434) and by European Union's Horizon 2020 research and innovation programme under the Marie Sklodowska-Curie grant agreement number 847648, and a Maratona da Saude award. P.D., P.M.P., and M.J.L. acknowledge support from the Oeiras Municipality and ITQB NOVA through the Ciencia + Cidada Program.</t>
  </si>
  <si>
    <t>0378-1097</t>
  </si>
  <si>
    <t>1574-6968</t>
  </si>
  <si>
    <t>FEMS MICROBIOL LETT</t>
  </si>
  <si>
    <t>FEMS Microbiol. Lett.</t>
  </si>
  <si>
    <t>fnaf061</t>
  </si>
  <si>
    <t>10.1093/femsle/fnaf061</t>
  </si>
  <si>
    <t>4FT5R</t>
  </si>
  <si>
    <t>WOS:001516963500001</t>
  </si>
  <si>
    <t>Voigt-Heucke, SL; Müller, M; Rostin, J</t>
  </si>
  <si>
    <t>Voigt-Heucke, Silke L.; Mueller, Moritz; Rostin, Julia</t>
  </si>
  <si>
    <t>How Citizen Science Projects Contribute to Urban Biodiversity Monitoring and Conservation Frameworks-A German Case Study</t>
  </si>
  <si>
    <t>Sustainable Development Goals; BioDiv; Convention on Biological Diversity; IPBES; urban nature</t>
  </si>
  <si>
    <t>ENGAGEMENT; KNOWLEDGE</t>
  </si>
  <si>
    <t>Urban ecosystems provide diverse habitats for plants and animals. Policies can protect these ecosystems. To do this, policy frameworks need robust datasets to monitor and report on trends. Citizen science (CS) projects can make a valuable contribution by helping to build, refine, and supplement datasets. The overall aim of this study was to identify and characterize the contribution of CS projects to urban biodiversity monitoring and conservation frameworks in Germany. To gain an overview of the CS landscape in relation to urban biodiversity, we first examined German project platforms and were able to identify a geographical concentration in Berlin. We then focused on the contribution of CS to biodiversity monitoring in Berlin. We created an online questionnaire and conducted interviews with 22 Berlin-based CS project coordinators. In particular, we asked: How does their CS project contribute to the monitoring and conservation of urban biodiversity? What is the type of citizen engagement? What are the objectives of their CS projects, and what are their challenges? What are the outputs of their CS projects, and how do they publish their data? Finally, what is their knowledge of global, national, and local conservation frameworks? Our findings show that CS projects in Berlin are making a meaningful contribution to biodiversity monitoring. However, there is considerable potential for development, particularly in terms of awareness of policy frameworks and the sharing of data. We recommend increasing opportunities for exchange between policymakers and practitioners, and creating interfaces for data sharing to unlock the potential of CS projects for urban biodiversity conservation.</t>
  </si>
  <si>
    <t>[Voigt-Heucke, Silke L.; Mueller, Moritz; Rostin, Julia] Leibniz Inst Evolut &amp; Biodivers Sci, Museum Naturkunde Berlin, Berlin, Germany</t>
  </si>
  <si>
    <t>Leibniz Institut fur Evolutions und Biodiversitatsforschung</t>
  </si>
  <si>
    <t>Voigt-Heucke, SL (corresponding author), Leibniz Inst Evolut &amp; Biodivers Sci, Museum Naturkunde Berlin, Berlin, Germany.</t>
  </si>
  <si>
    <t>silke.voigt-heucke@mfn.berlin</t>
  </si>
  <si>
    <t>Flister, Julia/0009-0008-9091-520X; Müller, Moritz/0009-0001-4824-3912</t>
  </si>
  <si>
    <t>10.5334/cstp.585</t>
  </si>
  <si>
    <t>6UG8D</t>
  </si>
  <si>
    <t>WOS:001562171400007</t>
  </si>
  <si>
    <t>Duwal, S; Prajapati, R; Upadhyay, S; Neupane, S; Lakhe, H; Thapa, BR; Davids, JC; Talchabhadel, R</t>
  </si>
  <si>
    <t>Duwal, Sudeep; Prajapati, Rajaram; Upadhyay, Surabhi; Neupane, Sanjiv; Lakhe, Hanik; Thapa, Bhesh Raj; Davids, Jeffrey C.; Talchabhadel, Rocky</t>
  </si>
  <si>
    <t>Leveraging a Citizen Science Approach for Rainfall Monitoring: Evaluating Performance and Reliability To Complement Standard Datasets</t>
  </si>
  <si>
    <t>EARTH SYSTEMS AND ENVIRONMENT</t>
  </si>
  <si>
    <t>Rainfall monitoring; Citizen science; Recruitment strategies; Kathmandu valley</t>
  </si>
  <si>
    <t>High-resolution spatial and temporal rainfall data is crucial for water resource planning and management, agriculture, hydropower operations, and flood forecasting. However, resource-constrained countries like Nepal face challenges in maintaining adequate ground-based rainfall monitoring networks. Citizen science-utilizing cost-effective rain gauges and community engagement-offers a promising solution to address this data gap. This study evaluates the performance of citizen scientists in rainfall monitoring and visualization of its importance across the Kathmandu Valley, Nepal, by analyzing monsoonal rainfall data (May-September) collected from 2018 to 2023. The study also examines the influence of citizen scientist recruitment methods and rainfall intensity on citizen scientist participation. We assess the reliability of citizen science-based data by comparing it with standard ground-based measurements from the Department of Hydrology and Meteorology (DHM), Nepal, and Climate Hazards Group InfraRed Precipitation with Station data (CHIRPS), a satellite-based dataset. Our results reveal that recruitment methods and rainfall events significantly influenced measurement consistency, with sustained participation observed among citizen scientists recruited through personal connections and social media. A strong correlation (r &gt; 0.8) and a slight underestimation (relative bias = -3.04%) were found between citizen scientist data and DHM measurements, whereas CHIRPS showed lower accuracy. These findings demonstrate that citizen science can outperform satellite-based rainfall estimates and serve as a reliable and cost-effective complement to conventional ground-based monitoring methods, particularly in data-scarce and mountainous regions. They also highlight the importance of strategic recruitment and engagement approaches in sustaining the long-term participation of citizen scientists.</t>
  </si>
  <si>
    <t>[Duwal, Sudeep; Neupane, Sanjiv; Lakhe, Hanik; Thapa, Bhesh Raj] Smartphones Water Nepal, Lalitpur, Nepal; [Prajapati, Rajaram; Upadhyay, Surabhi; Davids, Jeffrey C.; Talchabhadel, Rocky] SmartPhones4Water, Chico, CA 95929 USA; [Upadhyay, Surabhi] Colorado Sch Mines, Hydrol Sci &amp; Engn, Golden, CO USA; [Talchabhadel, Rocky] Jackson State Univ, Dept Civil &amp; Environm Engn, Jackson, MS USA; [Prajapati, Rajaram] Univ Pittsburgh, Dept Geol &amp; Environm Sci, Pittsburgh, PA 15260 USA; [Davids, Jeffrey C.] Calif State Univ, Davids Engn Inc, Chico, CA USA; [Lakhe, Hanik] Asian Inst Technol, Water Engn &amp; Management, Klongluang 12120, Pathum Thani, Thailand; [Thapa, Bhesh Raj] Universal Engn &amp; Sci Coll, Lalitpur, Nepal</t>
  </si>
  <si>
    <t>Colorado School of Mines; Jackson State University; Pennsylvania Commonwealth System of Higher Education (PCSHE); University of Pittsburgh; Asian Institute of Technology</t>
  </si>
  <si>
    <t>Prajapati, R (corresponding author), SmartPhones4Water, Chico, CA 95929 USA.;Prajapati, R (corresponding author), Univ Pittsburgh, Dept Geol &amp; Environm Sci, Pittsburgh, PA 15260 USA.</t>
  </si>
  <si>
    <t>sudeep@smartphones4water.org; rajaram@smartphones4water.org; surabhi_upadhyay@mines.edu; sanjiv@smartphones4water.org; hlakhe123.hl@gmail.com; bthapa.ioe@gmail.com; jeff@smartphones4water.org; rocky@smartphones4water.org</t>
  </si>
  <si>
    <t>talchabhadel, rocky/AAC-3420-2019</t>
  </si>
  <si>
    <t>Prajapati, Rajaram/0000-0002-1644-9991; Duwal, Sudeep/0009-0004-5275-5031</t>
  </si>
  <si>
    <t>SmartPhones4Water</t>
  </si>
  <si>
    <t>First and foremost, we would like to express our sincere gratitude to all the citizen scientists who dedicated their time to collecting daily rainfall measurements during the Smartphones For Water Nepal (S4W-Nepal) Monsoon Expedition campaign. Without their commitment and effort, the success of this research would not have been possible. We would also like to extend our sincere thanks to the young researchers of S4W-Nepal - Shreeben Shakya, Rohinee Bishwas Mandal, Priya Silwal, Anusha Chalise, Bimala Ghale, and Kaushal Rijal for their crucial role in the recruitment, training, and motivation of the citizen scientists and quality control of the data submitted by the citizen scientists. Additionally, we sincerely thank our funding organization, Smartphones4Water, for their generous support.</t>
  </si>
  <si>
    <t>2509-9426</t>
  </si>
  <si>
    <t>2509-9434</t>
  </si>
  <si>
    <t>EARTH SYST ENVIRON</t>
  </si>
  <si>
    <t>Earth Syst. Environ.</t>
  </si>
  <si>
    <t>2025 NOV 7</t>
  </si>
  <si>
    <t>10.1007/s41748-025-00920-8</t>
  </si>
  <si>
    <t>Environmental Sciences; Geosciences, Multidisciplinary; Meteorology &amp; Atmospheric Sciences</t>
  </si>
  <si>
    <t>Environmental Sciences &amp; Ecology; Geology; Meteorology &amp; Atmospheric Sciences</t>
  </si>
  <si>
    <t>9OD2X</t>
  </si>
  <si>
    <t>WOS:001611003000001</t>
  </si>
  <si>
    <t>Sholihah, W; Gharesifard, M</t>
  </si>
  <si>
    <t>Sholihah, Walidatush; Gharesifard, Mohammad</t>
  </si>
  <si>
    <t>Citizen Science for Water Quality Monitoring: Analyzing Key Parameters, Success Factors, and Research Gaps for Aquaculture</t>
  </si>
  <si>
    <t>ENVIRONMENTAL MANAGEMENT</t>
  </si>
  <si>
    <t>Citizen science, Water quality, Aquaculture, Internet of things</t>
  </si>
  <si>
    <t>LAKE</t>
  </si>
  <si>
    <t>Citizen science is often used as an approach for participatory water quality monitoring; however, its application in aquaculture remains limited. This study evaluates the current state of citizen science in monitoring water quality, with a particular focus on its implications for aquaculture practices. A systematic literature review was conducted using the Scopus and Web of Science databases to explore (1) common approaches for setting up and running such projects, (2) frequently used data collection tools and techniques, and (3) key water quality parameters. An in-depth review of 51 publications shows that citizen science studies are geographically concentrated in North America and Europe, with fewer studies in other regions. Most citizen science projects follow contributory models with a top-down approach, where scientists design research and citizens contribute data. Among the monitored parameters, chemical indicators, such as pH, are the most commonly monitored due to their significance in aquatic ecosystems and the availability of affordable test kits. These kits are widely used due to their ease of use and accessibility. However, the adoption of Internet of Things (IoT) technology remains limited, despite its potential to improve real-time monitoring and data accuracy. IoT-based systems, such as sensor boxes, can enhance citizen science by enabling automated data collection and expanding monitoring capabilities. Strengthening the integration of real-time monitoring technologies and broadening the range of monitored parameters could enhance the role of citizen science in aquaculture, supporting more effective and sustainable water quality management.</t>
  </si>
  <si>
    <t>[Sholihah, Walidatush; Gharesifard, Mohammad] Univ Groningen, Fac Sci &amp; Engn, Groningen, Netherlands; [Sholihah, Walidatush] IPB Univ, Vocat Sch, Bogor, West Java, Indonesia</t>
  </si>
  <si>
    <t>University of Groningen; Bogor Agricultural University</t>
  </si>
  <si>
    <t>Sholihah, W (corresponding author), Univ Groningen, Fac Sci &amp; Engn, Groningen, Netherlands.;Sholihah, W (corresponding author), IPB Univ, Vocat Sch, Bogor, West Java, Indonesia.</t>
  </si>
  <si>
    <t>w.sholihah@rug.nl</t>
  </si>
  <si>
    <t>Gharesifard, Mohammad/AAH-9090-2021; Sholihah, Walidatush/CAF-3490-2022</t>
  </si>
  <si>
    <t>Gharesifard, Mohammad/0000-0002-9553-0340; Sholihah, Walidatush/0000-0002-4276-4450</t>
  </si>
  <si>
    <t>Lembaga Pengelola Dana Pendidikan [SKPB-8371/LPDP/LPDP.3/2023]; Indonesia Endowment Fund for Education (LPDP); University of Groningen, Netherlands</t>
  </si>
  <si>
    <t>Lembaga Pengelola Dana Pendidikan; Indonesia Endowment Fund for Education (LPDP); University of Groningen, Netherlands(Netherlands Government)</t>
  </si>
  <si>
    <t>This study was funded by the Indonesia Endowment Fund for Education (LPDP) under [Grant No. SKPB-8371/LPDP/LPDP.3/2023] and University of Groningen, Netherlands.</t>
  </si>
  <si>
    <t>0364-152X</t>
  </si>
  <si>
    <t>1432-1009</t>
  </si>
  <si>
    <t>ENVIRON MANAGE</t>
  </si>
  <si>
    <t>Environ. Manage.</t>
  </si>
  <si>
    <t>10.1007/s00267-025-02261-8</t>
  </si>
  <si>
    <t>7QO3C</t>
  </si>
  <si>
    <t>WOS:001550548000001</t>
  </si>
  <si>
    <t>Stepenuck, KF; Wolfson, LG; Liukkonen, BW; Iles, JM; Grant, TS</t>
  </si>
  <si>
    <t>Stepenuck, Kristine F.; Wolfson, Lois G.; Liukkonen, Barbara W.; Iles, Jerome M.; Grant, Timothy S.</t>
  </si>
  <si>
    <t>Volunteer monitoring of E. coli in streams of the upper Midwestern United States: a comparison of methods</t>
  </si>
  <si>
    <t>International Conference on Long-term Ecosystem Research - Understanding the Present to Shape the Future</t>
  </si>
  <si>
    <t>SEP 07-11, 2009</t>
  </si>
  <si>
    <t>Zurich, SWITZERLAND</t>
  </si>
  <si>
    <t>E. coli bacteria; Citizens; Volunteer monitoring; Citizen science; Methods comparison; Streams</t>
  </si>
  <si>
    <t>ESCHERICHIA-COLI; WATER SAMPLES; HOLDING TIME; ENUMERATION</t>
  </si>
  <si>
    <t>Fecal contamination of water is a public health concern for those using the water for drinking or recreation. The EPA recommends using Escherichia coli to evaluate recreational freshwaters for fecal contamination. With limited resources available, states have recently focused on training volunteers to expand data collection and resource assessment. Several bacteria testing methods are available for use by the public; however, few studies have comprehensively evaluated their use by volunteers. This study evaluated two E. coli monitoring methods used by volunteers: Coliscan EasygelA (R) and 3M(TM) Petrifilm(TM), incubated for 24 and 48 hours. The methods were assessed to determine how closely each matched results with EPA-approved laboratory analyses. Analysis of covariance results indicated that when used by volunteers to monitor surface water, 3M(TM) Petrifilm(TM) results were more similar to laboratory analyses than Coliscan EasygelA (R). Both test methods had similar overall accuracy of predicting if a sample exceeded or fell below the 235 cfu/100 mL EPA body contact standard for recreational surface waters. Two-thirds of volunteers preferred 3M(TM) Petrifilm(TM).</t>
  </si>
  <si>
    <t>[Stepenuck, Kristine F.] Univ Wisconsin, Environm Resources Ctr, Madison, WI 53706 USA; [Wolfson, Lois G.] Michigan State Univ, Inst Water Res, E Lansing, MI 48823 USA; [Wolfson, Lois G.] Michigan State Univ, Dept Fisheries &amp; Wildlife, E Lansing, MI 48823 USA; [Liukkonen, Barbara W.] Univ Minnesota, Water Resources Ctr, St Paul, MN 55108 USA; [Iles, Jerome M.] Ohio State Univ Extens, Athens, OH 45701 USA; [Grant, Timothy S.] Univ Wisconsin, Dept Educ Psychol, Madison, WI 53706 USA</t>
  </si>
  <si>
    <t>University of Wisconsin System; University of Wisconsin Madison; Michigan State University; Michigan State University; University of Minnesota System; University of Minnesota Twin Cities; University System of Ohio; Ohio State University; University of Wisconsin System; University of Wisconsin Madison</t>
  </si>
  <si>
    <t>Stepenuck, KF (corresponding author), Univ Wisconsin, Environm Resources Ctr, Room 202,445 Henry Mall, Madison, WI 53706 USA.</t>
  </si>
  <si>
    <t>kfstepenuck@wisc.edu</t>
  </si>
  <si>
    <t>10.1007/s10661-010-1483-7</t>
  </si>
  <si>
    <t>714SV</t>
  </si>
  <si>
    <t>WOS:000286830200047</t>
  </si>
  <si>
    <t>Tipaldo, G; Allamano, P</t>
  </si>
  <si>
    <t>Tipaldo, Giuseppe; Allamano, Paola</t>
  </si>
  <si>
    <t>Citizen science and community-based rain monitoring initiatives: an interdisciplinary approach across sociology and water science</t>
  </si>
  <si>
    <t>WILEY INTERDISCIPLINARY REVIEWS-WATER</t>
  </si>
  <si>
    <t>POPULARIZATION; SENSORS; NEED</t>
  </si>
  <si>
    <t>Why do people engage in citizen science projects? The aim of this contribution is to explore the social mechanisms that push nonexperts (i.e., citizens) to invest energy, time, and (sometimes) money in collaborative initiatives on the ground of scientific research. Some relevant examples from the domain of community-based rain measuring are scrutinized, merging the views of a water scientist and a social scientist. After briefly discussing the limits of outdated approaches to science-technology-society issues, social identity theory and new media mechanisms are analyzed as key variables to understand what is new in today's science coming across citizenship. A discussion on the importance of accounting for the uncertainty inherent with the observations coming from crowdsourcing initiatives, possibly the most challenging side effect of what we call Citizen Science 2.0, closes the paper. (C) 2017 Wiley Periodicals, Inc.</t>
  </si>
  <si>
    <t>[Tipaldo, Giuseppe] Univ Turin, Dept Culture Polit &amp; Soc, Turin, Italy; [Allamano, Paola] Politecnico Torino, Dept Environm Land &amp; Infrastruct Engn, Turin, Italy</t>
  </si>
  <si>
    <t>University of Turin; Polytechnic University of Turin</t>
  </si>
  <si>
    <t>Allamano, P (corresponding author), Politecnico Torino, Dept Environm Land &amp; Infrastruct Engn, Turin, Italy.</t>
  </si>
  <si>
    <t>paola.allamano@polito.it</t>
  </si>
  <si>
    <t>Tipaldo, Giuseppe/ABA-8897-2020</t>
  </si>
  <si>
    <t>2049-1948</t>
  </si>
  <si>
    <t>WIRES WATER</t>
  </si>
  <si>
    <t>Wiley Interdiscip. Rev.-Water</t>
  </si>
  <si>
    <t>MAR-APR</t>
  </si>
  <si>
    <t>e1200</t>
  </si>
  <si>
    <t>10.1002/wat2.1200</t>
  </si>
  <si>
    <t>EL8XT</t>
  </si>
  <si>
    <t>WOS:000394904400008</t>
  </si>
  <si>
    <t>Gharaibeh, N; Oti, I; Meyer, M; Hendricks, M; Van Zandt, S</t>
  </si>
  <si>
    <t>Gharaibeh, Nasir; Oti, Isaac; Meyer, Michelle; Hendricks, Marccus; Van Zandt, Shannon</t>
  </si>
  <si>
    <t>Potential of Citizen Science for Enhancing Infrastructure Monitoring Data and Decision-Support Models for Local Communities</t>
  </si>
  <si>
    <t>RISK ANALYSIS</t>
  </si>
  <si>
    <t>Citizen science; infrastructure systems; interdisciplinary methods; data quality</t>
  </si>
  <si>
    <t>DATA QUALITY; MANAGEMENT; ACCURACY</t>
  </si>
  <si>
    <t>Citizen science is a process by which volunteer members of the public, who commonly lack advanced training in science, engage in scientific activities (e.g., data collection) that might otherwise be beyond the reach of professional researchers or practitioners. The purpose of this article is to discuss how citizen-science projects coordinated by interdisciplinary teams of engineers and social scientists can potentially enhance infrastructure monitoring data and decision-support models for local communities. The article provides an interdisciplinary definition of infrastructure data quality that extends beyond accuracy to include currency, timeliness, completeness, and equitability. We argue that with this expanded definition of data quality, citizen science can be a viable method for enhancing the quality of infrastructure monitoring data, and ultimately the credibility of risk analysis and decision-support models that use these data. The article concludes with a set of questions to aid in producing high-quality infrastructure monitoring data by volunteer citizen scientists.</t>
  </si>
  <si>
    <t>[Gharaibeh, Nasir; Oti, Isaac; Meyer, Michelle; Van Zandt, Shannon] Texas A&amp;M Univ, 3136 TAMU, College Stn, TX 77843 USA; [Hendricks, Marccus] Univ Maryland, College Pk, MD 20742 USA</t>
  </si>
  <si>
    <t>Texas A&amp;M University System; Texas A&amp;M University College Station; University System of Maryland; University of Maryland College Park</t>
  </si>
  <si>
    <t>Gharaibeh, N (corresponding author), Texas A&amp;M Univ, 3136 TAMU, College Stn, TX 77843 USA.</t>
  </si>
  <si>
    <t>ngharaibeh@tamu.edu</t>
  </si>
  <si>
    <t>Meyer, Michelle/GLU-4412-2022; Gharaibeh, Nasir/LWI-5045-2024</t>
  </si>
  <si>
    <t>Gharaibeh, Nasir/0000-0002-9391-2003</t>
  </si>
  <si>
    <t>0272-4332</t>
  </si>
  <si>
    <t>1539-6924</t>
  </si>
  <si>
    <t>RISK ANAL</t>
  </si>
  <si>
    <t>Risk Anal.</t>
  </si>
  <si>
    <t>10.1111/risa.13256</t>
  </si>
  <si>
    <t>Public, Environmental &amp; Occupational Health; Mathematics, Interdisciplinary Applications; Social Sciences, Mathematical Methods</t>
  </si>
  <si>
    <t>Public, Environmental &amp; Occupational Health; Mathematics; Mathematical Methods In Social Sciences</t>
  </si>
  <si>
    <t>TQ9CG</t>
  </si>
  <si>
    <t>WOS:000678573300009</t>
  </si>
  <si>
    <t>Kimura, AH</t>
  </si>
  <si>
    <t>Kimura, Aya H.</t>
  </si>
  <si>
    <t>Citizen science and social movements: A case of participatory monitoring of genetically modified crops in Japan</t>
  </si>
  <si>
    <t>SOCIOLOGICAL REVIEW</t>
  </si>
  <si>
    <t>Asia; participatory science; social movements</t>
  </si>
  <si>
    <t>UNDONE SCIENCE; RISK-ASSESSMENT; JUSTICE; ORGANIZATIONS; CHALLENGES; RESISTANCE; POLITICS; FOOD</t>
  </si>
  <si>
    <t>Agrifood related social controversies tend to involve scientific issues and advocacy groups increasingly turn to citizen science (CS), participatory data taking by regular people, to produce health and environmental data. A common assumption is that CS's value lies in the data produced, and its volume and quality decide its persuasive power. This article describes participatory monitoring of genetically engineered rapeseed (canola) in Japan to suggest that social movements can leverage CS not only for the production of scientific data but also as occasions for recruitment, political awareness-raising, and collaboration with other civic organizations. The article proposes a new framework for understanding CS-social movement relations that is multi-actor (vs. expert-laypeople dyad); process-oriented (vs. product/data-oriented); and long-term (vs. one-shot and isolated data taking). There is an increasing awareness of the diversity of CS. Even those that are led by grassroots organizations have multiple and shifting uses of data and foster varying political subjectivity among participants. The proposed framework helps to understand the dynamics that shape such heterogeneous pathways of CS.</t>
  </si>
  <si>
    <t>[Kimura, Aya H.] Univ Hawaii Manoa, Dept Sociol, Honolulu, HI 96822 USA</t>
  </si>
  <si>
    <t>University of Hawaii System; University of Hawaii Manoa</t>
  </si>
  <si>
    <t>Kimura, AH (corresponding author), Univ Hawaii Manoa, Dept Sociol, Honolulu, HI 96822 USA.</t>
  </si>
  <si>
    <t>kimuraa@hawaii.edu</t>
  </si>
  <si>
    <t>Kimura, Aya/KTI-0743-2024</t>
  </si>
  <si>
    <t>College of Social Sciences, University of Hawai'i-Manoa</t>
  </si>
  <si>
    <t>The research was funded by the College of Social Sciences, University of Hawai'i-Manoa.</t>
  </si>
  <si>
    <t>0038-0261</t>
  </si>
  <si>
    <t>1467-954X</t>
  </si>
  <si>
    <t>SOCIOL REV</t>
  </si>
  <si>
    <t>Sociol. Rev.</t>
  </si>
  <si>
    <t>10.1177/00380261211009790</t>
  </si>
  <si>
    <t>Sociology</t>
  </si>
  <si>
    <t>SF2VF</t>
  </si>
  <si>
    <t>WOS:000652618200005</t>
  </si>
  <si>
    <t>Dunkley, RA</t>
  </si>
  <si>
    <t>Dunkley, Ria Ann</t>
  </si>
  <si>
    <t>Monitoring ecological change in UK woodlands and rivers: Anexploration of the relational geographies of citizen science</t>
  </si>
  <si>
    <t>TRANSACTIONS OF THE INSTITUTE OF BRITISH GEOGRAPHERS</t>
  </si>
  <si>
    <t>affect; citizen science; emotional spatiality; relational geographies; river monitoring; woodland phenology</t>
  </si>
  <si>
    <t>EMOTIONS; CONSERVATION; VOLUNTEERS</t>
  </si>
  <si>
    <t>The adoption of citizen science methodologies by environmental organisations and ecologists entrusts the task of collecting ecological data to non-experts operating at a local scale. This presents individuals and communities with opportunities to monitor ecological change and contribute to local environmental management. Little is known about why volunteers choose to participate in burgeoning contemporary citizen science research initiatives. The aim of this paper is thus to explore volunteer motivation for involvement in two environmental citizen science initiatives, based in the United Kingdom. It contributes to understandings of the socio-geographical influences that act on participation in environmental citizen science. It is proposed within this paper that affective connections with local geographies provide a conceptual framework for understanding citizen science motivations. The paper discusses the main themes emerging from site-based, in-depth interviews with 22 citizen science participants in various UK locations. The study revealed that early affective bonds formed with ecological spaces endured throughout life courses, while citizen science participation offered a way of remaining connected to local environments. The paper reflects on the endurance of affective environmental bonds and their manifestation within the expressed motivations for citizen science participation, which emerged as fulfilling a compulsion to observe ecological surroundings, a desire to participate in environmental research and a commitment to protecting local environments. The paper proposes that citizen science participation offers a framework to connect to and protect local and global affinity spaces, while assisting in monitoring global environmental change.</t>
  </si>
  <si>
    <t>[Dunkley, Ria Ann] Univ Glasgow, Sch Educ, Glasgow, Lanark, Scotland</t>
  </si>
  <si>
    <t>University of Glasgow</t>
  </si>
  <si>
    <t>Dunkley, RA (corresponding author), Univ Glasgow, Sch Educ, Glasgow, Lanark, Scotland.</t>
  </si>
  <si>
    <t>Ria.Dunkley@glasgow.ac.uk</t>
  </si>
  <si>
    <t>Dunkley, Ria/0000-0003-0238-7344</t>
  </si>
  <si>
    <t>0020-2754</t>
  </si>
  <si>
    <t>1475-5661</t>
  </si>
  <si>
    <t>T I BRIT GEOGR</t>
  </si>
  <si>
    <t>Trans. Inst. Br. Geogr.</t>
  </si>
  <si>
    <t>10.1111/tran.12258</t>
  </si>
  <si>
    <t>HL4NZ</t>
  </si>
  <si>
    <t>WOS:000458700100002</t>
  </si>
  <si>
    <t>Njue, N; Kroese, JS; Gräf, J; Jacobs, SR; Weeser, B; Breuer, L; Rufino, MC</t>
  </si>
  <si>
    <t>Njue, N.; Kroese, J. Stenfert; Graf, J.; Jacobs, S. R.; Weeser, B.; Breuer, L.; Rufino, M. C.</t>
  </si>
  <si>
    <t>Citizen science in hydrological monitoring and ecosystem services management: State of the art and future prospects</t>
  </si>
  <si>
    <t>Citizen engagement; Hydrology; Data; Water quality; Participation</t>
  </si>
  <si>
    <t>LAND-USE CONFLICTS; WATER-QUALITY; SOCIAL MEDIA; PARTICIPATORY RESEARCH; CROWDSOURCED DATA; WEATHER STATIONS; RURAL WATERSHEDS; RIVER-BASIN; COMMUNITY; VOLUNTEER</t>
  </si>
  <si>
    <t>Hydrological monitoring is essential to guide evidence-based decision making necessary for sustainable water resource management and governance. Limited hydrometric datasets and the pressure on long-term hydrological monitoring networks make it paramount to explore alternative methods for data collection. This is particularly the case for low-income countries, where data scarcity is more pronounced, and where conventional monitoring methods are expensive and logistically challenging. Citizen science in hydrological research has recently gained popularity and crowdsourced monitoring is a promising cost-effective approach for data collection. Citizen science also has the potential to enhance knowledge co-creation and science-based evidence that underpins the governance and management of water resources. This paper provides a comprehensive review on citizen science and crowdsourced data collection within the context of hydrology, based on a synthesis of 71 articles from 2001 to 2018. Application of citizen science in hydrology is increasing in number and breadth, generating a plethora of scientific data. Citizen science approaches differ in scale, scope and degree of citizen involvement. Most of the programs are found in North America and Europe. Participation mostly comprises a contributory citizen science model, which engages citizens in data collection. In order to leverage the full potential of citizen science in knowledge co-generation, future citizen science projects in hydrology could benefit from more co-created types of projects that establish strong ties between research and public engagement, thereby enhancing the long-term sustainability of monitoring networks. (C) 2019 The Authors. Published by Elsevier B.V.</t>
  </si>
  <si>
    <t>[Njue, N.; Graf, J.; Jacobs, S. R.; Weeser, B.; Breuer, L.] Justus Liebig Univ, Inst Landscape Ecol &amp; Resources Management ILR, Giessen, Germany; [Njue, N.] Ctr Int Forestry Res CIFOR, Nairobi, Kenya; [Jacobs, S. R.; Weeser, B.; Breuer, L.] Justus Liebig Univ, Ctr Int Dev &amp; Environm Res ZEU, Giessen, Germany; [Kroese, J. Stenfert; Rufino, M. C.] Univ Lancaster, Lancaster Environm Ctr, Lancaster, England; [Njue, N.] Univ Kabianga, Kericho, Kenya</t>
  </si>
  <si>
    <t>Rufino, MC (corresponding author), Univ Lancaster, Lancaster Environm Ctr, Lancaster, England.</t>
  </si>
  <si>
    <t>m.rufino1@lancaster.ac.uk</t>
  </si>
  <si>
    <t>Jacobs, Suzanne/GQP-6323-2022; Rufino, Mariana/Y-2415-2019; Breuer, Lutz/C-6652-2013</t>
  </si>
  <si>
    <t>Weeser, Björn/0000-0001-7400-319X; Rufino, Mariana/0000-0003-4293-3290; Breuer, Lutz/0000-0001-9720-1076</t>
  </si>
  <si>
    <t>We thank the German Federal Ministry for Economic Cooperation and Development (Grants 81195001 Low Cost methods for monitoring water quality to inform upscaling of sustainable water management in forested landscapes in Kenya and Grant 81206682 The Water Towers of East Africa: policies and practices for enhancing co-benefits from joint forest and water conservation) for generously providing financial support, and the German Science Foundation DFG (BR2238/23-1) for co-funding this research. This work is a contribution to the CGIAR programme on Forest, Trees and Agroforestry led by the Centre for International Forestry Research (CIFOR). We also thank the German Academic Exchange Service (DAAD), along with National Research Fund (NRF), Kenya for the scholarship award for Naomi Njue.</t>
  </si>
  <si>
    <t>NOV 25</t>
  </si>
  <si>
    <t>10.1016/j.scitotenv.2019.07.337</t>
  </si>
  <si>
    <t>JD0VN</t>
  </si>
  <si>
    <t>WOS:000489694700016</t>
  </si>
  <si>
    <t>Assessing citizen science data quality for bird monitoring in the Iberian Peninsula ( vol 14 , 20307 , 2024 )</t>
  </si>
  <si>
    <t>[Prenda, J.; Lopez-Lozano, E.] Univ Huelva, Dept Ciencias Integradas, Huelva, Spain; [Dominguez-Olmedo, J. L.] Univ Huelva, Dept Tecnol Informac, Huelva, Spain; [de Villaran, R. Fernandez] Univ Huelva, Dept Ciencias Agroforestales, Huelva, Spain; [Negro, J. J.] CSIC, Estac Biol Donana, Seville, Spain</t>
  </si>
  <si>
    <t>San Juan, César/AAA-8627-2020; Negro, Juan/I-2653-2015; Domínguez-Olmedo, Juan/AAA-8184-2020</t>
  </si>
  <si>
    <t>Project Plan Complementario de I+D+i en el area de Biodiversidad (PCBIO) - European Union; Regional Government of Andalucia; Project Agricultura y conservacion de la avifauna esteparia en Andalucia. Evaluacion de la biodiversidad a partir de conocimiento accesible digital (DAK) y estudios in situ (Andalusian Research Plan 2014-2020) (Operative FEDER Program, Regional Governmen [P20_00354]; Project Procesos de extincion en paisajes agrarios mediterraneos: evaluacion de biodiversidad al inicio de una nueva Politica Agraria Comun mediante conocimiento accesible digital (DAK) y estudios in situ (Operative FEDER Program, University of Huelva) [UHU-202076]</t>
  </si>
  <si>
    <t>Project Plan Complementario de I+D+i en el area de Biodiversidad (PCBIO) - European Union; Regional Government of Andalucia(Junta de Andalucia); Project Agricultura y conservacion de la avifauna esteparia en Andalucia. Evaluacion de la biodiversidad a partir de conocimiento accesible digital (DAK) y estudios in situ (Andalusian Research Plan 2014-2020) (Operative FEDER Program, Regional Governmen; Project Procesos de extincion en paisajes agrarios mediterraneos: evaluacion de biodiversidad al inicio de una nueva Politica Agraria Comun mediante conocimiento accesible digital (DAK) y estudios in situ (Operative FEDER Program, University of Huelva)</t>
  </si>
  <si>
    <t>This work was financially supported by the following three projects: 1) Plan Complementario de I+D+i en el area de Biodiversidad (PCBIO) funded by the European Union within the framework of the Recovery, Transformation and Resilience Plan- NextGenerationEU and by the Regional Government of Andalucia; 2) Agricultura y conservacion de la avifauna esteparia en Andalucia. Evaluacion de la biodiversidad a partir de conocimiento accesible digital (DAK) y estudios in situ (Andalusian Research Plan 2014-2020. Ref. P20_00354) (Operative FEDER Program, Regional Government of Andalucia) and 3) Procesos de extincion en paisajes agrarios mediterraneos: evaluacion de biodiversidad al inicio de una nueva Politica Agraria Comun mediante conocimiento accesible digital (DAK) y estudios in situ (Ref. UHU-202076) (Operative FEDER Program, University of Huelva). Gross data for this study were provided by GBIF, eBird, and Observation.org. We extend special gratitude to Julio Rabadan from Observation.org for his invaluable support.</t>
  </si>
  <si>
    <t>DEC 16</t>
  </si>
  <si>
    <t>10.1038/s41598-024-82617-y</t>
  </si>
  <si>
    <t>P7M6U</t>
  </si>
  <si>
    <t>WOS:001379708000022</t>
  </si>
  <si>
    <t>Clark, ML; Salas, L; Baligar, S; Quinn, CA; Snyder, RL; Leland, D; Schackwitz, W; Goetz, SJ; Newsam, S</t>
  </si>
  <si>
    <t>Clark, Matthew L.; Salas, Leonardo; Baligar, Shrishail; Quinn, Colin A.; Snyder, Rose L.; Leland, David; Schackwitz, Wendy; Goetz, Scott J.; Newsam, Shawn</t>
  </si>
  <si>
    <t>The effect of soundscape composition on bird vocalization classification in a citizen science biodiversity monitoring project</t>
  </si>
  <si>
    <t>Convolutional neural networks; CNN; Ecoacoustics; Avian diversity; Bird species classification; Mixture of experts (MoE); Citizen science; Automated recording units; ARU; Soundscapes to landscapes; BirdNET; Soundscape components</t>
  </si>
  <si>
    <t>CONVOLUTIONAL NEURAL-NETWORKS; OCCUPANCY MODELS; NOISE; IDENTIFICATION; RECORDERS; ECOLOGY</t>
  </si>
  <si>
    <t>There is a need for monitoring biodiversity at multiple spatial and temporal scales to aid conservation efforts. Autonomous recording units (ARUs) can provide cost-effective, long-term and systematic species monitoring data for sound-producing wildlife, including birds, amphibians, insects and mammals over large areas. Modern deep learning can efficiently automate the detection of species occurrences in these sound data with high accuracy. Further, citizen science can be leveraged to scale up the deployment of ARUs and collect reference vocalizations needed for training and validating deep learning models. In this study we develop a convolutional neural network (CNN) acoustic classification pipeline for detecting 54 bird species in Sonoma County, California USA, with sound and reference vocalization data collected by citizen scientists within the Soundscapes to Landscapes project (www.soundscapes2landscapes.org). We trained three ImageNet-based CNN architectures (MobileNetv2, ResNet50v2, ResNet100v2), which function as a Mixture of Experts (MoE), to evaluate the usefulness of several methods to enhance model accuracy. Specifically, we: 1) quantify accuracy with fully-labeled 1-min soundscapes for an assessment of real-world conditions; 2) assess the effect on precision and recall of additional pre-training with an external sound archive (xeno-canto) prior to fine-tuning with vocalization data from our study domain; and, 3) assess how detections and errors are influenced by the presence of coincident biotic and non-biotic sounds (i.e., soundscape components). In evaluating accuracy with soundscape data (n = 37 species) across CNN probability thresholds and models, we found acoustic pre-training followed by fine-tuning improved average precision by 10.3% relative to no pre-training, although there was a small average 0.8% reduction in recall. In selecting an optimal CNN architecture for each species based on maximum F(beta = 0.5), we found our MoE approach had total precision of 84.5% and average species precision of 85.1%. Our data exhibit multiple issues arising from applying citizen science and acoustic monitoring at the county scale, including deployment of ARUs with relatively low fidelity and recordings with background noise and overlapping vocalizations. In particular, human noise was significantly associated with more incorrect species detections (false positives, decreased precision), while physical interference (e.g., recorder hit by a branch) and geophony (e.g., wind) was associated with the classifier missing detections (false negatives, decreased recall). Our process surmounted these obstacles, and our final predictions allowed us to demonstrate how deep learning applied to acoustic data from low-cost ARUs paired with citizen science can provide valuable bird diversity data for monitoring and conservation efforts.</t>
  </si>
  <si>
    <t>[Clark, Matthew L.] Sonoma State Univ, Ctr Interdisciplinary Geospatial Anal Geog Environ, Rohnert Pk, CA 94928 USA; [Salas, Leonardo; Snyder, Rose L.; Leland, David; Schackwitz, Wendy] Point Blue Conservat Sci, Petaluma, CA USA; [Baligar, Shrishail; Newsam, Shawn] Univ Calif Merced, Elect Engn &amp; Comp Sci, Merced, CA USA; [Quinn, Colin A.; Goetz, Scott J.] No Arizona Univ, Sch Informat Comp &amp; Cyber Syst, Flagstaff, AZ USA</t>
  </si>
  <si>
    <t>California State University System; Sonoma State University; University of California System; University of California Merced; Northern Arizona University</t>
  </si>
  <si>
    <t>Clark, ML (corresponding author), Sonoma State Univ, Ctr Interdisciplinary Geospatial Anal Geog Environ, Rohnert Pk, CA 94928 USA.</t>
  </si>
  <si>
    <t>matthew.clark@sonoma.edu</t>
  </si>
  <si>
    <t>Goetz, Scott/A-3393-2015; Schackwitz, Wendy/GXH-9536-2022; Quinn, Colin/KAX-6925-2024</t>
  </si>
  <si>
    <t>Snyder, Rose/0000-0002-5487-4518; Quinn, Colin/0000-0001-7813-690X</t>
  </si>
  <si>
    <t>NASA?s Citizen Science for Earth Systems Program (CSESP) [16-CSESP 2016-0009, 80NSSC18M0107]; NASA's Citizen Science for Earth Systems Program (CSESP) [16-CSESP 2016-0009, 80NSSC18M0107]; Global Wildlife Conservation and Microsoft AI for Earth Innovation [AI-201909-1413]; Arizona's Technology and Research Initiative Fund</t>
  </si>
  <si>
    <t>NASA?s Citizen Science for Earth Systems Program (CSESP); NASA's Citizen Science for Earth Systems Program (CSESP); Global Wildlife Conservation and Microsoft AI for Earth Innovation; Arizona's Technology and Research Initiative Fund</t>
  </si>
  <si>
    <t>The Soundscapes to Landscapes project was funded by NASA's Citizen Science for Earth Systems Program (CSESP) 16-CSESP 2016-0009 under cooperative agreement 80NSSC18M0107. SB and SN were supported in part by a Global Wildlife Conservation and Microsoft AI for Earth Innovation grant (AI-201909-1413). We are grateful for the hundreds of citizen scientists who participated in Soundscapes to Landscapes from 2017 to 2021. The following citizen scientists are being recognized by name for each of their expert contributions of over 100 volunteer hours spent working on the project: Taylour Stephens (279 h), Jade Spector (208 h), Tiffany Erickson (190 h), Teresa Tuffli (140 h), Miles Tuffli (129 h), Katie Clas (121h), and Bob Hasenick (119 h). We thank Pep-perwood Preserve, Sonoma County Agricultural Preservation and OpenSpace District, Sonoma Land Trust, Audubon Canyon Ranch, Sonoma County Regional Parks, California State Parks, and other property owners for site access. We also thank Sieve Analytics for implementing the Arbimon citizen science interface used in this project. Point Blue Conservation Science's Informatics team helped design and construct cloud-based prediction databases. Computational analyses were run on Northern Arizona University's Monsoon computing cluster, funded by Arizona's Technology and Research Initiative Fund. We also thank xeno-canto for the open-access use of their recordings. Finally, we thank three anonymous reviewers who helped us improve this paper with their insightful comments.</t>
  </si>
  <si>
    <t>10.1016/j.ecoinf.2023.102065</t>
  </si>
  <si>
    <t>C0ZE8</t>
  </si>
  <si>
    <t>WOS:000959297100001</t>
  </si>
  <si>
    <t>Citizen Science: Exploring the Potential of Natural Resource Monitoring Programs to Influence Environmental Attitudes and Behaviors</t>
  </si>
  <si>
    <t>CONSERVATION LETTERS</t>
  </si>
  <si>
    <t>Behavior change; citizen science; conservation; diversity; environmental attitudes; natural resource monitoring; participatory monitoring; pro-environmental behavior; public participation; social networks</t>
  </si>
  <si>
    <t>KNOWLEDGE; FRAMEWORK</t>
  </si>
  <si>
    <t>Citizen science programs monitoring ecosystems and natural resources are promoted for their potential to foster environmental awareness and stewardship. We surveyed volunteers in natural resource monitoring programs to determine whether they perceived changes in their environmental attitudes and decision-making. The majority of participants perceived changes in their attitude toward the resource being monitored, but not in their decision-making toward the resource they monitored or toward the environment more broadly. While the resources volunteers monitored in this study were diverse, program volunteers themselves were not. Participants were largely white, older, affluent, well-educated, held strong preexisting environmental attitudes, and were involved in other conservation, research, or management efforts. While engaging this narrow range of self-selected volunteers has the potential to reinforce existing pro-environmental attitudes through strengthening social networks, citizen science programs can increase their potential to promote attitude and behavioral change by making a concerted effort to engage a more diverse citizenry.</t>
  </si>
  <si>
    <t>[Chase, Sarah K.] Univ Washington, Sch Environm &amp; Forest Sci, Box 352100, Seattle, WA 98195 USA; [Chase, Sarah K.; Levine, Arielle] San Diego State Univ, Dept Geog, San Diego, CA 92182 USA</t>
  </si>
  <si>
    <t>University of Washington; University of Washington Seattle; California State University System; San Diego State University</t>
  </si>
  <si>
    <t>Chase, SK (corresponding author), Univ Washington, Sch Environm &amp; Forest Sci, Box 352100, Seattle, WA 98195 USA.</t>
  </si>
  <si>
    <t>schase25@uw.edu</t>
  </si>
  <si>
    <t>COAST Graduate Research Grant; SDSU College of Arts and Letters; SDSU College of Geography Department</t>
  </si>
  <si>
    <t>Funding was provided by a COAST Graduate Research Grant and SDSU's College of Arts and Letters and Geography Department.</t>
  </si>
  <si>
    <t>1755-263X</t>
  </si>
  <si>
    <t>CONSERV LETT</t>
  </si>
  <si>
    <t>Conserv. Lett.</t>
  </si>
  <si>
    <t>e12382</t>
  </si>
  <si>
    <t>10.1111/conl.12382</t>
  </si>
  <si>
    <t>GC9LG</t>
  </si>
  <si>
    <t>WOS:000430118100007</t>
  </si>
  <si>
    <t>Khan, S; Hossain, F; Pavelsky, T; Gomez, A; Ghafoor, S; Lane, M; Parkins, G; Minocha, S; Bhuyan, MA; Al Fayyaz, TA; Haque, MN; Sarker, PK; Borua, PP</t>
  </si>
  <si>
    <t>Khan, Shahzaib; Hossain, Faisal; Pavelsky, Tamlin; Gomez, Angelica; Ghafoor, Sheikh; Lane, Megan; Parkins, Grant; Minocha, Sanchit; Bhuyan, Md Arifuzzaman; Al Fayyaz, Tariq Abdullah; Haque, Md Nazmul; Sarker, Preetom Kumar; Borua, Partho Protim</t>
  </si>
  <si>
    <t>A network design approach for citizen science-satellite monitoring of surface water volume changes in Bangladesh</t>
  </si>
  <si>
    <t>ENVIRONMENTAL MODELLING &amp; SOFTWARE</t>
  </si>
  <si>
    <t>Surface water; Network design; Gauge placement; Remote sensing; SWOT</t>
  </si>
  <si>
    <t>RAINFALL; WETLANDS; MODELS</t>
  </si>
  <si>
    <t>This study introduces a reproducible and integrated framework for gauge network design for tracking surface water availability in a citizen science framework. For identifying the optimal number and location of gauges, the framework uses Monte Carlo simulations. With randomized selection of gauges from an existing high-density network, the framework does not impose a single optimal solution but rather provides a range of optimal solutions, allowing water managers the freedom to select the number of gauges and locations in accordance with their specific needs. Using the methodology, the study revealed how a strategic placement of gauges can potentially improve the estimation of surface water storage variations. The study findings can be used to enhance the assessment of lake products derived from missions such as the Surface Water and Ocean Topography (SWOT).</t>
  </si>
  <si>
    <t>[Khan, Shahzaib; Hossain, Faisal; Minocha, Sanchit] Univ Washington, Dept Civil &amp; Environm Engn, Seattle, WA 98195 USA; [Pavelsky, Tamlin; Gomez, Angelica; Lane, Megan; Parkins, Grant] Univ North Carolina, Earth Marine &amp; Environm Sci, Chapel Hill, NC USA; [Ghafoor, Sheikh] Tennessee Technol Univ, Cookeville, TN USA; [Bhuyan, Md Arifuzzaman; Al Fayyaz, Tariq Abdullah; Haque, Md Nazmul; Sarker, Preetom Kumar; Borua, Partho Protim] Bangladesh Water Dev Board, Dhaka, Bangladesh</t>
  </si>
  <si>
    <t>University of Washington; University of Washington Seattle; University of North Carolina; University of North Carolina Chapel Hill; Tennessee Technological University</t>
  </si>
  <si>
    <t>Hossain, F (corresponding author), Univ Washington, Dept Civil &amp; Environm Engn, Seattle, WA 98195 USA.</t>
  </si>
  <si>
    <t>fhossain@uw.edu</t>
  </si>
  <si>
    <t>Bhuyan, Mohammad/P-3204-2015; Minocha, Sanchit/KCX-9820-2024; Khan, Shahzaib/JLL-2583-2023; Hossain, Faisal/L-9100-2015</t>
  </si>
  <si>
    <t>Minocha, Sanchit/0009-0007-1969-7521; Gomez, Angelica M/0000-0001-7073-4841; Khan, Shahzaib/0000-0002-0851-0385; Hossain, Faisal/0000-0001-6192-3157; Parkins, Grant/0000-0002-8167-6787</t>
  </si>
  <si>
    <t>NASA [80NSSC21K0854]; UNC</t>
  </si>
  <si>
    <t>NASA(National Aeronautics &amp; Space Administration (NASA)); UNC</t>
  </si>
  <si>
    <t>This study was supported by NASA Grant #80NSSC21K0854 Lake Observations from Citizen Scientists and Satellites: Validation of Satellite Altimetry to Support Hydrologic Science (awarded to author Dr. Tamlin Pavelsky, University of North Carolina-UNC) to the University of Washington. First author Khan and corresponding author Hossain were supported via a subaward from UNC. Additional support from the Bangladesh Water Development Board is gratefully acknowledged for maintenance of the LOCSS gauge network since inception.</t>
  </si>
  <si>
    <t>1364-8152</t>
  </si>
  <si>
    <t>1873-6726</t>
  </si>
  <si>
    <t>ENVIRON MODELL SOFTW</t>
  </si>
  <si>
    <t>Environ. Modell. Softw.</t>
  </si>
  <si>
    <t>10.1016/j.envsoft.2023.105919</t>
  </si>
  <si>
    <t>DEC 2023</t>
  </si>
  <si>
    <t>Computer Science, Interdisciplinary Applications; Engineering, Environmental; Environmental Sciences; Water Resources</t>
  </si>
  <si>
    <t>Computer Science; Engineering; Environmental Sciences &amp; Ecology; Water Resources</t>
  </si>
  <si>
    <t>EL6B1</t>
  </si>
  <si>
    <t>WOS:001139110400001</t>
  </si>
  <si>
    <t>Cetkovic, I; Serena, F; Barash, A; Mrdak, D; Giovos, I; Ikica, Z; Dordevic, N; Pesic, A; Divanovic, M; Milosevic, D</t>
  </si>
  <si>
    <t>Cetkovic, Ilija; Serena, Fabrizio; Barash, Adi; Mrdak, Danilo; Giovos, Ioannis; Ikica, Zdravko; Dordevic, Nikola; Pesic, Ana; Divanovic, Milica; Milosevic, Dragana</t>
  </si>
  <si>
    <t>Combining official fisheries monitoring and citizen science data to create the first chondrichthyan checklist of Montenegro</t>
  </si>
  <si>
    <t>ACTA ADRIATICA</t>
  </si>
  <si>
    <t>Adriatic Sea; Mediterranean Sea; MECO project; sharks; elasmobranchs; opportunistic data</t>
  </si>
  <si>
    <t>ADRIATIC SEA; SHARKS; ELASMOBRANCHS; RAYS; RARE</t>
  </si>
  <si>
    <t>Chondrichthyans are considered a highly threatened marine species, due both to the intense fishing pressure they have experienced in the world's Oceans over several decades, and other threats, such as habitat loss, climate change and marine pollution. A rapid decline in their populations could trigger significant negative changes in marine ecosystems, highlighting the need for improved conservation measures. This study analyzes the current state of this group in the waters of Montenegro (in the southeastern Adriatic Sea). The first national checklist is provided here, comprising of 44 species, with information on their occurrence frequencies in Montenegrin fishery catches. The dataset used consists of 1469 records obtained from 281 field samplings conducted as part of the official monitoring of commercial fisheries (DCF-DCRF) as well as 1222 records derived from citizen science. The latter contributed significantly in documenting a greater number of species, particularly those considered threatened or rare in the region, and/or overlooked by DCF-DCRF monitoring. The frequency of species in Montenegrin catches is described based on the percentage of their records in the total number of records originating from local fisheries. The obtained results indicate that only 16% of the species recorded in Montenegro are commonly present in country's catches, while 66% are either rare or not observed in local fishery. The creation of the country's first checklist might contribute to overcoming drawbacks in national legislation and protection measures, notably by reporting the presence of endangered species in national marine waters.</t>
  </si>
  <si>
    <t>[Cetkovic, Ilija; Ikica, Zdravko; Dordevic, Nikola; Pesic, Ana] Univ Montenegro, Inst Marine Biol, Kotor, Montenegro; [Serena, Fabrizio] Inst Marine Biol Resources &amp; Biotechnol, Natl Res Council, Mazara Vallo, TP, Italy; [Barash, Adi] NGO Conservat Sharks &amp; Rays, Sharks Israel, Kibbutz Amir, Israel; [Mrdak, Danilo; Milosevic, Dragana] Univ Montenegro, Fac Nat Sci &amp; Math, Podgorica, Montenegro; [Giovos, Ioannis] Environm Org Preservat Aquat Ecosyst, iSea, Thessaloniki, Greece; [Divanovic, Milica] Minist Agr Forestry &amp; Water Management, Directorate Fisheries, Podgorica, Montenegro</t>
  </si>
  <si>
    <t>University of Montenegro; University of Montenegro</t>
  </si>
  <si>
    <t>Cetkovic, I (corresponding author), Univ Montenegro, Inst Marine Biol, Kotor, Montenegro.</t>
  </si>
  <si>
    <t>ilija.cetkovic65@gmail.com</t>
  </si>
  <si>
    <t>Serena, Fabrizio/KPY-5309-2024; Pešić, Ana/AAH-8124-2019; Cetkovic, Ilija/AAQ-9764-2021; Ikica, Zdravko/AAH-7718-2019; Milošević, Dragana/AAA-3310-2020</t>
  </si>
  <si>
    <t>Directorate for Fisheries of the Montenegrin Ministry of Agriculture, Forestry and Water Management; Rufford Foundation; Waitt Foundation</t>
  </si>
  <si>
    <t>We warmly thank all the Montenegrin fishermen and citizens who provided us with observations, and the team of the MECO project for their support. The authors are grateful to the Directorate for Fisheries of the Montenegrin Ministry of Agriculture, Forestry and Water Management, which provided funding for the realization of the DCF-DCRF monitoring project and which kindly allowed us to use this data for scientific purposes. We are also grateful to the Rufford Foundation and the Waitt Foundation who funded the chondrichthyan research projects in Montenegro.</t>
  </si>
  <si>
    <t>INST OCEANOGRAFIJU I RIBARSTVO</t>
  </si>
  <si>
    <t>SPLIT</t>
  </si>
  <si>
    <t>SETALISTE I MESTROVICA 63, SPLIT, 21000, CROATIA</t>
  </si>
  <si>
    <t>0001-5113</t>
  </si>
  <si>
    <t>1846-0453</t>
  </si>
  <si>
    <t>ACTA ADRIAT</t>
  </si>
  <si>
    <t>Acta Adriat.</t>
  </si>
  <si>
    <t>10.32582/aa.65.1.4</t>
  </si>
  <si>
    <t>KN2G8</t>
  </si>
  <si>
    <t>WOS:001180573400001</t>
  </si>
  <si>
    <t>Gould, J; Beranek, C; Madani, G</t>
  </si>
  <si>
    <t>Gould, John; Beranek, Chad; Madani, George</t>
  </si>
  <si>
    <t>Dragon detectives: citizen science confirms photo-ID as an effective tool for monitoring an endangered reptile</t>
  </si>
  <si>
    <t>Agamidae; biometrics; capture-mark-recapture; citizen science; Monaro grassland earless dragon; population estimates; reptile; skin features; Tympanocryptis</t>
  </si>
  <si>
    <t>PHOTOGRAPHIC IDENTIFICATION; TYMPANOCRYPTIS-PINGUICOLLA; COLOR-CHANGE; PERFORMANCE; POPULATION; MARKING; LIZARDS; PHOTOIDENTIFICATION; RELIABILITY; FEATURES</t>
  </si>
  <si>
    <t>Context. Among amphibians and reptiles, traditional methods of capture-mark-recapture (CMR) have relied on artificial marking techniques (in particular, toe clipping), which has raised concerns because it may impact climbing ability, survival, and behaviour. A potential alternative involves the exploitation of natural biometric identifiers that are already present, including scale configuration or colour patterns. These natural markers can be applied in photo-based CMR, which has several advantages over artificial markers, including reduced costs, the reduction of harm or stress, and the potential for public participation in conservation and research. Aim. Our aim was to test the feasibility of applying citizen science in the manual visual identification of the endangered Monaro grassland earless dragon (Tympanocryptis osbornei) using dorsal pattern as a natural marker. Methods. We collected photographs of dorsal patterns of wild T. osbornei individuals using a smartphone device under field conditions. We subsequently recruited participants anonymously from the public using social media to complete an online survey, in which they were asked to correctly match these field-captured images of individuals from small image pools, mimicking the process of detecting recapture events. Key results. Participants were able to successfully detect recapture events from small image pools based solely on a comparison of dorsal patterns. High consensus was reached on all matches included in the online survey, with the majority vote among participants representing the correct matching of individuals on all occasions. Conclusion. Our results indicate that there is sufficient intra-specific variability and temporal stability in dorsal patterning for it to be used as a reliable natural marker for identifying T. osbornei at the individual level. Implications. Our findings suggest that photo-CMR could be applied to other agamids with similar dorsal patterns, making it a potentially valuable tool and an alternative to artificial marking for monitoring wild populations of Australian lizards in the future.</t>
  </si>
  <si>
    <t>[Gould, John] Univ Newcastle, Univ Dr, Callaghan, NSW 2308, Australia; [Gould, John; Beranek, Chad; Madani, George] Univ Newcastle, Sch Environm &amp; Life Sci, Conservat Sci Res Grp, Callaghan, NSW, Australia; [Gould, John; Beranek, Chad; Madani, George] Grassland Earless Dragon Alliance, Cooma, NSW, Australia; [Beranek, Chad] FAUNA Res Alliance, Kahibah, NSW, Australia</t>
  </si>
  <si>
    <t>University of Newcastle; University of Newcastle</t>
  </si>
  <si>
    <t>Gould, J (corresponding author), Univ Newcastle, Univ Dr, Callaghan, NSW 2308, Australia.</t>
  </si>
  <si>
    <t>john.gould@newcastle.edu.au</t>
  </si>
  <si>
    <t>Gould, John/AAE-1978-2020; Beranek, Chad/KMZ-0466-2024</t>
  </si>
  <si>
    <t>Gould, John/0000-0002-1206-1316; Beranek, Chad/0000-0001-9747-2917; Madani, George/0009-0002-1936-1140</t>
  </si>
  <si>
    <t>10.1071/WR23036</t>
  </si>
  <si>
    <t>JUL 2023</t>
  </si>
  <si>
    <t>ET5S4</t>
  </si>
  <si>
    <t>WOS:001022286300001</t>
  </si>
  <si>
    <t>Gueroun, SKM; Piraino, S; Yahia, OKD; Yahia, MND</t>
  </si>
  <si>
    <t>Gueroun, Sonia K. M.; Piraino, Stefano; Yahia, Ons Kefi-Daly; Yahia, Mohamed Nejib Daly</t>
  </si>
  <si>
    <t>Jellyfish diversity, trends and patterns in Southwestern Mediterranean Sea: a citizen science and field monitoring alliance</t>
  </si>
  <si>
    <t>JOURNAL OF PLANKTON RESEARCH</t>
  </si>
  <si>
    <t>Hydrozoa; Scyphozoa; Cubozoa; Ctenophora; phenology; spatial distribution; ecoregions; Tunisia</t>
  </si>
  <si>
    <t>PHYLLORHIZA-PUNCTATA CNIDARIA; POPULATION-DYNAMICS; RHOPILEMA-NOMADICA; COASTAL LAGOON; GULF; SCYPHOMEDUSAE; TEMPERATURE; GABES; FISH; FOOD</t>
  </si>
  <si>
    <t>Jellyfish (Cnidaria and Ctenophora) are an essential component of marine ecosystems and represent a potential effect, positive or negative, for several economic activities. Jellyfish blooms and non-indigenous species (NIS) introduction can shift ecological community structure and energy transfer. Despite their importance in ecosystem function and services, knowledge of jellyfish fauna diversity and phenology are largely lacking for the southern Mediterranean Sea. Here, we present an overview of the current state of jellyfish biodiversity in Tunisia. Based on a comprehensive literature survey, historical records and unpublished data, 66 jellyfish species, including 11 non-indigenous species, have been recorded in Tunisia between 1994 and 2020. Additionally, based on field surveys and a citizen science sighting program between 2004 and 2020, we present data on the spatial distribution of 13 conspicuous jellyfish taxa and the phenology of the eight most frequently detected species (Aurelia solida, Cotylorhiza tuberculata, Pelagia noctiluca, Phyllorhiza punctata, Rhizostoma pulmo, Rhopilema nomadica, Olindias muelleri and Velella velella) in Tunisian two ecoregions, the Western Mediterranean and the Tunisian Plateau. The 17 year survey showed a shift in R. pulmo, A. solida and P. noctiluca phenology. Additionally, citizen science revealed an increase in the spatial range of P. punctata (NIS) and the distinct phenologies of populations in the two ecoregions.</t>
  </si>
  <si>
    <t>[Gueroun, Sonia K. M.] Agencia Reg Para O Desenvolvimento Invest Tecnol, MARE Marine &amp; Environm Sci Ctr, ARNET Aquat Res Network, Edif Madeira Tecnopolo,Piso 2, P-9020105 Funchal, Madeira, Portugal; [Gueroun, Sonia K. M.] Carthage Univ, Fac Sci Bizerte, Lab Aquat Syst Biodivers &amp; Functioning, Zarzouna 7021, Bizerte, Tunisia; [Piraino, Stefano] Consorzio Nazl Interuniv Sci Mare Conisma, Piazzale Flaminio 9, I-00196 Rome, Italy; [Piraino, Stefano] Univ Salento, Dept Biol &amp; Environm Sci &amp; Technol, Piazza Tancredi 7, I-73100 Lecce, Italy; [Yahia, Ons Kefi-Daly] IRESA Carthage Univ, Res Grp Oceanog &amp; Plankton Ecol, Tunisian Natl Inst Agron INAT, LR18ES41,Tunis El Manar Univ, 43 Ave Charles Nicolle, Tunis 1082, Tunisia; [Yahia, Mohamed Nejib Daly] Qatar Univ, Environm Sci Program, Dept Biol &amp; Environm Sci, Coll Arts &amp; Sci, POB 2713, Doha, Qatar</t>
  </si>
  <si>
    <t>Universite de Carthage; CoNISMa; University of Salento; Universite de Tunis-El-Manar; Qatar University</t>
  </si>
  <si>
    <t>Gueroun, SKM (corresponding author), Agencia Reg Para O Desenvolvimento Invest Tecnol, MARE Marine &amp; Environm Sci Ctr, ARNET Aquat Res Network, Edif Madeira Tecnopolo,Piso 2, P-9020105 Funchal, Madeira, Portugal.;Gueroun, SKM (corresponding author), Carthage Univ, Fac Sci Bizerte, Lab Aquat Syst Biodivers &amp; Functioning, Zarzouna 7021, Bizerte, Tunisia.;Yahia, MND (corresponding author), Qatar Univ, Environm Sci Program, Dept Biol &amp; Environm Sci, Coll Arts &amp; Sci, POB 2713, Doha, Qatar.</t>
  </si>
  <si>
    <t>sgueroun@mare-centre.pt; nejibdaly@qu.edu.qa</t>
  </si>
  <si>
    <t>Mohamed Nejib, DALY YAHIA/KCX-7629-2024; Piraino, Stefano/J-5234-2012; GUEROUN, Sonia Khadija Maïté/E-5154-2015</t>
  </si>
  <si>
    <t>Mohamed Nejib, DALY YAHIA/0000-0002-1049-2171; GUEROUN, Sonia Khadija Maïté/0000-0002-6650-0855; Kefi Daly Yahia, Ons/0000-0001-9532-8989</t>
  </si>
  <si>
    <t>European project MED-JELLYRISK [I -A/1.3/098]; France: Jeunes Equipes AIRD -JEAI ECOBIZ</t>
  </si>
  <si>
    <t>European project MED-JELLYRISK; France: Jeunes Equipes AIRD -JEAI ECOBIZ</t>
  </si>
  <si>
    <t>This work was supported by the European project MED-JELLYRISK (ENPI CBCMED/ref: I -A/1.3/098); the cooperation program between Tunisia and France: Jeunes Equipes AIRD -JEAI ECOBIZ</t>
  </si>
  <si>
    <t>0142-7873</t>
  </si>
  <si>
    <t>1464-3774</t>
  </si>
  <si>
    <t>J PLANKTON RES</t>
  </si>
  <si>
    <t>J. Plankton Res.</t>
  </si>
  <si>
    <t>NOV 23</t>
  </si>
  <si>
    <t>10.1093/plankt/fbac057</t>
  </si>
  <si>
    <t>OCT 2022</t>
  </si>
  <si>
    <t>6S6QF</t>
  </si>
  <si>
    <t>WOS:000869940000001</t>
  </si>
  <si>
    <t>Castro, J; Mateo-Sagasta, J; Nowicki, S</t>
  </si>
  <si>
    <t>Castro, Jose; Mateo-Sagasta, Javier; Nowicki, Saskia</t>
  </si>
  <si>
    <t>Advancing ambient water quality monitoring and management through citizen science in low- and middle-income countries</t>
  </si>
  <si>
    <t>ENVIRONMENTAL RESEARCH LETTERS</t>
  </si>
  <si>
    <t>water management; citizen science; SDG 6.3.2; water quality; SDGs; ambient water quality</t>
  </si>
  <si>
    <t>SOCIAL MEDIA; TOOL</t>
  </si>
  <si>
    <t>In contexts where conventional environmental monitoring has historically been limited, citizen science (CS) for monitoring efforts can be an effective approach for decentralized data generation that also raises scientific literacy and environmental awareness. To that end, the United Nations Environmental Program is considering CS as a mechanism for producing ambient water quality data to track progress on sustainable development goal (SDG) indicator 6.3.2: 'proportion of bodies of water with good ambient water quality'. However, the alignment of SDG 6.3.2 monitoring requirements with CS capacity and results in low- or middle-income countries has not been assessed. Through a systematic literature review of 49 journal publications, complemented by 15 key informant interviews, this article examines the methods and outputs of CS programs in resource-constrained settings. We explore the potential of these programs to contribute to tracking SDG 6.3.2. Using the CS impact assessment framework, we evaluate broader outcomes of CS programs across 5 domains: society, economy, environment, governance, and science and technology. Despite large variability in scope, CS programs were consistently found to generate useful data for national-level reporting on physicochemical and ecological parameters; however, data quality is a concern for CS measurement of microbiological parameters. The focus in literature to-date is predominantly on scientific data production which falls only within the 'science and technology' outcome domain. Societal, governance, economic, and environmental outcomes are infrequently evaluated. Of the studies reviewed in this article, 75% identified some form of pollution but only 22% of them reported follow-up actions such as reporting to authorities. While CS has important potential, work is still needed towards the 'formalization' of CS, particularly if intended for more vulnerable contexts.</t>
  </si>
  <si>
    <t>[Castro, Jose] Segura, Guatemala City, Guatemala; [Castro, Jose; Mateo-Sagasta, Javier] Int Water Management Inst, Colombu, Sri Lanka; [Castro, Jose; Nowicki, Saskia] Univ Oxford, Sch Geog &amp; Environm, Oxford, England</t>
  </si>
  <si>
    <t>CGIAR; International Water Management Institute (IWMI); University of Oxford</t>
  </si>
  <si>
    <t>Castro, J (corresponding author), Segura, Guatemala City, Guatemala.;Castro, J (corresponding author), Int Water Management Inst, Colombu, Sri Lanka.;Castro, J (corresponding author), Univ Oxford, Sch Geog &amp; Environm, Oxford, England.</t>
  </si>
  <si>
    <t>jose@segura-water.com</t>
  </si>
  <si>
    <t>; Nowicki, Saskia/JDC-5236-2023</t>
  </si>
  <si>
    <t>Castro, Jose/0000-0001-6067-6473; Nowicki, Saskia/0000-0001-9011-6901; Mateo-Sagasta, Javier/0000-0003-4526-0140</t>
  </si>
  <si>
    <t>Sweden International Development Agency; Sweden International Development Cooperation Agency (SIDA); CGIAR Initiative on One Health (Protecting human health through a One Health approach)</t>
  </si>
  <si>
    <t>This work was carried out with support from the Sweden International Development Cooperation Agency (SIDA) and published with support from the CGIAR Initiative on One Health (Protecting human health through a One Health approach). We are thankful to the key informants who shared their experiences for the elaboration of this work.</t>
  </si>
  <si>
    <t>BRISTOL</t>
  </si>
  <si>
    <t>TEMPLE CIRCUS, TEMPLE WAY, BRISTOL BS1 6BE, ENGLAND</t>
  </si>
  <si>
    <t>1748-9326</t>
  </si>
  <si>
    <t>ENVIRON RES LETT</t>
  </si>
  <si>
    <t>Environ. Res. Lett.</t>
  </si>
  <si>
    <t>10.1088/1748-9326/ad7305</t>
  </si>
  <si>
    <t>Environmental Sciences; Meteorology &amp; Atmospheric Sciences</t>
  </si>
  <si>
    <t>G0Y1P</t>
  </si>
  <si>
    <t>WOS:001313968900001</t>
  </si>
  <si>
    <t>Pernat, N; Zscheischler, J; Kampen, H; Ostermann-Miyashita, EF; Jeschke, JM; Werner, D</t>
  </si>
  <si>
    <t>Pernat, Nadja; Zscheischler, Jana; Kampen, Helge; Ostermann-Miyashita, Emu-Felicitas; Jeschke, Jonathan M.; Werner, Doreen</t>
  </si>
  <si>
    <t>How media presence triggers participation in citizen science-The case of the mosquito monitoring project 'Muckenatlas'</t>
  </si>
  <si>
    <t>WEST-NILE-VIRUS; MASS-MEDIA; SURVEILLANCE; MOTIVATIONS; ENGAGEMENT; MANAGEMENT; BARRIERS; SYSTEM</t>
  </si>
  <si>
    <t>Since 2012, the citizen science project 'Muckenatlas' has been supplementing the German mosquito monitoring programme with over 28,000 submissions of physical insect samples. As the factors triggering people to catch mosquitoes for science are still unknown, we analysed the influence of mass media reports on mosquito submission numbers. Based on a theoretical framework of how mass media affect citizen responsiveness, we identified five possible influencing factors related to citizen science: (i) project awareness and knowledge, (ii) attention (economy), (iii) individual characteristics of citizen scientists and targeted communication, (iv) spatial differences and varying affectedness, and (v) media landscape. Hypotheses based on these influencing factors were quantitatively and qualitatively tested with two datasets: clipping data of mass media reports (online, television, radio and print) referring to or focussing on the 'Muckenatlas', and corresponding data of 'Muckenatlas' submissions between 2014 and 2017. In general, the number of media reports positively affected the number of mosquito submissions on a temporal and spatial scale, i.e. many media reports provoke many mosquito submissions. We found that an already heightened public and media awareness of mosquito-relevant topics combined with a direct call-to-action in a media report title led to a maximum participation. Differences on federal state level, however, suggest that factors additional to quantitative media coverage trigger participation in the 'Muckenatlas', in particular the mosquito affectedness of the resident population. Lastly, media types appear to differ in their effects on the number of submissions. Our results show under which circumstances the media presence of the 'Muckenatlas' is most effective in activating people to submit mosquito samples, and thus provide advice for designing communication strategies for citizen science projects.</t>
  </si>
  <si>
    <t>[Pernat, Nadja; Zscheischler, Jana; Ostermann-Miyashita, Emu-Felicitas; Werner, Doreen] Leibniz Ctr Agr Landscape Res ZALF, Muncheberg, Germany; [Pernat, Nadja; Jeschke, Jonathan M.] Freie Univ, Inst Biol, Dept Biol Chem Pharm, Berlin, Germany; [Pernat, Nadja; Jeschke, Jonathan M.; Werner, Doreen] Berlin Brandenburg Inst Adv Biodivers Res BBIB, Berlin, Germany; [Kampen, Helge] Friedrich Loeffler Inst, Fed Res Inst Anim Hlth, Greifswald, Germany; [Ostermann-Miyashita, Emu-Felicitas] Humboldt Univ, Thaer Inst Agr &amp; Hort Sci, Berlin, Germany; [Jeschke, Jonathan M.] Leibniz Inst Freshwater Ecol &amp; Inland Fisheries I, Berlin, Germany</t>
  </si>
  <si>
    <t>Leibniz Association; Leibniz Zentrum fur Agrarlandschaftsforschung (ZALF); Free University of Berlin; Friedrich Loeffler Institute; Humboldt University of Berlin; Leibniz Association; Leibniz Institut fur Gewasserokologie und Binnenfischerei (IGB)</t>
  </si>
  <si>
    <t>Pernat, N (corresponding author), Leibniz Ctr Agr Landscape Res ZALF, Muncheberg, Germany.;Pernat, N (corresponding author), Freie Univ, Inst Biol, Dept Biol Chem Pharm, Berlin, Germany.;Pernat, N (corresponding author), Berlin Brandenburg Inst Adv Biodivers Res BBIB, Berlin, Germany.</t>
  </si>
  <si>
    <t>nadjapernat@gmail.com</t>
  </si>
  <si>
    <t>Jeschke, Jonathan/A-2707-2008; Pernat, Nadja/AGW-8389-2022; Ostermann-Miyashita, Emu-Felicitas/HLQ-5729-2023</t>
  </si>
  <si>
    <t>Jeschke, Jonathan/0000-0003-3328-4217; Pernat, Nadja/0000-0003-2244-1002; Zscheischler, Jana/0000-0002-9062-820X; Ostermann-Miyashita, Emu-Felicitas/0000-0002-5270-5737</t>
  </si>
  <si>
    <t>German Federal Ministry of Food and Agriculture (BMEL) through the Federal Office for Agriculture and Food (BLE) [2810HS022, 2819104615, 2818SE001]</t>
  </si>
  <si>
    <t>German Federal Ministry of Food and Agriculture (BMEL) through the Federal Office for Agriculture and Food (BLE)</t>
  </si>
  <si>
    <t>Our research was supported by grants to HK and DW from the German Federal Ministry of Food and Agriculture (BMEL, www.bmel.de/) through the Federal Office for Agriculture and Food (BLE, www.ble.de), grant numbers 2810HS022, 2819104615 and 2818SE001. The funders had no role in study design, data collection and analysis, decision to publish, or preparation of the manuscript.</t>
  </si>
  <si>
    <t>e0262850</t>
  </si>
  <si>
    <t>10.1371/journal.pone.0262850</t>
  </si>
  <si>
    <t>0F6ZJ</t>
  </si>
  <si>
    <t>WOS:000777505200012</t>
  </si>
  <si>
    <t>Bedessem, B; Retailleau, L; Saurel, JM; Sadeski, L</t>
  </si>
  <si>
    <t>Bedessem, Baptiste; Retailleau, Lise; Saurel, Jean-marie; Sadeski, Ludivine</t>
  </si>
  <si>
    <t>Citizen Science for Disaster Risk Governance: Towards a Participative Seismological Monitoring of the Mayotte Volcanic Crisis</t>
  </si>
  <si>
    <t>Disaster risks; citizen seismology; Mayotte; trust in science; scientific information</t>
  </si>
  <si>
    <t>The United Nations (UN) Sendai Framework for Disaster Risk Reduction 2015-2030 aims to mitigate natural disasters, specifically in developing regions. It promotes the adoption of people-centered disaster risk reduction approaches. Hence, citizen science represents an interesting tool to engage populations in the mitigation of disaster risk, through data collection and analysis, and in the dissemination of scientific and safety information. Herein, we evaluate the potential and feasibility of a citizen science project on the island of Mayotte (in the Mozambique Channel). Mayotte has been experiencing an unexpected volcano-seismic crisis since 2018, which has generated strong anxiety in the population. To address this, we have developed a citizen seismology program to engage Mayotte's inhabitants in seismic data processing. First, we conducted an initial test of our protocol to identify seismic events with a set of university students. We then conducted 15 interviews with members of local administrations and associations to assess the potential for engaging the general population in this project. The results show that we are able to collect reliable data from citizens with non-professional backgrounds using the protocol designed in the project. We also show a strong demand for scientific information from Mayotte's inhabitants, associated with a robust trust in science and scientists, despite the circulation of alternative explanations for the seismicity among the population. Based on these results, our citizen science project could be positively received by Mayotte's inhabitants, if advertised adequately. Finally, we discuss the value of these results for disaster risk reduction in vulnerable territories.</t>
  </si>
  <si>
    <t>[Bedessem, Baptiste] INRAE, LISIS, Paris, France; [Retailleau, Lise; Saurel, Jean-marie] Univ Paris Cite, Inst Phys Globe Paris, CNRS, Paris, France; [Retailleau, Lise] Inst Phys Globe Paris, Observ Volcanol Piton Fournaise, La Plaine Des Cafres, La Reunion, France; [Sadeski, Ludivine] French Geol Survey, Reg Div Mayotte, BRGM, Pessac, France</t>
  </si>
  <si>
    <t>INRAE; Universite Gustave-Eiffel; ESIEE Paris; Centre National de la Recherche Scientifique (CNRS); Universite Paris Cite; Universite Paris Cite; Bureau de Recherches Geologiques et Minieres (BRGM)</t>
  </si>
  <si>
    <t>Bedessem, B (corresponding author), INRAE, LISIS, Paris, France.</t>
  </si>
  <si>
    <t>baptiste.bedessem@inrae.fr</t>
  </si>
  <si>
    <t>; SAUREL, Jean-Marie/GSN-9295-2022</t>
  </si>
  <si>
    <t>Bedessem, Baptiste/0000-0002-9603-6686; Retailleau, Lise/0000-0002-0711-4540; SAUREL, Jean-Marie/0000-0003-1458-4193</t>
  </si>
  <si>
    <t>CNRS through the MITI interdisciplinary program</t>
  </si>
  <si>
    <t>This project has received financial support from the CNRS through the MITI interdisciplinary program (through its exploratory research program) .</t>
  </si>
  <si>
    <t>10.5334/cstp.573</t>
  </si>
  <si>
    <t>6GO3P</t>
  </si>
  <si>
    <t>WOS:001552843300006</t>
  </si>
  <si>
    <t>Webster, SE; Landry, JB; Laumann, KM; Swanson, S; Dennison, WC</t>
  </si>
  <si>
    <t>Webster, Suzanne E.; Landry, J. Brooke; Laumann, Katie May; Swanson, Sky; Dennison, William C.</t>
  </si>
  <si>
    <t>Co-creating and evaluating a citizen science program for monitoring submerged aquatic vegetation in Chesapeake Bay</t>
  </si>
  <si>
    <t>Volunteer monitoring; Science communication; Collaborative science; Monitoring protocol; Stakeholder engagement; Seagrass</t>
  </si>
  <si>
    <t>WATER-QUALITY; SEAGRASS; CONSERVATION; MARINE; BIODIVERSITY; COMMUNITIES; ESTUARINE; EUTROPHICATION; IDENTIFICATION; COMMUNICATION</t>
  </si>
  <si>
    <t>Research on submerged aquatic vegetation (SAV) directly informs policy and management decisions in Chesapeake Bay; however, limitations to data collection capabilities of professional scientists have left knowledge gaps that hinder scientific research and management efforts. Experts have called upon volunteers to help collect the local-scale data that are necessary for understanding SAV growth and species distribution within one of the world's largest estuaries. We collaborated with various environmental stakeholders, including SAV experts, volunteer monitoring coordinators, and citizen scientists, to design a multi-tiered monitoring protocol and training program for citizen scientists monitoring SAV in Chesapeake Bay. We employed a sequence of research approaches, which included online surveys, literature review, a pilot study, participant observation with volunteers in the field, and a protocol-testing workshop. From these approaches, we were able to better understand the stakeholders' various needs and requirements for the Chesapeake Bay SAV Watchers program. Evaluative interviews helped us collect feedback on the process of developing the program, as well as on the program itself. We learned that the collaborative process of co-creating the monitoring program led to positive outcomes for the stakeholders involved, as well as for the perceived scientific rigor of the program. Furthermore, our use of science communication and user-centered design increased the program's functionality and credibility. Finally, our interview results suggested that continuing to incorporate participants' motivations into the program's management will improve volunteer retention and therefore increase the program's impact and longevity. This research will inform the creation of other collaboratively-developed participatory research programs, as well as citizen science programs that simultaneously prioritize engagement, education, and collection of high-quality data. (C) 2021 The Authors. Published by Elsevier B.V.</t>
  </si>
  <si>
    <t>[Webster, Suzanne E.; Laumann, Katie May; Swanson, Sky; Dennison, William C.] Univ Maryland, Ctr Environm Sci, Integrat &amp; Applicat Network, 425 Fourth St, Annapolis, MD 21401 USA; [Landry, J. Brooke] Maryland Dept Nat Resources, 580 Taylor Ave, Annapolis, MD 21401 USA</t>
  </si>
  <si>
    <t>University System of Maryland; University of Maryland Center for Environmental Science</t>
  </si>
  <si>
    <t>Webster, SE (corresponding author), Univ Maryland, Ctr Environm Sci, Integrat &amp; Applicat Network, 425 Fourth St, Annapolis, MD 21401 USA.</t>
  </si>
  <si>
    <t>sspitzer@umces.edu; brooke.landry@maryland.gov; klaumann@umces.edu; sswanson@umces.edu; dennison@umces.edu</t>
  </si>
  <si>
    <t>; Dennison, William/D-7739-2012</t>
  </si>
  <si>
    <t>Laumann, Katie May/0000-0001-9796-1593; Weter, Suzanne/0000-0003-0403-2774</t>
  </si>
  <si>
    <t>Chesapeake Bay Program Goal Implementation Team Project Support Initiative via the Chesapeake Bay Trust, United States [14571, CB96341401]; Integration and Application Network at the University of Maryland Center for Environmental Science</t>
  </si>
  <si>
    <t>Chesapeake Bay Program Goal Implementation Team Project Support Initiative via the Chesapeake Bay Trust, United States; Integration and Application Network at the University of Maryland Center for Environmental Science(University of Maryland Baltimore)</t>
  </si>
  <si>
    <t>We would like to thank the volunteers, volunteer coordinators, Riverkeepers, watershed groups, and SAV experts who participated in this study. We also want to acknowledge Chesapeake Commons for their work developing the app used in the SAV Watchers protocol. We are grateful to Emily Nastase, Dylan Taillie, Jamie Currey, and Jason Howard for providing science communication assistance on the monitoring program reference materials. We also want to thank Michael Paolisso, Andrea Wiggins, Astrid Caldas, and Judy O'Neil for providing comments and suggestions on the interview process, as well as Drew Webster for his comments on the draft manuscript. Funding to develop the SAV Watchers program was provided by the Chesapeake Bay Program Goal Implementation Team Project Support Initiative via the Chesapeake Bay Trust, United States [grant numbers 14571, CB96341401] . Funding for conducting interviews and producing this manuscript was provided by the Integration and Application Network at the University of Maryland Center for Environmental Science. This study was conducted with the informed consent of study participants and the approved of the University of Maryland College Park Institutional Review Board [IRB number 1436359-1] .</t>
  </si>
  <si>
    <t>10.1016/j.rsma.2021.101906</t>
  </si>
  <si>
    <t>TL1VZ</t>
  </si>
  <si>
    <t>WOS:000674644400005</t>
  </si>
  <si>
    <t>Woodcock, BA; Oliver, AE; Newbold, LK; Gweon, HS; Read, DS; Sayed, U; Savage, J; Bacon, J; Upcott, E; Howell, K; Turvey, K; Roy, DB; Pereira, MG; Sleep, D; Greenop, A; Pywell, RF</t>
  </si>
  <si>
    <t>Woodcock, Ben A.; Oliver, Anna E.; Newbold, Lindsay K.; Gweon, H. Soon; Read, Daniel S.; Sayed, Ujala; Savage, Joanna; Bacon, Jim; Upcott, Emily; Howell, Katherine; Turvey, Katharine; Roy, David B.; Pereira, M. Gloria; Sleep, Darren; Greenop, Arran; Pywell, Richard F.</t>
  </si>
  <si>
    <t>Citizen science monitoring reveals links between honeybee health, pesticide exposure and seasonal availability of floral resources</t>
  </si>
  <si>
    <t>APIS-MELLIFERA; POLLEN; POLLINATORS; BIODIVERSITY; BUMBLEBEES; HABITATS; DECLINES; SURVIVAL; IMPACTS; DIET</t>
  </si>
  <si>
    <t>We use a national citizen science monitoring scheme to quantify how agricultural intensification affects honeybee diet breadth (number of plant species). To do this we used DNA metabarcoding to identify the plants present in 527 honey samples collected in 2019 across Great Britain. The species richness of forage plants was negatively correlated with arable cropping area, although this was only found early in the year when the abundance of flowering plants was more limited. Within intensively farmed areas, honeybee diets were dominated by Brassica crops (including oilseed rape). We demonstrate how the structure and complexity of honeybee foraging relationships with plants is negatively affected by the area of arable crops surrounding hives. Using information collected from the beekeepers on the incidence of an economically damaging bee disease (Deformed Wing Virus) we found that the occurrence of this disease increased where bees foraged in agricultural land where there was a high use of foliar insecticides. Understanding impacts of land use on resource availability is fundamental to assessing long-term viability of pollinator populations. These findings highlight the importance of supporting temporally timed resources as mitigation strategies to support wider pollinator population viability.</t>
  </si>
  <si>
    <t>[Woodcock, Ben A.; Oliver, Anna E.; Newbold, Lindsay K.; Read, Daniel S.; Sayed, Ujala; Savage, Joanna; Upcott, Emily; Howell, Katherine; Turvey, Katharine; Roy, David B.; Greenop, Arran; Pywell, Richard F.] UK Ctr Ecol &amp; Hydrol UKCEH, Wallingford OX10 8BB, Oxon, England; [Gweon, H. Soon] Univ Reading, Sch Biol Sci, Reading RG6 6UR, Berks, England; [Bacon, Jim; Pereira, M. Gloria; Sleep, Darren] Lancaster Environm Ctr, UK Ctr Ecol &amp; Hydrol UKCEH, Lib Ave, Lancaster LA1 4AP, England</t>
  </si>
  <si>
    <t>UK Centre for Ecology &amp; Hydrology (UKCEH); University of Reading; Lancaster University; UK Centre for Ecology &amp; Hydrology (UKCEH)</t>
  </si>
  <si>
    <t>Woodcock, BA (corresponding author), UK Ctr Ecol &amp; Hydrol UKCEH, Wallingford OX10 8BB, Oxon, England.</t>
  </si>
  <si>
    <t>bawood@ceh.ac.uk</t>
  </si>
  <si>
    <t>Newbold, Lindsay/E-6733-2012; Pereira, M. Gloria/K-3024-2012; Read, Daniel/B-5446-2008; Woodcock, Benjamin/F-9199-2010; Upcott, Emily/ABD-4424-2021; Pywell, Richard/E-8738-2010</t>
  </si>
  <si>
    <t>Newbold, Lindsay/0000-0001-8895-1406; Turvey, Katharine/0009-0001-2611-3391; Read, Daniel/0000-0001-8546-5154; Woodcock, Benjamin/0000-0003-0300-9951; Upcott, Emily/0000-0003-1133-3102; Pywell, Richard/0000-0001-6431-9959</t>
  </si>
  <si>
    <t>Natural Environment Research Council (NERC) [NE/N018125/1, NE/W005050/1]; Biotechnology and Biological Sciences Research Council (BBSRC) [NE/N018125/1, NE/W005050/1]; NERC [NE/S000100/2, NE/S000224/2]; Department for the Environment, Food and Rural Affairs; Natural Environment Research Council [NE/R016429/1, NE/N018125/1] Funding Source: researchfish; NERC [NE/S000100/2, NE/S000224/2, NE/R016429/1, NE/N018125/1] Funding Source: UKRI</t>
  </si>
  <si>
    <t>Natural Environment Research Council (NERC)(UK Research &amp; Innovation (UKRI)Natural Environment Research Council (NERC)); Biotechnology and Biological Sciences Research Council (BBSRC)(UK Research &amp; Innovation (UKRI)Biotechnology and Biological Sciences Research Council (BBSRC)); NERC(UK Research &amp; Innovation (UKRI)Natural Environment Research Council (NERC)); Department for the Environment, Food and Rural Affairs(Department for Environment, Food &amp; Rural Affairs (DEFRA)); Natural Environment Research Council(UK Research &amp; Innovation (UKRI)Natural Environment Research Council (NERC)); NERC(UK Research &amp; Innovation (UKRI)Natural Environment Research Council (NERC))</t>
  </si>
  <si>
    <t>Thanks to all beekeepers who provided honey and to the British Bee Keepers Association, Scottish Bee Keepers Association and affiliated local groups. This research was funded by the Natural Environment Research Council (NERC) and the Biotechnology and Biological Sciences Research Council (BBSRC) joint research programs NE/N018125/1 LTS-M ASSIST-Achieving Sustainable Agricultural Systems (www.assist.ceh.ac.uk) and NE/W005050/1 AgZero+: Towards sustainable, climate-neutral farming. BW is also supported by the NERC research programs CHEMPOP NE/S000100/2 and Chemical Mixtures NE/S000224/2. Residue work presented in the supplementary material was funded by the Department for the Environment, Food and Rural Affairs.</t>
  </si>
  <si>
    <t>AUG 22</t>
  </si>
  <si>
    <t>10.1038/s41598-022-18672-0</t>
  </si>
  <si>
    <t>3Z0XT</t>
  </si>
  <si>
    <t>WOS:000844144900019</t>
  </si>
  <si>
    <t>Done, T; Roelfsema, C; Harvey, A; Schuller, L; Hill, J; Schläppy, ML; Lea, A; Bauer-Civiello, A; Loder, J</t>
  </si>
  <si>
    <t>Done, Terence; Roelfsema, Chris; Harvey, Andrew; Schuller, Laura; Hill, Jocelyn; Schlappy, Marie-Lice; Lea, Alexandra; Bauer-Civiello, Anne; Loder, Jennifer</t>
  </si>
  <si>
    <t>Reliability and utility of citizen science reef monitoring data collected by Reef Check Australia, 2002-2015</t>
  </si>
  <si>
    <t>Citizen science; Benthos; Coral monitoring; Great Barrier Reef, subtropical reefs</t>
  </si>
  <si>
    <t>GREAT-BARRIER-REEF; CORAL-REEFS; COVER</t>
  </si>
  <si>
    <t>Reef Check Australia (RCA) has collected data on benthic composition and cover at &gt;70 sites along &gt;1000 km of Australia's Queensland coast from 2002 to 2015. This paper quantifies the accuracy, precision and power of RCA benthic composition data, to guide its application and interpretation. A simulation study established that the inherent accuracy of the Reef Check point sampling protocol is high (&lt;+/- 17% error absolute), in the range of estimates of benthic cover from 1% to 50%. A field study at three reef sites indicated that, despite minor observer and deployment-related biases, the protocol does reliably document moderate ecological changes in coral communities. The error analyses were then used to guide the interpretation of inter-annual variability and long term trends at three study sites in RCA's major 2002-2015 data series for the Queensland coast. (C) 2017 Published by Elsevier Ltd.</t>
  </si>
  <si>
    <t>[Done, Terence] Australian Inst Marine Sci, PMB 3, Townsville, Qld 4810, Australia; [Done, Terence; Roelfsema, Chris; Lea, Alexandra; Bauer-Civiello, Anne; Loder, Jennifer] Reef Check Australia, POB 13204,George St, Brisbane, Qld 4003, Australia; [Roelfsema, Chris] Univ Queensland, Sch Geog Planning &amp; Environm Management, Remote Sensing Res Ctr, Brisbane, Qld 4072, Australia; [Harvey, Andrew] Univ Queensland, Fac Med &amp; Biomed Sci, Brisbane, Qld 4072, Australia; [Harvey, Andrew] MantaWatch, 20-22 Wenlock Rd, London N1 7GU, England; [Schuller, Laura] Univ Calif San Diego, Scripps Inst Oceanog, La Jolla, CA 92037 USA; [Hill, Jocelyn] Coral Reef Alliance, 1330 Broadway,Suite 1602, Oakland, CA 94612 USA; [Schlappy, Marie-Lice] Univ Highlands &amp; Isl, Environm Res Inst, Thurso, Scotland; [Done, Terence] Museum Trop Queensland, 78-102 Flinders St, Townsville, Qld 4810, Australia</t>
  </si>
  <si>
    <t>Australian Institute of Marine Science; University of Queensland; University of Queensland; University of California System; University of California San Diego; Scripps Institution of Oceanography; University of the Highlands &amp; Islands</t>
  </si>
  <si>
    <t>Done, T (corresponding author), Australian Inst Marine Sci, PMB 3, Townsville, Qld 4810, Australia.</t>
  </si>
  <si>
    <t>tdone@aims.gov.au</t>
  </si>
  <si>
    <t>; Harvey, Anew/T-5542-2019; Roelfsema, Chris/AAV-1277-2020</t>
  </si>
  <si>
    <t>Schläppy, Marie-Lise/0000-0002-2131-8515; Harvey, Anew/0000-0001-7252-1583; Bauer-Civiello, Anne/0000-0002-7650-1640; Roelfsema, Chris/0000-0003-0182-1356</t>
  </si>
  <si>
    <t>APR 15</t>
  </si>
  <si>
    <t>10.1016/j.marpolbul.2017.01.054</t>
  </si>
  <si>
    <t>ES0ZV</t>
  </si>
  <si>
    <t>WOS:000399258600030</t>
  </si>
  <si>
    <t>Applying citizen science to monitor for the Sustainable Development Goal Indicator 6.3.2: a review</t>
  </si>
  <si>
    <t>Citizen science; Water quality monitoring; Sustainable development goals; Ambient water quality; SDG 6</t>
  </si>
  <si>
    <t>WATER-QUALITY; ECOLOGICAL RESEARCH; ESCHERICHIA-COLI; VOLUNTEERS; PATTERNS; BARRIERS</t>
  </si>
  <si>
    <t>The United Nations has called for increased public participation in scientific research, to benefit professionals, the public and the planet. Citizen science has been suggested as a cost-effective means by which this call can be met, and by which monitoring for the Sustainable Development Goals (SDGs) may be carried out. Indeed, citizen science has gained significant attention in recent years as the scale of environmental issues surpasses the monitoring resources that currently exist. However, many challenges continue to act as a barrier to the acceptance of citizen science as a reliable scientific approach. Here, the current state of knowledge on the use of citizen science in water quality monitoring is reviewed, and the potential for utilizing this approach to enhance monitoring for SDG Indicator 6.3.2 on the proportion of bodies of water of good ambient water quality is evaluated. The objective of this review is to identify key knowledge gaps and hurdles hindering the adoption of citizen science contributions to water quality monitoring under the SDGs, so that these gaps may be addressed in a timely manner for future monitoring programmes.</t>
  </si>
  <si>
    <t>[Quinlivan, Lauren; Chapman, Deborah V.; Sullivan, Timothy] Univ Coll Cork, Sch Biol Earth &amp; Environm Sci, Cork, Ireland; [Quinlivan, Lauren] Univ Coll Cork, Centre Global Dev, Cork, Ireland; [Chapman, Deborah V.] Univ Coll Cork, UN Environm GEMS Water Capac Dev Ctr, Environm Res Inst, Cork, Ireland; [Sullivan, Timothy] Univ Coll Cork, Environm Res Inst, 6 Lee Rd, Cork T23 XE10, Ireland</t>
  </si>
  <si>
    <t>University College Cork; University College Cork; University College Cork; University College Cork</t>
  </si>
  <si>
    <t>Sullivan, T (corresponding author), Univ Coll Cork, Sch Biol Earth &amp; Environm Sci, Cork, Ireland.</t>
  </si>
  <si>
    <t>timothy.sullivan@ucc.ie</t>
  </si>
  <si>
    <t>MAR 6</t>
  </si>
  <si>
    <t>10.1007/s10661-020-8193-6</t>
  </si>
  <si>
    <t>KS7RS</t>
  </si>
  <si>
    <t>WOS:000518504500001</t>
  </si>
  <si>
    <t>Spasiano, A; Grimaldi, S; Nardi, F; Noto, S; Braccini, AM</t>
  </si>
  <si>
    <t>Spasiano, Andrea; Grimaldi, Salvatore; Nardi, Fernando; Noto, Simone; Braccini, Alessio M. M.</t>
  </si>
  <si>
    <t>Testing the theoretical principles of citizen science in monitoring stream water levels through photo-trap frames</t>
  </si>
  <si>
    <t>citizen science; water level estimation; crowdsourced data; image analysis; ephemeral rivers; stage-cam</t>
  </si>
  <si>
    <t>ONLINE COMMUNITIES; TOOL; ASSIMILATION; ENGAGEMENT</t>
  </si>
  <si>
    <t>IntroductionMonitoring water levels of ephemeral streams is a difficult yet important task in hydrology, especially when studying minor river flows in remote areas. The installation of flow gauging stations on upstream tributaries is impacted by the lack of economic resources, by accessibility problems and unstable morphological conditions of riverbeds avoiding the implementation of distributed observation networks at large scales. This major challenge in hydrology may be addressed by eventually adopting image-analysis approaches that constitute an effective parsimonious river flow monitoring method, but the demonstration of such techniques is still an open research topic. MethodologyThis study focuses on the testing of a novel technique that employs a white pole staff gauge to be photographed using a phototrap (i.e., named stage-cam which is a high-speed camera trigger system). This technology shows to be particularly efficient for observing flood events that represent the most difficult scenario for streamflow monitoring. Furthermore, the testing of this innovative hydrological data-gathering method is performed by adopting citizen science and participatory image analysis to assess the value and effectiveness of non-expert volunteers to operationalize this novel method. Citizen engagement may be essential for supporting distributed flow monitoring supporting large scale image analysis algorithm calibration associated to a continuous series of phototrap images. The Montecalvello watershed, located near Rome, is selected for this pilot case study. ResultsResults of the conducted tests, involving the University of Tuscia student community, are presented toward the demonstration of the effectiveness of citizen science to collect valid quantitative hydrological observations, which may correlate consistently with expert estimates. To better interpret results, the authors consider mean absolute error (MAE) and mean absolute relative error (MARE) as synthetic indices to determine the uncertainties associated to voluntary observations. Low margins of error return positive feedback on the adopted methodology. DiscussionThis research promotes the use of participatory approaches for addressing an actual hydrological monitoring challenge. In addition, it fosters increased citizen knowledge and awareness of the importance and value of hydrological monitoring of small ungauged river basins.</t>
  </si>
  <si>
    <t>[Spasiano, Andrea; Nardi, Fernando] Univ Foreigners Perugia, Water Resources Res &amp; Documentat Ctr, Perugia, Italy; [Spasiano, Andrea; Braccini, Alessio M. M.] Univ Tuscia, Engn Society &amp; Business Org, Dept Econ, Viterbo, Italy; [Grimaldi, Salvatore] Univ Tuscia, Dept Innovat Biol, Agrofood &amp; Forest Syst, Viterbo, Italy; [Nardi, Fernando] Florida Int Univ FIU, Inst Environm, Miami, FL USA; [Nardi, Fernando] Florida Int Univ FIU, Coll Arts Sci &amp; Educ CASE, Miami, FL USA; [Noto, Simone] Univ Padua, Dept Civil Environm &amp; Architectural Engn, Padua, Italy</t>
  </si>
  <si>
    <t>University Foreigners Perugia; Tuscia University; Tuscia University; State University System of Florida; Florida International University; State University System of Florida; Florida International University; University of Padua</t>
  </si>
  <si>
    <t>Spasiano, A (corresponding author), Univ Foreigners Perugia, Water Resources Res &amp; Documentat Ctr, Perugia, Italy.;Spasiano, A (corresponding author), Univ Tuscia, Engn Society &amp; Business Org, Dept Econ, Viterbo, Italy.</t>
  </si>
  <si>
    <t>andrea.spasiano@unistrapg.it</t>
  </si>
  <si>
    <t>Spasiano, Andrea/HCI-6514-2022; Nardi, Fernando/A-7731-2012</t>
  </si>
  <si>
    <t>Nardi, Fernando/0000-0002-6562-3159; Noto, Simone/0000-0003-4544-6383</t>
  </si>
  <si>
    <t>JAN 30</t>
  </si>
  <si>
    <t>10.3389/frwa.2023.1050378</t>
  </si>
  <si>
    <t>8W1WU</t>
  </si>
  <si>
    <t>WOS:000931114300001</t>
  </si>
  <si>
    <t>Nadal, J; Ponz, C; Margalida, A; Pennisi, L</t>
  </si>
  <si>
    <t>Nadal, Jesus; Ponz, Carolina; Margalida, Antoni; Pennisi, Lisa</t>
  </si>
  <si>
    <t>Ecological markers to monitor migratory bird populations: Integrating citizen science and transboundary management for conservation purposes</t>
  </si>
  <si>
    <t>Harvest management; Decision tools; Age structure index; Hunter attitude; Afro-Palearctic species</t>
  </si>
  <si>
    <t>ECOSYSTEM SERVICES; PROTECTED AREAS; BREEDING AREAS; WILDLIFE; RECREATION; BOUNDARIES; DEMOGRAPHY; BENEFITS; BORDERS; MODELS</t>
  </si>
  <si>
    <t>Countries share responsibility for the management and conservation of migratory bird species. However, a limited understanding of population dynamics hampers the implementation of harvest and transboundary management. Age-ratios and population density can be useful indicators to assess population dynamics to improve management and conservation actions. Here, the dynamics of an Atlantic population of Common quail Coturnix coturnix, using 32,508 quail samples and 4814 hunter questionnaires over a 20-year period (1996-2016) served as a comparative study for examining age-ratio patterns related to different geographic zones, population density and weather parameters. Results show that age-ratios varied over zones and years, specifically age-ratio 1 (ARI), used as an index of late breeding attempts, varied from 0.1 to 0.21. Age-ratio 2 (AR2), a surrogate of central recruitment, varied from 0.16 to 0.66. Finally, age-ratio 3 (AR3), used as an indicator of the population's annual breeding success, varied from 3.69 to 6.68. Age-ratio is linked to internal and external factors (i.e. effect of rainfall, variations over time and density-dependent relationships) depicting how quail age groups make segregated migration in time and space. Quail age groups perform a complex pattern of migration because of entwined changes in abundance, migration routes and timing, influencing population connectivity and dynamics. Our findings highlight the relevance of citizen science and transboundary agreements to improve management and conservation measures of migrant species. Administrations and policy-makers in developed and developing countries must coordinate efforts to engage hunters in a participatory management systems to achieve sustainability.</t>
  </si>
  <si>
    <t>[Nadal, Jesus; Ponz, Carolina; Margalida, Antoni] Univ Lleida, Fac Life Sci &amp; Engn, Dept Anim Sci, Div Wildlife, Lleida, Spain; [Margalida, Antoni] IREC CSIC UCLM JCCM, Inst Game &amp; Wildlife Res, Ciudad Real 13005, Spain; [Margalida, Antoni] Univ Bern, Inst Ecol &amp; Evolut, Div Conservat Biol, Bern, Switzerland; [Pennisi, Lisa] Univ Nebraska, Sch Nat Resources, Lincoln, NE USA</t>
  </si>
  <si>
    <t>Universitat de Lleida; Universidad de Castilla-La Mancha; Consejo Superior de Investigaciones Cientificas (CSIC); CSIC - Instituto de Investigacion en Recursos Cinegeticos (IREC); University of Bern; University of Nebraska System; University of Nebraska Lincoln</t>
  </si>
  <si>
    <t>Nadal, J (corresponding author), Univ Lleida, Fac Life Sci &amp; Engn, Dept Anim Sci, Div Wildlife, Lleida, Spain.</t>
  </si>
  <si>
    <t>jnadal@ca.udl.cat</t>
  </si>
  <si>
    <t>Margalida, Antoni/AAG-5337-2020; Margalida, Antoni/AAG-5337-2020; Nadal, Jesús/S-6008-2016</t>
  </si>
  <si>
    <t>Margalida, Antoni/0000-0002-0576-3993; Margalida, Antoni/0000-0002-7383-671X; Nadal, Jesús/0000-0002-1875-7242</t>
  </si>
  <si>
    <t>DBC (Delegacion Burgalesa de Caza); FCCL (Federacion de Caza de Castilla y Leon); FEDENCA (Fundacion para el Estudio y Defensa de la Naturaleza); RFEC (Real Federacion Espanola de Caza)</t>
  </si>
  <si>
    <t>We are grateful to the DBC (Delegacion Burgalesa de Caza), FCCL (Federacion de Caza de Castilla y Leon), FEDENCA (Fundacion para el Estudio y Defensa de la Naturaleza), RFEC (Real Federacion Espanola de Caza) for their support and collaboration to make this participative study. Especially for contributions made by the hunters and their families, particularly the Iturmendi family. A. Bayon and B. Benedi made coordination work between hunters and researches. A. Delgado and Y. Campos assistance the study in Canary Islands. J.M. Perez-Garcia helped with the drawing of Fig. S1. The comments of an anonymous reviewer improved a previous draft of this article.</t>
  </si>
  <si>
    <t>FEB 1</t>
  </si>
  <si>
    <t>10.1016/j.jenvman.2019.109875</t>
  </si>
  <si>
    <t>KT0OA</t>
  </si>
  <si>
    <t>WOS:000518708700043</t>
  </si>
  <si>
    <t>Alender, B</t>
  </si>
  <si>
    <t>Alender, Bethany</t>
  </si>
  <si>
    <t>Understanding volunteer motivations to participate in citizen science projects: a deeper look at water quality monitoring</t>
  </si>
  <si>
    <t>JCOM-JOURNAL OF SCIENCE COMMUNICATION</t>
  </si>
  <si>
    <t>Citizen science; Public engagement with science and technology; Public perception of science and technology</t>
  </si>
  <si>
    <t>Volunteer water quality monitors represent the intersection between citizen science and environmental stewardship. Understanding what motivates participation will enable project managers to improve recruitment and retention. This survey of 271 volunteers from eight water quality monitoring organizations in the U.S. found the strongest motivators to participate are helping the environment or community and contributing to scientific knowledge. No variation by gender was found, but younger volunteers have different motivations and preferences than older volunteers. Volunteers value the communication of tangible results more than recognition or reward.</t>
  </si>
  <si>
    <t>[Alender, Bethany] Beaver Watershed Alliance, Springdale, AR USA</t>
  </si>
  <si>
    <t>Alender, B (corresponding author), Beaver Watershed Alliance, Springdale, AR USA.</t>
  </si>
  <si>
    <t>bethany.alender@gmail.com</t>
  </si>
  <si>
    <t>SCUOLA INT SUPERIORE STUDI AVANZATI-S I S S A-INT SCH ADVANCED STUDIES</t>
  </si>
  <si>
    <t>TRIESTE</t>
  </si>
  <si>
    <t>VIA BEIRUT 2-4, TRIESTE, 34014, ITALY</t>
  </si>
  <si>
    <t>1824-2049</t>
  </si>
  <si>
    <t>JCOM-J SCI COMMUN</t>
  </si>
  <si>
    <t>JCOM-J. Sci. Commun.</t>
  </si>
  <si>
    <t>A04</t>
  </si>
  <si>
    <t>Communication</t>
  </si>
  <si>
    <t>DM1RW</t>
  </si>
  <si>
    <t>WOS:000376124900004</t>
  </si>
  <si>
    <t>Földvári, G; Szabó, É; Tóth, GE; Lanszki, Z; Zana, B; Varga, Z; Kemenesi, G</t>
  </si>
  <si>
    <t>Foldvari, Gabor; Szabo, Eva; Toth, Gabor Endre; Lanszki, Zsofia; Zana, Brigitta; Varga, Zsaklin; Kemenesi, Gabor</t>
  </si>
  <si>
    <t>Emergence of Hyalomma marginatum and Hyalomma rufipes adults revealed by citizen science tick monitoring in Hungary</t>
  </si>
  <si>
    <t>citizen science; Crimean-Congo haemorrhagic fever; DAMA protocol; emerging infectious diseases; Hyalomma; adult; imported ticks</t>
  </si>
  <si>
    <t>HEMORRHAGIC-FEVER VIRUS; ERINACEUS-ROUMANICUS; MIGRATORY BIRDS; IXODIDAE; KOCH</t>
  </si>
  <si>
    <t>Hyalomma ticks are important vectors of Crimean-Congo haemorrhagic fever virus (CCHFV) and other pathogens. They are frequently carried as immatures from Africa, the Middle East and Mediterranean areas to temperate Europe via migratory birds and emergence of adults has been reported in many countries where it has so far been considered non-endemic. This study aimed to implement the first steps of the DAMA (Document, Assess, Monitor, Act) protocol by monitoring the potential arrival of adult Hyalomma ticks in Hungary applying citizen-science methods. Ticks were collected from April to December 2021 by asking volunteer participants through a self-made website to look for large, quickly moving, striped-legged hard ticks on themselves, their pets and livestock. Owing to an intensive media campaign, the project website had more than 31,000 visitors within 7 months; 137 specimens and several hundred photos of hard ticks were submitted by citizen scientists from all over the country. Beside Ixodes ricinus, Dermacentor reticulatus, Dermacentor marginatus and Haemaphysalis inermis, a specimen from a dog was morphologically identified as a male Hyalomma marginatum and another removed from a cow as a male Hyalomma rufipes. The dog and the cow had never been abroad, lived approximately 280 km apart, so the two Hyalomma observations can be considered separate introductions. Amplification of the partial mitochondrial cytochrome C oxidase subunit I gene was successfully run for both specimens. Sequencing confirmed the morphological identification for both ticks. Based on the phylogenetic analyses, the Hy. marginatum individual most likely belongs to the Eurasian population and the Hy. rufipes tick to a clade of mixed sequences from Europe and Africa. We summarize the scattered historical reports about the occurrence of Hyalomma ticks and CCHFV in Hungary. Our data highlight the effectiveness of citizens science programmes in the monitoring and risk assessment of CCHFV emergence and preparedness in the study area.</t>
  </si>
  <si>
    <t>[Foldvari, Gabor; Szabo, Eva] Ctr Ecol Res, Inst Evolut, Konkoly Thege Miklos Ut 29-33, H-1121 Budapest, Hungary; [Toth, Gabor Endre; Lanszki, Zsofia; Zana, Brigitta; Varga, Zsaklin; Kemenesi, Gabor] Univ Pecs, Szentagothai Res Ctr, Natl Lab Virol, Pecs, Hungary; [Toth, Gabor Endre; Lanszki, Zsofia; Zana, Brigitta; Varga, Zsaklin; Kemenesi, Gabor] Univ Pecs, Fac Sci, Inst Biol, Pecs, Hungary</t>
  </si>
  <si>
    <t>HUN-REN; HUN-REN Centre for Ecological Research; University of Pecs; University of Pecs</t>
  </si>
  <si>
    <t>Földvári, G (corresponding author), Ctr Ecol Res, Inst Evolut, Konkoly Thege Miklos Ut 29-33, H-1121 Budapest, Hungary.</t>
  </si>
  <si>
    <t>FoldvariGabor@gmx.de</t>
  </si>
  <si>
    <t>; Kemenesi, Gábor/ABG-7369-2020; Lanszki, Zsófia/NGQ-8044-2025; Földvári, Gábor/A-2612-2011</t>
  </si>
  <si>
    <t>Varga, Zsaklin/0000-0002-0432-3654; Kemenesi, Gábor/0000-0001-9775-3065; Lanszki, Zsófia/0000-0003-3116-4633; Földvári, Gábor/0000-0001-5297-9036; Tóth, Gábor/0000-0002-7201-9646; Szabó, Éva/0000-0002-2848-1577</t>
  </si>
  <si>
    <t>E2240</t>
  </si>
  <si>
    <t>E2248</t>
  </si>
  <si>
    <t>10.1111/tbed.14563</t>
  </si>
  <si>
    <t>APR 2022</t>
  </si>
  <si>
    <t>4V0LT</t>
  </si>
  <si>
    <t>WOS:000786702500001</t>
  </si>
  <si>
    <t>Cruickshank, SS; Bühler, C; Schmidt, BR</t>
  </si>
  <si>
    <t>Cruickshank, Sam S.; Buehler, Christoph; Schmidt, Benedikt R.</t>
  </si>
  <si>
    <t>Quantifying data quality in a citizen science monitoring program: False negatives, false positives and occupancy trends</t>
  </si>
  <si>
    <t>CONSERVATION SCIENCE AND PRACTICE</t>
  </si>
  <si>
    <t>citizen science; false-positive; imperfect detection; observation bias; occupancy modeling; trend; volunteer monitoring</t>
  </si>
  <si>
    <t>ESTIMATING SITE OCCUPANCY; SPECIES OCCURRENCE; DETECTION PROBABILITIES; VOLUNTEER; IDENTIFICATION; DISTRIBUTIONS; DYNAMICS; ACCOUNT; RECORDS; MODELS</t>
  </si>
  <si>
    <t>Data collected by volunteers are an important source of information used in species management decisions, yet concerns are often raised over the quality of such data. Two major forms of error exist in occupancy datasets; failing to observe a species when present (imperfect detection-also known as false negatives), and falsely reporting a species as present (false-positive errors). Estimating these rates allows us to quantify volunteer data quality, and may prevent the inference of erroneous trends. We use a new parameterization of a dynamic occupancy model to estimate and adjust for false-negative and false-positive errors, producing accurate estimates of occupancy. We validated this model using simulations and applied it to 12 species datasets collected from a 15-year, large-scale volunteer amphibian monitoring program. False-positive rates were low for most, but not all, species, and accounting for these errors led to quantitative differences in occupancy, although trends remained consistent even when these effects were ignored. We present a model that represents an intuitive way of quantifying the quality of volunteer monitoring datasets, and which can produce unbiased estimates of occupancy despite the presence of multiple types of observation error. Importantly, this allows the quality of volunteer monitoring data to be assessed without relying on comparisons with expert data.</t>
  </si>
  <si>
    <t>[Cruickshank, Sam S.; Schmidt, Benedikt R.] Univ Zurich, Dept Evolutionary Biol &amp; Environm Studies, Zurich, Switzerland; [Buehler, Christoph] Hintermann &amp; Weber AG, Reinach, Switzerland; [Schmidt, Benedikt R.] UniMail, Info Fauna Karch, Neuchatel, Switzerland</t>
  </si>
  <si>
    <t>University of Zurich</t>
  </si>
  <si>
    <t>Cruickshank, SS (corresponding author), Swiss Fed Inst Forest, Snow &amp; Landscape Res WSL, Zurcherstr 111, CH-8093 Birmensdorf, Switzerland.</t>
  </si>
  <si>
    <t>samcruickshankresearch@gmail.com</t>
  </si>
  <si>
    <t>Cruickshank, Sam/I-2566-2019; Schmidt, Benedikt R/B-8491-2008</t>
  </si>
  <si>
    <t>Cruickshank, Sam/0000-0003-0183-5352; Schmidt, Benedikt R/0000-0002-4023-1001</t>
  </si>
  <si>
    <t>Bundesamt fur Umwelt [13.007PJ/M214-0617]</t>
  </si>
  <si>
    <t>Bundesamt fur Umwelt</t>
  </si>
  <si>
    <t>Bundesamt fur Umwelt, Grant/Award Number: 13.007PJ/M214-0617</t>
  </si>
  <si>
    <t>2578-4854</t>
  </si>
  <si>
    <t>CONSERV SCI PRACT</t>
  </si>
  <si>
    <t>Conserv. Sci. Pract.</t>
  </si>
  <si>
    <t>e54</t>
  </si>
  <si>
    <t>10.1111/csp2.54</t>
  </si>
  <si>
    <t>NZ3PC</t>
  </si>
  <si>
    <t>WOS:000577008000010</t>
  </si>
  <si>
    <t>Chenery, ES; Henaff, M; Magnusson, K; Harms, NJ; Mandrak, NE; Molnár, PK</t>
  </si>
  <si>
    <t>Chenery, Emily S.; Henaff, Maud; Magnusson, Kristenn; Harms, N. Jane; Mandrak, Nicholas E.; Molnar, Peter K.</t>
  </si>
  <si>
    <t>Improving Widescale Monitoring of Ectoparasite Presence in Northern Canadian Wildlife with the Aid of Citizen Science</t>
  </si>
  <si>
    <t>parasite; ticks; Dermacentor albipictus; winter tick; wildlife health; citizen science; hunting; sampling; surveillance; monitoring</t>
  </si>
  <si>
    <t>DERMACENTOR-ALBIPICTUS ACARI; WINTER TICK ABUNDANCE; WHITE-TAILED DEER; IXODES-SCAPULARIS; MOOSE; IXODIDAE; SURVEILLANCE; ENGAGEMENT</t>
  </si>
  <si>
    <t>Simple Summary Surveying ticks on wildlife hosts consistently over time and across space presents many challenges. In Yukon, Canada, the winter tick, Dermacentor albipictus, is a blood-feeding parasite that can cause significant losses of hair and blood in moose and other wildlife. The impacts of winter tick infestation in wildlife hosts in this northern region are not well documented. To enhance existing surveillance of winter ticks in Yukon, we implemented a three-year citizen science program, the Yukon Winter Tick Monitoring Project (YWTMP) to engage hunters in the collection of underrepresented moose and caribou samples. Social media, participation incentives, and hide-sampling kits distributed to hunters increased the combined number of annual moose and caribou hide submissions almost 100-fold, and the geographical range of samples by almost 500 km, compared with submission numbers in the previous seven years. Citizen science samples were also used to detect previously unknown infection localities on moose in southeastern Yukon that are spatially separate to known infestations found on elk and deer, helping to build a better picture of infection dynamics on different host animals. Engaging with key demographic groups using structured citizen science programs like the YWTMP can significantly expand sampling efforts in remote areas while maintaining systematic sampling methods to monitor parasites of wildlife health concern. Sampling hides from harvested animals is commonly used for passive monitoring of ectoparasites on wildlife hosts, but often relies heavily on community engagement to obtain spatially and temporally consistent samples. Surveillance of winter ticks (Dermacentor albipictus) on moose (Alces alces) and caribou (Rangifer tarandus caribou) hosts in Yukon, Canada, has relied in part on voluntary submission of hides by hunters since 2011, but few samples were submitted. To enhance sampling efforts on underrepresented moose and caribou hosts, we implemented a three-year citizen science program, the Yukon Winter Tick Monitoring Project (YWTMP), to better engage with hunters in hide sample collection. A combination of in-person and social media outreach, incentivized engagement, and standardized hide sampling kits increased voluntary submissions of moose and caribou hides almost 100-fold since surveillance began. Citizen science samples expanded the northernmost geographic extent of existing sampling efforts for moose by 480 km and for caribou by 650 km to reach 67.5 degrees N latitude. Samples also resulted in new detections of winter ticks on moose hides that are spatially separate to those submitted for other cervids in Yukon. Findings from the YWTMP have provided an essential baseline to monitor future winter tick host-parasite dynamics in the region and highlighted priority areas for ongoing tick surveillance.</t>
  </si>
  <si>
    <t>[Chenery, Emily S.; Mandrak, Nicholas E.; Molnar, Peter K.] Univ Toronto Scarborough, Dept Phys &amp; Environm Sci, 1265 Mil Trail, Scarborough, ON M1C 1A4, Canada; [Henaff, Maud; Magnusson, Kristenn; Harms, N. Jane] Dept Environm, Anim Hlth Unit, 10 Burns Rd, Whitehorse, YT Y1A 4Y9, Canada; [Mandrak, Nicholas E.; Molnar, Peter K.] Univ Toronto Scarborough, Dept Biol Sci, 1265 Mil Trail, Scarborough, ON M1C 1A4, Canada</t>
  </si>
  <si>
    <t>University of Toronto; University Toronto Scarborough; University of Toronto; University Toronto Scarborough</t>
  </si>
  <si>
    <t>Chenery, ES (corresponding author), Univ Toronto Scarborough, Dept Phys &amp; Environm Sci, 1265 Mil Trail, Scarborough, ON M1C 1A4, Canada.</t>
  </si>
  <si>
    <t>emily.chenery@mail.utoronto.ca; maud.henaff@yukon.ca; kristenn.magnusson@yukon.ca; jane.harms@yukon.ca; nicholas.mandrak@utoronto.ca; peter.molnar@utoronto.ca</t>
  </si>
  <si>
    <t>Molnar, Peter/0000-0001-7260-2674; Chenery, Emily/0000-0002-2314-3886</t>
  </si>
  <si>
    <t>Climate Change Preparedness in the North Program, Crown Indigenous Rural and Northern Affairs Canada (CCPN-CIRNAC) [1718HQ-000103]; Natural Sciences and Engineering Research Council of Canada (NSERC) Discovery Grant [2016-06301, 2020-05935]; Canada Foundation for Innovation (CFI) John R. Evans Leaders Fund [35341]; Ministry of Research, Innovation and Sciences (MRIS) Ontario Research Fund; Swedish Research Council [2016-06301] Funding Source: Swedish Research Council</t>
  </si>
  <si>
    <t>Climate Change Preparedness in the North Program, Crown Indigenous Rural and Northern Affairs Canada (CCPN-CIRNAC); Natural Sciences and Engineering Research Council of Canada (NSERC) Discovery Grant(Natural Sciences and Engineering Research Council of Canada (NSERC)); Canada Foundation for Innovation (CFI) John R. Evans Leaders Fund(Canada Foundation for Innovation); Ministry of Research, Innovation and Sciences (MRIS) Ontario Research Fund; Swedish Research Council(Swedish Research Council)</t>
  </si>
  <si>
    <t>This research was funded by the Climate Change Preparedness in the North Program, Crown Indigenous Rural and Northern Affairs Canada (CCPN-CIRNAC) agreement number 1718HQ-000103 (P.K.M., N.J.H.), Natural Sciences and Engineering Research Council of Canada (NSERC) Discovery Grant numbers 2016-06301 (P.K.M.), and 2020-05935 (N.E.M.), the Canada Foundation for Innovation (CFI) John R. Evans Leaders Fund, grant number 35341 (P.K.M.), and the Ministry of Research, Innovation and Sciences (MRIS) Ontario Research Fund (P.K.M.).</t>
  </si>
  <si>
    <t>10.3390/insects13040380</t>
  </si>
  <si>
    <t>0R2FT</t>
  </si>
  <si>
    <t>WOS:000785418500001</t>
  </si>
  <si>
    <t>Esenkulova, S; Suchy, KD; Pawlowicz, R; Costa, M; Pearsall, IA</t>
  </si>
  <si>
    <t>Esenkulova, Svetlana; Suchy, Karyn D.; Pawlowicz, Rich; Costa, Maycira; Pearsall, Isobel A.</t>
  </si>
  <si>
    <t>Harmful Algae and Oceanographic Conditions in the Strait of Georgia, Canada Based on Citizen Science Monitoring</t>
  </si>
  <si>
    <t>Heterosigma akashiwo; Alexandrium; harmful algae; fish kill; British Columbia; Strait of Georgia; citizen science</t>
  </si>
  <si>
    <t>BRITISH-COLUMBIA COAST; PHYTOPLANKTON ECOLOGY; INTERANNUAL VARIABILITY; SPRING BLOOM; CHAETOCEROS-CONCAVICORNIS; FLAGELLATE HETEROSIGMA; SPATIAL-DISTRIBUTION; PLANKTON DYNAMICS; NORTHERN STRAIT; SECHELT-INLET</t>
  </si>
  <si>
    <t>In British Columbia (BC), harmful algal blooms (HABs) regularly cause severe economic losses through finfish mortalities and shellfish harvest closures due to toxin accumulation, gill damage, or hypoxia. As there is no routine governmental monitoring of HAB phenomena in BC, HAB variability, and its potential links to environmental drivers are not well understood. Here we present results from a well-managed citizen science program which collected an unprecedented 4 year, high-resolution (similar to bi-monthly, similar to 80 stations) dataset of harmful algae (HA) concentrations and corresponding physical and chemical properties of seawater throughout the Strait of Georgia (SoG), BC. Analysis of this dataset revealed statistically significant interannual and seasonal relationships between environmental drivers and the most common HA taxa: Rhizosolenia setigera, Dictyocha spp., Alexandrium spp., Heterosigma akashiwo, Chaetoceros convolutus, and C. concavicornis. HABs exhibited significant interannual variations; specifically, no HABs were found during the summer of 2015, blooms of Dictyocha occurred in 2016 and 2017, and dense blooms of Heterosigma and Noctiluca occurred in 2018. In addition, HA prevalence corresponded with negative effects observed in local aquaculture facilities where higher toxins concentrations (causing Paralytic and Diarrhetic Shellfish Poisonings) in shellfish flesh were detected during years with greater abundance of Alexandrium and Dinophysis. Furthermore, salmon mass mortality at fish farms corresponded to years with high concentrations of Heterosigma and Dictyocha. As such, these results highlight the need for long-term data to evaluate the potential role of HA as a stressor on the SoG ecosystem.</t>
  </si>
  <si>
    <t>[Esenkulova, Svetlana; Suchy, Karyn D.; Pearsall, Isobel A.] Pacific Salmon Fdn, Vancouver, BC, Canada; [Suchy, Karyn D.; Costa, Maycira] Univ Victoria, Dept Geog, Victoria, BC, Canada; [Pawlowicz, Rich] Univ British Columbia, Dept Earth Ocean &amp; Atmospher Sci, Vancouver, BC, Canada</t>
  </si>
  <si>
    <t>University of Victoria; University of British Columbia</t>
  </si>
  <si>
    <t>Esenkulova, S (corresponding author), Pacific Salmon Fdn, Vancouver, BC, Canada.</t>
  </si>
  <si>
    <t>svesen@uvic.ca</t>
  </si>
  <si>
    <t>Costa, Maycira/O-3670-2016</t>
  </si>
  <si>
    <t>Esenkulova, Svetlana/0000-0003-3611-1944</t>
  </si>
  <si>
    <t>Pacific Salmon Commission; DFO; Ocean Networks Canada</t>
  </si>
  <si>
    <t>The Citizen Science Program was funded through PSF's Salish Sea Marine Survival Project, which was supported through the Pacific Salmon Commission, DFO, Ocean Networks Canada, and private donations. This is publication number 60 of the Salish SeaMarine Survival Project (marinesurvivalproject.org).</t>
  </si>
  <si>
    <t>SEP 9</t>
  </si>
  <si>
    <t>10.3389/fmars.2021.725092</t>
  </si>
  <si>
    <t>UU2CG</t>
  </si>
  <si>
    <t>WOS:000698608700001</t>
  </si>
  <si>
    <t>Putman, NF; Beyea, RT; Iporac, LAR; Triñanes, J; Ackerman, EG; Olascoaga, MJ; Appendini, CM; Arriaga, J; Collado-Vides, L; Lumpkin, R; Hu, C; Goni, G</t>
  </si>
  <si>
    <t>Putman, Nathan F.; Beyea, R. Taylor; Iporac, Lowell Andrew R.; Trinanes, Joaquin; Ackerman, Emilie G.; Olascoaga, Maria J.; Appendini, Christian M.; Arriaga, Jaime; Collado-Vides, Ligia; Lumpkin, Rick; Hu, Chuanmin; Goni, Gustavo</t>
  </si>
  <si>
    <t>Improving satellite monitoring of coastal inundations of pelagic Sargassum algae with wind and citizen science data</t>
  </si>
  <si>
    <t>AQUATIC BOTANY</t>
  </si>
  <si>
    <t>Caribbean Sea; Gulf of Mexico; Intra-American Sea; Sargassum Inundation Report; Windage</t>
  </si>
  <si>
    <t>ATLANTIC</t>
  </si>
  <si>
    <t>Massive blooms of pelagic Sargassum algae have caused serious problems to coastal communities and ecosystems throughout the tropical Atlantic, Caribbean Sea, and Gulf of Mexico since 2011. Efforts to monitor and predict these occurrences are challenging owing to the vast area impacted and the complexities associated with the proliferation and movement of Sargassum. Sargassum Inundation Reports (SIRs) were first produced in 2019 to estimate the potential risk to coastlines throughout the Intra-American Sea at weekly intervals at 10 km reso-lution. SIRs use satellite-based data products to estimate beaching risk from the amount of offshore Sargassum (quantified by a Floating Algal density index). Here we examine whether including wind metrics improves the correspondence between the offshore Floating Algal density index and observations of Sargassum along the coastline. For coastal observations, we quantified the percent coverage of Sargassum in photos obtained from the citizen science project Sargassum Watch that collects time-stamped, georeferenced photos at beaches throughout the region. Region-wide analyses indicate that including shoreward wind velocity with SIR risk indices greatly improves the correspondence with coastal observations of Sargassum beaching compared to SIR risk indices alone. Site-specific analyses of photos from southeast Florida, USA, and data from a continuous video monitoring study at Puerto Morelos, Mexico, suggest potential uncertainties in the suite of factors controlling Sargassum beaching. Nonetheless, the inclusion of wind velocity in the SIR algorithm appears to be a promising avenue for improving regional risk indices.</t>
  </si>
  <si>
    <t>[Putman, Nathan F.; Beyea, R. Taylor; Ackerman, Emilie G.] LGL Ecol Res Associates, Bryan, TX 77802 USA; [Iporac, Lowell Andrew R.; Collado-Vides, Ligia] Florida Int Univ, Inst Environm, Dept Biol Sci, Miami, FL 33199 USA; [Trinanes, Joaquin; Lumpkin, Rick; Goni, Gustavo] NOAA, Atlantic Oceanog &amp; Meteorol Lab, Miami, FL 33149 USA; [Trinanes, Joaquin] Univ Santiago De Compostela, Dept Elect &amp; Comp Sci, Santiago 15782, Spain; [Trinanes, Joaquin] Univ Miami, Rosenstiel Sch Marine &amp; Atmospher Sci, Cooperat Inst Marine &amp; Atmospher Studies, Miami, FL 33149 USA; [Olascoaga, Maria J.] Univ Miami, Rosenstiel Sch Marine Atmospher &amp; Earth Sci, Dept Ocean Sci, Miami, FL 33149 USA; [Appendini, Christian M.] Univ Nacl Autonoma Mexico, Lab Ingn &amp; Proc Costeros, Inst Ingn, Sisal, Mexico; [Arriaga, Jaime] Delft Univ Technol, Fac Civil Engn &amp; Geosci, NL-2628 CN Delft, Netherlands; [Hu, Chuanmin] Univ S Florida, Coll Marine Sci, St Petersburg, FL 33701 USA</t>
  </si>
  <si>
    <t>State University System of Florida; Florida International University; National Oceanic Atmospheric Admin (NOAA) - USA; Atlantic Oceanographic &amp; Meteorological Laboratory (AOML); Universidade de Santiago de Compostela; University of Miami; University of Miami; Universidad Nacional Autonoma de Mexico; Delft University of Technology; State University System of Florida; University of South Florida</t>
  </si>
  <si>
    <t>Putman, NF (corresponding author), LGL Ecol Res Associates, Bryan, TX 77802 USA.</t>
  </si>
  <si>
    <t>nathan.putman@gmail.com</t>
  </si>
  <si>
    <t>Trinanes Fernandez, Joaquin A/B-3881-2015; Appendini, Christian/C-8079-2013; Putman, Nathan/AAC-8967-2020; hu, chuanmin/J-5021-2012; Lumpkin, Rick/C-9615-2009; Goni, Gustavo/D-2017-2012</t>
  </si>
  <si>
    <t>Trinanes Fernandez, Joaquin A/0000-0003-1529-3371; Iporac, Lowell Anew/0000-0001-6919-3937; Appendini, Christian/0000-0002-6044-3351; Lumpkin, Rick/0000-0002-6690-1704; Collado Vides, Ligia/0000-0002-8842-8321</t>
  </si>
  <si>
    <t>Oceanic and Atmospheric Administration (NOAA) Atlantic Oceanographic and Meteorological Laboratory, NOAA CoastWatch and OceanWatch; University of Miami's Cooperative Institute for Marine and Atmospheric Studies; NASA PACE program [80NSSC20M0264]; National Science Foundation (NSF) [HRD-1547798, HRD-2111661]; Florida International University as part of the Centers of Research Excellence in Science and Technology (CREST) Program [2148499]; Institute of Environment at Florida International University; NSF-OCE [IA101122]; UNAM-DGAPA PAPIIT [2148500]</t>
  </si>
  <si>
    <t>Oceanic and Atmospheric Administration (NOAA) Atlantic Oceanographic and Meteorological Laboratory, NOAA CoastWatch and OceanWatch(National Oceanic Atmospheric Admin (NOAA) - USA); University of Miami's Cooperative Institute for Marine and Atmospheric Studies; NASA PACE program; National Science Foundation (NSF)(National Science Foundation (NSF)); Florida International University as part of the Centers of Research Excellence in Science and Technology (CREST) Program; Institute of Environment at Florida International University; NSF-OCE(National Science Foundation (NSF)NSF - Directorate for Geosciences (GEO)); UNAM-DGAPA PAPIIT(Programa de Apoyo a Proyectos de Investigacion e Innovacion Tecnologica (PAPIIT)Universidad Nacional Autonoma de Mexico)</t>
  </si>
  <si>
    <t>This work was funded by the National Oceanic and Atmospheric Administration (NOAA) Atlantic Oceanographic and Meteorological Laboratory, NOAA CoastWatch and OceanWatch, by the University of Miami's Cooperative Institute for Marine and Atmospheric Studies, and by the NASA PACE program (80NSSC20M0264) . This material is also based upon work supported by the National Science Foundation (NSF) under Grant No. HRD-1547798 and Grant No. HRD-2111661. These NSF Grants were awarded to Florida International University as part of the Centers of Research Excellence in Science and Technology (CREST) Program. This is contribution #1584 from the Institute of Environment at Florida International University. NFP and RTB acknowledge support from NSF-OCE (2148500) . MJO acknowledges support from NSF-OCE (2148499) . CMA and JA acknowledge support from UNAM-DGAPA PAPIIT IA101122.</t>
  </si>
  <si>
    <t>0304-3770</t>
  </si>
  <si>
    <t>1879-1522</t>
  </si>
  <si>
    <t>AQUAT BOT</t>
  </si>
  <si>
    <t>Aquat. Bot.</t>
  </si>
  <si>
    <t>10.1016/j.aquabot.2023.103672</t>
  </si>
  <si>
    <t>Plant Sciences; Marine &amp; Freshwater Biology</t>
  </si>
  <si>
    <t>M0JJ8</t>
  </si>
  <si>
    <t>WOS:001027053400001</t>
  </si>
  <si>
    <t>de Virgilio, M; Cifarelli, S; Garofoli, G; Lamberti, G; Massari, V; Degryse, B</t>
  </si>
  <si>
    <t>de Virgilio, Maddalena; Cifarelli, Salvatore; Garofoli, Giuseppe; Lamberti, Grazia; Massari, Vincenzo; Degryse, Bernard</t>
  </si>
  <si>
    <t>Citizen science in the monitoring of Ostreopsis ovata blooms in southern Italy: A five-year study</t>
  </si>
  <si>
    <t>Ostreopsis ovata; Harmful algal bloom; Diatom; Dinoflagellate; Southern Adriatic Sea; Citizen science</t>
  </si>
  <si>
    <t>CF. OVATA; ENVIRONMENTAL-FACTORS; DINOPHYCEAE; TEMPERATURE; PROLIFERATION; GROWTH; SEA; MACROALGAE; SUBSTRATE; PALYTOXIN</t>
  </si>
  <si>
    <t>The toxic benthic dinoflagellate Ostreopsis ovata causes harmful algal blooms. During five years, citizens have monitored blooms of O. cf. ovata along the coast of Molfetta city facing the Adriatic Sea. Coscinodiscus spp., Licmophora spp., Gyrosigma spp. and Achnantes spp. diatoms were also quantified. O. cf. ovata was detected from spring up to winter, however, blooms always occurred in summer. Correlation with nine weather parameters was relatively strong with seawater temperature, dew point and air temperature. Dew point has never been reported before as key parameter. Blooms of O. cf. ovata were preceded by lag period during which conditions permitted proliferation but no proliferation observed. Furthermore, dew point, seawater and air temperature only moderately correlated with proliferation of Coscinodiscus spp. However, correlation between blooms of O. cf. ovata and Coscinodiscus spp. was relatively strong. Correlation between proliferation of O. cf. ovata and Gyrosigma spp. was very weak, while moderate and negative with Licmophora spp. or Achnantes spp.</t>
  </si>
  <si>
    <t>[de Virgilio, Maddalena; Cifarelli, Salvatore; Garofoli, Giuseppe; Lamberti, Grazia; Massari, Vincenzo; Degryse, Bernard] Osservatorio Mare Molfetta, Piazza Effrem 4, Molfetta, BA, Italy; [de Virgilio, Maddalena] Natl Res Council Italy, Inst Biosci &amp; Bioresources, Via Amendola 165-A, Bari, Italy</t>
  </si>
  <si>
    <t>Consiglio Nazionale delle Ricerche (CNR); Istituto di Bioscienze e Biorisorse (IBBR-CNR)</t>
  </si>
  <si>
    <t>de Virgilio, M (corresponding author), Osservatorio Mare Molfetta, Piazza Effrem 4, Molfetta, BA, Italy.</t>
  </si>
  <si>
    <t>osservatoriodelmareamolfetta@gmail.com</t>
  </si>
  <si>
    <t>Osservatorio del Mare a Molfetta, Italy</t>
  </si>
  <si>
    <t>This research did not receive any specific grant from funding agencies in the public, commercial, or not-for-profit sectors. All expenses have been proudly paid by volunteers. This work was financially supported by volunteers/members of the Osservatorio del Mare a Molfetta, Italy.</t>
  </si>
  <si>
    <t>A</t>
  </si>
  <si>
    <t>10.1016/j.marpolbul.2021.112981</t>
  </si>
  <si>
    <t>WF2JX</t>
  </si>
  <si>
    <t>WOS:000706138300008</t>
  </si>
  <si>
    <t>Dekramanjian, B; Bartumeus, F; Kampen, H; Palmer, JRB; Werner, D; Pernat, N</t>
  </si>
  <si>
    <t>Dekramanjian, Berj; Bartumeus, Frederic; Kampen, Helge; Palmer, John R. B.; Werner, Doreen; Pernat, Nadja</t>
  </si>
  <si>
    <t>Demographic and motivational differences between participants in analog and digital citizen science projects for monitoring mosquitoes</t>
  </si>
  <si>
    <t>DATA QUALITY</t>
  </si>
  <si>
    <t>Worldwide, citizen scientists help to map the distribution of native and introduced mosquito species in a variety of programs, contributing to environmental research and management decisions. Participant background, behavior, and engagement may vary depending on the project design, especially between those using digital apps and those using physical samples, which in turn may impact the quality and representativeness of the data collected. During the analysis of the responses to a survey directed at citizen scientists participating in a digital and an analog program, we found significant differences in the respondents' demographic backgrounds. Diverse participant motivations and varying sentiments towards mosquitoes were observed, indicating differing susceptibility in response to the program messages. The results can be translated into recommendations to further strengthen the appeal of citizen science projects and to promote and sustain public engagement in environmental research.</t>
  </si>
  <si>
    <t>[Dekramanjian, Berj; Palmer, John R. B.] Univ Pompeu Fabra, Dept Polit &amp; Social Sci, Barcelona, Spain; [Bartumeus, Frederic] Ctr Estudis Avancats Blanes CEAB CSIC, Blanes, Spain; [Kampen, Helge] Friedrich Loeffler Inst, Greifswald, Insel Riems, Germany; [Werner, Doreen; Pernat, Nadja] Leibniz Ctr Agr Landscape Res ZALF, Muncheberg, Germany; [Pernat, Nadja] Univ Munster, Inst Landscape Ecol, Munster, Germany; [Bartumeus, Frederic] CREAF, Barcelona, Spain; [Bartumeus, Frederic] ICREA, Barcelona, Spain</t>
  </si>
  <si>
    <t>Pompeu Fabra University; Consejo Superior de Investigaciones Cientificas (CSIC); CSIC - Centre d'Estudis Avancats de Blanes (CEAB); Friedrich Loeffler Institute; Leibniz Association; Leibniz Zentrum fur Agrarlandschaftsforschung (ZALF); University of Munster; Centro de Investigacion Ecologica y Aplicaciones Forestales (CREAF-CERCA); University of Barcelona; ICREA</t>
  </si>
  <si>
    <t>Dekramanjian, B (corresponding author), Univ Pompeu Fabra, Dept Polit &amp; Social Sci, Barcelona, Spain.;Pernat, N (corresponding author), Leibniz Ctr Agr Landscape Res ZALF, Muncheberg, Germany.;Pernat, N (corresponding author), Univ Munster, Inst Landscape Ecol, Munster, Germany.</t>
  </si>
  <si>
    <t>berj.dekramanjian@upf.edu; nadjapernat@uni-muenster.de</t>
  </si>
  <si>
    <t>Pernat, Nadja/AGW-8389-2022; Bartumeus, Frederic/D-1911-2010; Dekramanjian, Berj/GRJ-8891-2022; Palmer, John RB/N-8620-2014</t>
  </si>
  <si>
    <t>Dekramanjian, Berj/0000-0001-9672-422X; Palmer, John RB/0000-0002-2648-7860</t>
  </si>
  <si>
    <t>European Research Council (ERC) under the European Union [853271]; European Research Council (ERC) [853271] Funding Source: European Research Council (ERC)</t>
  </si>
  <si>
    <t>European Research Council (ERC) under the European Union(European Research Council (ERC)); European Research Council (ERC)(European Research Council (ERC))</t>
  </si>
  <si>
    <t>We thank all 'Muckenatlas' and 'Mosquito Alert' project participants for their submissions and especially the respondents of the surveys. We thank all PhD students, lab members and project associates for their valuable contributions in running the citizen science projects. This research received funding from the European Research Council (ERC) under the European Union's Horizon 2020 research and innovation program (Grant Agreement No. 853271).</t>
  </si>
  <si>
    <t>JUL 18</t>
  </si>
  <si>
    <t>10.1038/s41598-023-38656-y</t>
  </si>
  <si>
    <t>S0AM4</t>
  </si>
  <si>
    <t>WOS:001067885000012</t>
  </si>
  <si>
    <t>Clarke, SJ; Long, E; Biggs, J; Bruce, K; Weatherby, A; Harper, LR; Hails, RS</t>
  </si>
  <si>
    <t>Clarke, Stewart J.; Long, Emily; Biggs, Jeremy; Bruce, Kat; Weatherby, Anita; Harper, Lynsey R.; Hails, Rosemary S.</t>
  </si>
  <si>
    <t>Co-design of a citizen science study: Unlocking the potential of eDNA for volunteer freshwater monitoring</t>
  </si>
  <si>
    <t>catchment; citizen science; co-design; eDNA; freshwater</t>
  </si>
  <si>
    <t>ENVIRONMENTAL DNA</t>
  </si>
  <si>
    <t>Citizen science is increasingly being promoted as a means of gathering more data to help inform the management of ecosystems. Involving the participants in the design of data collection activities is a form of co-design often proposed by those calling for a translational ecology. In addition, novel monitoring approaches have the potential to improve the quality of data collected by citizen scientists. We explored the potential of environmental DNA (eDNA) for vertebrate (mainly fish) species monitoring through a co-designed catchment monitoring strategy.Having been introduced to the potential of eDNA, citizen scientists designed and executed an eDNA-based survey of a small chalk stream catchment to explore questions of concern.The eDNA survey provided data about fish and other vertebrate diversity in the catchment which would have otherwise required sampling approaches difficult for citizen scientists. These data give a preliminary answer to some of the citizen scientists' priority questions and are comparable to fish data collected through traditional electrofishing surveys.Recommendations are offered for co-design and the use of novel research techniques by citizen scientists.</t>
  </si>
  <si>
    <t>[Clarke, Stewart J.; Long, Emily; Weatherby, Anita; Hails, Rosemary S.] Natl Trust, Swindon, England; [Biggs, Jeremy] Freshwater Habitats Trust, Oxford, England; [Bruce, Kat] Nat Metr, Guildford, England; [Harper, Lynsey R.] Freshwater Biol Assoc, Ambleside, England</t>
  </si>
  <si>
    <t>Freshwater Biological Association (FBA)</t>
  </si>
  <si>
    <t>Clarke, SJ (corresponding author), Natl Trust, Swindon, England.</t>
  </si>
  <si>
    <t>stewart.clarke@nationaltrust.org.uk</t>
  </si>
  <si>
    <t>Weatherby, Anita/K-5472-2012; Biggs, Juliet/D-4599-2011; Harper, Lynsey/AAQ-2705-2020; Hails, Rosemary/E-9478-2010</t>
  </si>
  <si>
    <t>Harper, Lynsey/0000-0003-0923-1801; Hails, Rosemary/0000-0002-6975-1318; Clarke, Stewart/0009-0001-0281-381X; Bruce, Kat/0000-0003-0286-5887</t>
  </si>
  <si>
    <t>This work would not have been possible without the enthusiasm of citizen scientist volunteers working for the National Trust Upper Bure Riverlands project: James Tibbitts, Jeremy Bell, Stuart Brooks, David Arkeison, John Rea, Janice Single, Vic Purdy, Rich [BB/T019298/1]; UKRI/BBSRC Citizen Science Exploration Grant; BBSRC [BB/T019298/1] Funding Source: UKRI</t>
  </si>
  <si>
    <t>This work would not have been possible without the enthusiasm of citizen scientist volunteers working for the National Trust Upper Bure Riverlands project: James Tibbitts, Jeremy Bell, Stuart Brooks, David Arkeison, John Rea, Janice Single, Vic Purdy, Rich; UKRI/BBSRC Citizen Science Exploration Grant; BBSRC(UK Research &amp; Innovation (UKRI)Biotechnology and Biological Sciences Research Council (BBSRC))</t>
  </si>
  <si>
    <t>This work would not have been possible without the enthusiasm of citizen scientist volunteers working for the National Trust Upper Bure Riverlands project: James Tibbitts, Jeremy Bell, Stuart Brooks, David Arkeison, John Rea, Janice Single, Vic Purdy, Richard Foss, Eddie Anderson, Enrica Botwright and William Heal. The authors thank Sharon Reeves, Tom Sayer, Julie Doherty, Mike Hopwood (National Trust) for support and advice during the case study work, Daniel Read (UKCEH) for technical input on eDNA and the team at Nature Metrics for laboratory analysis. The case study was funded via a UKRI/BBSRC Citizen Science Exploration Grant (BB/T019298/1). We thank two anonymous reviewers for comments on an earlier draft of this manuscript. No licences or permits were required for fieldwork, but landowner permission was sought to access sampling sites.</t>
  </si>
  <si>
    <t>e12273</t>
  </si>
  <si>
    <t>10.1002/2688-8319.12273</t>
  </si>
  <si>
    <t>T9ET8</t>
  </si>
  <si>
    <t>WOS:001080950000001</t>
  </si>
  <si>
    <t>Zorzo, P; Buceta, JL; Corredor, L; López-Samaniego, I; López-Samaniego, E</t>
  </si>
  <si>
    <t>Zorzo, Pilar; Luis Buceta, Jose; Corredor, Laura; Lopez-Samaniego, Izaskun; Lopez-Samaniego, Estibaliz</t>
  </si>
  <si>
    <t>An approach to the integration of beach litter data from official monitoring programmes and citizen science</t>
  </si>
  <si>
    <t>Marine litter; Beach debris; Baseline value; Spanish marine subdivisions; Spanish monitoring programmes; Citizen science; MARNOBA</t>
  </si>
  <si>
    <t>DEBRIS</t>
  </si>
  <si>
    <t>Marine litter on Spanish beaches is assessed through two monitoring programmes: the Official Monitoring Programme of Marine Litter on Beaches (BM-1) developed by the Spanish Ministry for the Ecological Transition and the Demographic Challenge and the Citizen Science Monitoring Programme (BM-7) that provides beach litter data from voluntary clean-up initiatives. So far, the data provided by both programmes have been analysed separately although their integration could improve the assessment of the situation of Spanish beaches regarding marine litter. To this end, this paper studies the possible integration of both datasets through the calculation of a baseline value for marine litter on Spanish beaches. Statistical analysis of data shows that both datasets produce similar values and also integrate in a consistent way to achieve a value of 128 items/100 m as a baseline value for beach litter in Spain.</t>
  </si>
  <si>
    <t>[Zorzo, Pilar; Luis Buceta, Jose] CEDEX, Ctr Harbours &amp; Coastal Studies, E-28026 Madrid, Spain; [Zorzo, Pilar] Spanish Marine Litter Assoc, E-28029 Madrid, Spain; [Corredor, Laura; Lopez-Samaniego, Izaskun; Lopez-Samaniego, Estibaliz] Assoc Vertidos Cero, E-28702 Madrid, Spain; [Lopez-Samaniego, Estibaliz] Autonomous Univ Madrid, E-28049 Madrid, Spain</t>
  </si>
  <si>
    <t>Autonomous University of Madrid</t>
  </si>
  <si>
    <t>Zorzo, P (corresponding author), CEDEX, Ctr Harbours &amp; Coastal Studies, E-28026 Madrid, Spain.</t>
  </si>
  <si>
    <t>pilar.zorzo@cedex.es</t>
  </si>
  <si>
    <t>ZORZO, PILAR/0000-0002-4163-3184; López-Samaniego, Estibaliz/0000-0001-6295-5484</t>
  </si>
  <si>
    <t>10.1016/j.marpolbul.2021.112902</t>
  </si>
  <si>
    <t>UZ1IM</t>
  </si>
  <si>
    <t>WOS:000701965500004</t>
  </si>
  <si>
    <t>Pirotta, V; Reynolds, W; Ross, G; Jonsen, I; Grech, A; Slip, D; Harcourt, R</t>
  </si>
  <si>
    <t>Pirotta, Vanessa; Reynolds, Wayne; Ross, Geoffrey; Jonsen, Ian; Grech, Alana; Slip, David; Harcourt, Robert</t>
  </si>
  <si>
    <t>A citizen science approach to long-term monitoring of humpback whales (Megaptera novaeangliae) off Sydney, Australia</t>
  </si>
  <si>
    <t>MARINE MAMMAL SCIENCE</t>
  </si>
  <si>
    <t>citizen science; conservation; count; humpback whale; long-term monitoring; Megaptera novaeangliae; migration</t>
  </si>
  <si>
    <t>TRENDS; ABUNDANCE; MANAGEMENT; INSIGHTS; BEHAVIOR; SHELF; STATE; FIELD</t>
  </si>
  <si>
    <t>The Cape Solander Whale Migration Study is a citizen science project that annually counts northward migrating humpback whales (Megaptera novaeangliae) off Cape Solander, Sydney, Australia. Dedicated observers have compiled a 20-year data set (1997-2017) of shore-based observations from Cape Solander's high vantage point. Using this long-term data set collected by citizen scientists, we sought to estimate the humpback whale population trend as it continues to recover postexploitation. We estimated an exponential growth rate of 0.099 (95% CI = 0.079-0.119) using a generalized linear model, based on observer effort (number of observation days) and number of whales observed, equating to 10% per annum growth in sightings since 1997. We found that favorable weather conditions for spotting whales off Cape Solander consisted of winds &lt;30 km/hr from a southerly through a north westerly direction. Incidental observations of other cetacean species included the endangered blue whale (Balaenoptera musculus) and data deficient species such as killer whales (Orcinus orca) and false killer whales (Pseudorca crassidens). Citizen science-based studies can provide a cost-effective approach to monitoring wildlife over the time necessary to detect change in a population. Information obtained from citizen science projects like this may help inform policy makers responsible for State and Federal protection of cetaceans in Australian waters and beyond.</t>
  </si>
  <si>
    <t>[Pirotta, Vanessa; Jonsen, Ian; Slip, David; Harcourt, Robert] Macquarie Univ, Dept Biol Sci, Marine Predator Res Grp, Sydney, NSW 2109, Australia; [Reynolds, Wayne] NSW Natl Pk &amp; Wildlife Serv, Sydney, NSW, Australia; [Ross, Geoffrey] NSW Environm Protect Author, Sydney, NSW, Australia; [Grech, Alana] James Cook Univ, ARC Ctr Excellence Coral Reef Studies, Townsville, Qld, Australia; [Slip, David] Taronga Conservat Soc Australia, Sydney, NSW, Australia</t>
  </si>
  <si>
    <t>Macquarie University; James Cook University; ARC Centre of Excellence for Coral Reef Studies; Taronga Conservation Society Australia</t>
  </si>
  <si>
    <t>Pirotta, V (corresponding author), Macquarie Univ, Dept Biol Sci, Marine Predator Res Grp, Sydney, NSW 2109, Australia.</t>
  </si>
  <si>
    <t>vanessa.pirotta@hdr.mq.edu.au</t>
  </si>
  <si>
    <t>Grech, Alana/U-7776-2019; Pirotta, Vanessa/I-7046-2018</t>
  </si>
  <si>
    <t>Grech, Alana/0000-0003-4117-3779; Pirotta, Vanessa/0000-0003-0395-1859; Jonsen, Ian/0000-0001-5423-6076; Slip, David/0000-0002-9010-7236; Harcourt, Robert/0000-0003-4666-2934</t>
  </si>
  <si>
    <t>New South Wales National Park and Wildlife Services</t>
  </si>
  <si>
    <t>This work was supported by the New South Wales National Park and Wildlife Services. We thank all the volunteers who have contributed to this project over the years, in particularly long serving volunteers: Sue Rennie Wright, Cathy Cook, Rosemary Watkins, Paul Kammerer, Mark McGeachie, Anne McGeachie, Hugh, Joylene, Graham, Toni, Ginge, Donna, Kim, Hale, Chris, Ken, Greg, Bob C., and Bob E. We would like to thank New South Wales National Parks and Wildlife Services for their continued support of the program. A special thank you to Mishy McKensy and Christine Hopkins for their contribution and enthusiasm for the project. We would also like to thank the staff from Kamay Botany Bay National Park for the ongoing logistical support. We thank Mike Noad for his assistance with providing information regarding the Queensland based surveys. We would like to thank Peter Garbett and Cetal Fauna for their assistance in obtaining historical literature. Research protocols were approved by the NSW Office of Environment and Heritage.</t>
  </si>
  <si>
    <t>0824-0469</t>
  </si>
  <si>
    <t>1748-7692</t>
  </si>
  <si>
    <t>MAR MAMMAL SCI</t>
  </si>
  <si>
    <t>Mar. Mamm. Sci.</t>
  </si>
  <si>
    <t>10.1111/mms.12651</t>
  </si>
  <si>
    <t>OCT 2019</t>
  </si>
  <si>
    <t>Marine &amp; Freshwater Biology; Zoology</t>
  </si>
  <si>
    <t>LC4SX</t>
  </si>
  <si>
    <t>WOS:000491207300001</t>
  </si>
  <si>
    <t>Soroye, P; Edwards, BPM; Buxton, RT; Ethier, JP; Frempong-Manso, A; Keefe, HE; Berberi, A; Roach-Krajewski, M; Binley, AD; Vincent, JG; Lin, HY; Cooke, SJ; Bennett, JR</t>
  </si>
  <si>
    <t>Soroye, Peter; Edwards, Brandon P. M.; Buxton, Rachel T.; Ethier, Jeffrey P.; Frempong-Manso, Acacia; Keefe, Hannah E.; Berberi, Albana; Roach-Krajewski, Maisy; Binley, Allison D.; Vincent, Jaimie G.; Lin, Hsien-Yung; Cooke, Steven J.; Bennett, Joseph R.</t>
  </si>
  <si>
    <t>The risks and rewards of community science for threatened species monitoring</t>
  </si>
  <si>
    <t>citizen science; community science; outreach; iNaturalist; participatory monitoring; species assessments; threatened species</t>
  </si>
  <si>
    <t>BREEDING BIRD SURVEY; CITIZEN-SCIENCE; CONSERVATION; SCIENTISTS; CHALLENGES; TRADE</t>
  </si>
  <si>
    <t>Finding ways of efficiently monitoring threatened species can be critical to effective conservation. The global proliferation of community science (also called citizen science) programs, like iNaturalist, presents a potential alternative or complement to conventional threatened species monitoring. Using a case study of similar to 700,000 observations of &gt;10,000 IUCN Red List Threatened species within iNaturalist observations, we illustrate the potential risks and rewards of using community science to monitor threatened species. Poor data quality and risks of sending untrained volunteers to sample species that are sensitive to disturbance or harvesting are key barriers to overcome. Yet community science can expand the breadth of monitoring at little extra cost, while indirectly benefiting conservation through outreach and education. We conclude with a list of actionable recommendations to further mitigate the risks and capitalize on the rewards of community science as a threatened species monitoring tool.</t>
  </si>
  <si>
    <t>[Soroye, Peter; Ethier, Jeffrey P.; Keefe, Hannah E.; Roach-Krajewski, Maisy] Univ Ottawa, Dept Biol, Ottawa, ON, Canada; [Edwards, Brandon P. M.; Buxton, Rachel T.; Frempong-Manso, Acacia; Berberi, Albana; Binley, Allison D.; Vincent, Jaimie G.; Lin, Hsien-Yung; Cooke, Steven J.; Bennett, Joseph R.] Carleton Univ, Dept Biol, Ottawa, ON K1S 5B6, Canada</t>
  </si>
  <si>
    <t>University of Ottawa; Carleton University</t>
  </si>
  <si>
    <t>Edwards, BPM (corresponding author), Carleton Univ, Dept Biol, Ottawa, ON K1S 5B6, Canada.</t>
  </si>
  <si>
    <t>brandonedwards3@cmail.carleton.ca</t>
  </si>
  <si>
    <t>; Lin, Hsien-Yung/H-2303-2013; Cooke, Steven/F-4193-2010; Keefe, Hannah/IYS-6942-2023; Soroye, Peter/Y-4133-2019</t>
  </si>
  <si>
    <t>Vincent, Jaimie/0000-0002-1246-0587; Berberi, Albana/0000-0001-6928-1574; Ethier, Jeffrey/0000-0001-8285-6440; Binley, Allison/0000-0001-8790-9935; Edwards, Brandon/0000-0003-0865-3076; Buxton, Rachel/0000-0002-2772-8435; Cooke, Steven/0000-0002-5407-0659; Keefe, Hannah/0000-0001-6121-3761; Soroye, Peter/0000-0001-9810-3363</t>
  </si>
  <si>
    <t>University of Ottawa; Natural Sciences and Engineering Research Council of Canada; Carleton University</t>
  </si>
  <si>
    <t>University of Ottawa(University of Ottawa); Natural Sciences and Engineering Research Council of Canada(Natural Sciences and Engineering Research Council of Canada (NSERC)CGIAR); Carleton University</t>
  </si>
  <si>
    <t>Carleton University; University of Ottawa; Natural Sciences and Engineering Research Council of Canada</t>
  </si>
  <si>
    <t>e12788</t>
  </si>
  <si>
    <t>10.1111/csp2.12788</t>
  </si>
  <si>
    <t>4H1BM</t>
  </si>
  <si>
    <t>WOS:000837086800001</t>
  </si>
  <si>
    <t>Jimenez, MF; Pejchar, L; Reed, SE</t>
  </si>
  <si>
    <t>Jimenez, Miguel F.; Pejchar, Liba; Reed, Sarah E.</t>
  </si>
  <si>
    <t>Tradeoffs of using place-based community science for urban biodiversity monitoring</t>
  </si>
  <si>
    <t>biodiversity monitoring; community science; data quality; public engagement; public participation in science; urban ecology; urban open space</t>
  </si>
  <si>
    <t>CITIZEN-SCIENCE; DATA QUALITY; EXURBAN DEVELOPMENT; CONSERVATION; STEWARDSHIP; OCCUPANCY; KNOWLEDGE; ATTITUDES; MODELS; TOOL</t>
  </si>
  <si>
    <t>Community science, the enlisting of volunteers to collect biodiversity data, is now common and widespread. In theory, the benefits of this model are complementary: community science programs produce useful datasets while engaging the public in conservation. However, in practice there may be tradeoffs regarding data quality, economic cost, and public engagement, which are rarely quantified. To assess program structure and relative outputs, we evaluated the tradeoffs associated with (a) employing paid technicians or (b) recruiting community science volunteers to collect bird and butterfly data for an urban biodiversity project. We found mixed results for data quality; the probability of detecting human-adapted species was similar between technicians and community scientists, but community scientists were less likely to detect human-sensitive species and overreported the abundance of human-adapted birds. Habitat use estimates for four out of five species were comparable between the two datasets, although uncertainty was greater for community science data. Community scientists were more efficient in terms of economic cost, producing one and a half times more bird and two times more butterfly surveys and detections per paid work-hour. Community scientists improved their ability to identify local species (birds by 16%; butterflies by 31%). Lastly, community scientists reported an increased interest in educational or volunteer programs after participating in monitoring but were less likely to report an increased interest in taking conservation action. To improve data quality, we recommend that training focus on identifying human-sensitive species and tracking multiple individuals of the same species during surveys. To catalyze changes in attitudes, programs should focus on recruiting members of the public with diverse preexisting attitudes toward conservation. Although we demonstrate some shortcomings, our findings add to a growing body of literature that suggests community science can increase scientific literacy and efficiently produce data of similar quality to technicians, particularly for common species.</t>
  </si>
  <si>
    <t>[Jimenez, Miguel F.; Pejchar, Liba; Reed, Sarah E.] Colorado State Univ, Dept Fish Wildlife &amp; Conservat Biol, 1474 Campus Delivery, Ft Collins, CO 80523 USA</t>
  </si>
  <si>
    <t>Colorado State University System; Colorado State University Fort Collins</t>
  </si>
  <si>
    <t>Jimenez, MF (corresponding author), 225 Varick St, New York, NY 10014 USA.</t>
  </si>
  <si>
    <t>migfjimenez@gmail.com</t>
  </si>
  <si>
    <t>; Pejchar, Liba/PGT-3449-2026</t>
  </si>
  <si>
    <t>Jimenez, Miguel/0000-0002-3199-2941; Reed, Sarah/0000-0002-6142-1285;</t>
  </si>
  <si>
    <t>Colorado Chapter of The Wildlife Society; Lois Webster Fund; Wildlife Conservation Society; CSU's School of Global Environmental Sustainability; City of Fort Collins</t>
  </si>
  <si>
    <t>e338</t>
  </si>
  <si>
    <t>10.1111/csp2.338</t>
  </si>
  <si>
    <t>JAN 2021</t>
  </si>
  <si>
    <t>QK8AK</t>
  </si>
  <si>
    <t>WOS:000607444400001</t>
  </si>
  <si>
    <t>Dupuis-Desormeaux, M; Van Alstyne, G; Mueller, M; Takayesu, R; D'Elia, V; Tan, TS; Macdonald, SE</t>
  </si>
  <si>
    <t>Dupuis-Desormeaux, Marc; Van Alstyne, Grace; Mueller, Maureen; Takayesu, Ruth; D'Elia, Vince; Tan, Tisha; Macdonald, Suzanne E.</t>
  </si>
  <si>
    <t>Social media-based community science for turtle nest monitoring and conservation</t>
  </si>
  <si>
    <t>citizen-science; urban wetlands; subsidized predators; Chelydra serpentina; Chrysemys picta; Sternotherus odoratus</t>
  </si>
  <si>
    <t>ROAD MORTALITY; POPULATION-MODEL; PREDATION; ONTARIO; DYNAMICS; REMOVAL</t>
  </si>
  <si>
    <t>In late 2020, a private volunteer group operating through a Facebook group approached Toronto and Region Conservation Authority (TRCA) with an interest in participating in the Citizen Science Nest Protection and Monitoring Volunteer Program. During the 2021 season, TRCA staff virtually trained volunteers in turtle nest detection, protection, and monitoring due to COVID-19 social constraints, and provided necessary supplies and equipment. In 2021 volunteers and staff detected 181 turtle nests and were able to protect 75 nests with simple predator-exclusion devices, while in 2022, 165 nests were detected, and 155 were protected. The volunteers also collected data, including nesting location, date, and species in addition to the number of successful hatchlings (2021 only). In 2021, the 75 protected nests yielded 81 Midland Painted Turtle and 665 Snapping Turtle hatchlings. Five Midland Painted Turtle's eggs were also recovered from an injured turtle, and 44 Snapping Turtle eggs were recovered from a partially predated nest, transported to the Ontario Turtle Conservation Centre, incubated, hatched, and overwintered, and then released back into the local wetlands. The partnership with a local community group proved effective, and we would recommend this practice to other conservation organizations interested in turtle nest protection.</t>
  </si>
  <si>
    <t>[Dupuis-Desormeaux, Marc] York Univ, Glendon Coll, Dept Biol, 2275 Bayview Ave, Toronto, ON, Canada; [Van Alstyne, Grace; Mueller, Maureen; Takayesu, Ruth] Heart Lake Turtle Troopers, Brampton, ON, Canada; [D'Elia, Vince; Tan, Tisha] Toronto &amp; Reg Conservat Author, Toronto, ON, Canada; [Macdonald, Suzanne E.] York Univ, Dept Psychol, Toronto, ON, Canada</t>
  </si>
  <si>
    <t>York University - Canada; York University - Canada</t>
  </si>
  <si>
    <t>Dupuis-Desormeaux, M (corresponding author), York Univ, Glendon Coll, Dept Biol, 2275 Bayview Ave, Toronto, ON, Canada.</t>
  </si>
  <si>
    <t>marcd2@yorku.ca</t>
  </si>
  <si>
    <t>Dupuis-Desormeaux, Marc/0000-0001-9224-697X</t>
  </si>
  <si>
    <t>Acknowledgments We want to thank all the followers and volunteers of the Heart Lake Turtle Troopers who worked vigorously to pro- tect and monitor nesting site, and specifically the organi- zational work done by Jamie -Lee Ball, Christina Cicconetti, Lori Leckie, Leah Nacua, and Rebecca Zimmerman. We are indebted to Scales Nature Park for their financial support, expertise, and help with removing eggs and incubation un- der permit (Permit Authorization No. 1100266) . The authors would also like to thank Dr. Sue Carstairs and the volunteers and staff at the Ontario Turtle Conservation Centre for train- ing in addition to their frequent help with injured turtles and egg incubation. Finally, we would like to thank the Volunteer Turtle Taxi Drivers that ferried eggs and hatchlings from var- ious locations .</t>
  </si>
  <si>
    <t>123 Slater Street, Suite 610, OTTAWA, ON K1P 5H2, CANADA</t>
  </si>
  <si>
    <t>JUN 4</t>
  </si>
  <si>
    <t>10.1139/facets-2023-0044</t>
  </si>
  <si>
    <t>WI4V6</t>
  </si>
  <si>
    <t>WOS:001254236700001</t>
  </si>
  <si>
    <t>Neale, P; Brown, S; Sill, T; Cawood, A; Tzortziou, M; Park, J; Lee, MS; Paquette, B</t>
  </si>
  <si>
    <t>Neale, Patrick; Brown, Shelby; Sill, Tara; Cawood, Alison; Tzortziou, Maria; Park, Jieun; Lee, Min-Sun; Paquette, Beth</t>
  </si>
  <si>
    <t>Participatory science methods to monitor water quality and ground truth remote sensing of the Chesapeake Bay</t>
  </si>
  <si>
    <t>DISSOLVED ORGANIC-MATTER; TEMPERATURE COMPENSATION METHOD; FLUORESCENCE SENSORS; CHLOROPHYLL; DYNAMICS</t>
  </si>
  <si>
    <t>Measurements by volunteer scientists using participatory science methods in combination with high resolution remote sensing can improve our ability to monitor water quality changes in highly vulnerable and economically valuable nearshore and estuarine habitats. In the Chesapeake Bay (USA), tidal tributaries are a focus of watershed and shoreline management efforts to improve water quality. The Chesapeake Water Watch program seeks to enhance the monitoring of tributaries by developing and testing methods for volunteer scientists to easily measure chlorophyll, turbidity, and colored dissolved organic matter (CDOM) to inform Bay stakeholders and improve algorithms for analogous remote sensing (RS) products. In the program, trained volunteers have measured surface turbidity using a smartphone app, HydroColor, calibrated with a photographer's gray card. In vivo chlorophyll and CDOM fluorescence were assessed in surface samples with hand-held fluorometers (Aquafluor) located at sample processing hubs where volunteers drop off samples for same day processing. In validation samples, HydroColor turbidity and Aquafluor in vivo chlorophyll and CDOM fluorescence were linear estimators of standard analytical measures of turbidity, chlorophyll and CDOM, respectively, with R2 values ranging from 0.65 to 0.85. Updates implemented in a new version (v2) of HydroColor improved the precision of estimates. These methods are being used for both repeat sampling at fixed sites of interest and ad-hoc blitzes to synoptically sample tributaries all around the Bay in coordination with satellite overpasses. All data is accessible on a public database (serc.fieldscope.org) and can be a resource to monitor long-term trends in the tidal tributaries as well as detect and diagnose causes of events of concern such as algal blooms and storm-induced reductions in water clarity.</t>
  </si>
  <si>
    <t>[Neale, Patrick; Brown, Shelby; Sill, Tara; Cawood, Alison] Smithsonian Environm Res Ctr, Smithsonian Inst, Edgewater, MD 21037 USA; [Tzortziou, Maria; Park, Jieun; Lee, Min-Sun] CUNY, New York, NY USA; [Lee, Min-Sun] Natl Inst Fisheries Sci, Inst Fisheries Sci, Busan, South Korea</t>
  </si>
  <si>
    <t>Smithsonian Institution; Smithsonian Environmental Research Center; City University of New York (CUNY) System; National Institute of Fisheries Science</t>
  </si>
  <si>
    <t>Neale, P (corresponding author), Smithsonian Environm Res Ctr, Smithsonian Inst, Edgewater, MD 21037 USA.</t>
  </si>
  <si>
    <t>nealep@si.edu</t>
  </si>
  <si>
    <t>Neale, Patrick/A-3683-2012</t>
  </si>
  <si>
    <t>Neale, Patrick/0000-0002-4047-8098; Brown, Shelbourne/0000-0002-8726-7933</t>
  </si>
  <si>
    <t>NASA Citizen Science for Earth Systems Program [80NSSC22K1912]</t>
  </si>
  <si>
    <t>NASA Citizen Science for Earth Systems Program</t>
  </si>
  <si>
    <t>Support was received from the NASA Citizen Science for Earth Systems Program (https://www.earthdata.nasa.gov/esds/competitive-programs/csesp), Award # 80NSSC22K1912 to PJN, AC &amp; MT. The funder did not play any role in the study design, data collection and analysis, decision to publish, or preparation of the manuscript.</t>
  </si>
  <si>
    <t>OCT 31</t>
  </si>
  <si>
    <t>e0305505</t>
  </si>
  <si>
    <t>10.1371/journal.pone.0305505</t>
  </si>
  <si>
    <t>L1T4X</t>
  </si>
  <si>
    <t>WOS:001348615200063</t>
  </si>
  <si>
    <t>de Sá, NC; Marchante, H; Marchante, E; Cabral, JA; Honrado, JP; Vicente, JR</t>
  </si>
  <si>
    <t>de Sa, Nuno Cesar; Marchante, Helia; Marchante, Elizabete; Cabral, Joao Alexandre; Honrado, Joao Pradinho; Vicente, Joana Raquel</t>
  </si>
  <si>
    <t>Can citizen science data guide the surveillance of invasive plants? A model-based test with Acacia trees in Portugal</t>
  </si>
  <si>
    <t>Acacia species; Ensemble modelling; Invasive alien plants; SDM; Citizen science</t>
  </si>
  <si>
    <t>SPECIES DISTRIBUTION MODELS; MANAGEMENT; CONSERVATION; ECOLOGY; WORLD; BIAS; SEED</t>
  </si>
  <si>
    <t>With the rapid expansion of invasive alien plants (IAPs), accurate and timely distribution data is increasingly critical to successful management. However, it is not easy for researchers/technicians to obtain data for all IAPs and territories. In this context, data collected by Citizen Science Platforms can be a useful tool, complementing professional data. We hypothesize that combining IAP data collected by citizens and data collected by researchers can improve the accuracy of species distribution models (SDMs) and optimize surveillance efforts. To test this, we gathered data from a Citizen Science Platform (Invasoras.pt) and from researchers on three invasive Acacia species widespread in Portugal and generated three different datasets: researchers, citizens, and researchers plus citizens. We modelled the potential distribution of the species using an ensemble approach (biomod2 R package) to test the effect of the different datasets on the resulting model accuracy, the selected environmental drivers of species distribution and the predicted spatial distribution. All SDMs obtained very high accuracy, with the highest values being obtained in the models trained with researchers' data. Nevertheless, models trained with citizen data vastly increased the predicted spatial distribution in all cases. The spatial projections of the three models were further compared and ranked to identify the areas of highest surveillance priority for each species, i.e., areas with high agreement between the models but where occurrence data is lacking. These results can be used to guide future surveillance efforts both for citizens and researchers.</t>
  </si>
  <si>
    <t>[de Sa, Nuno Cesar; Marchante, Helia; Marchante, Elizabete] Univ Coimbra, Dept Life Sci, Ctr Funct Ecol, P-3000456 Coimbra, Portugal; [de Sa, Nuno Cesar; Marchante, Helia] Inst Politecn Coimbra, ESAC, CFE, P-3045601 Coimbra, Portugal; [de Sa, Nuno Cesar] Leiden Univ, Inst Environm Sci CML, POB 9518, NL-2300 RA Leiden, Netherlands; [Cabral, Joao Alexandre; Vicente, Joana Raquel] Univ Tras Os Montes &amp; Alto Douro, CITAB Ctr Res &amp; Technol Agroenvironm &amp; Biol Sci, Lab Appl Ecol, Vila Real, Portugal; [Honrado, Joao Pradinho; Vicente, Joana Raquel] Univ Porto, Res Network Biodivers &amp; Evolutionary Biol, Res Ctr Biodivers &amp; Genet Resources InBIO CIBIO, Campus Agr Vairao,Rua Padre Armando Quintas, P-4485661 Vairao, Portugal; [Honrado, Joao Pradinho; Vicente, Joana Raquel] Univ Porto, Fac Ciencias, Rua Campo Alegre S-N, P-4169007 Porto, Portugal</t>
  </si>
  <si>
    <t>Universidade de Coimbra; Instituto Politecnico de Coimbra (IPC); Leiden University - Excl LUMC; Leiden University; University of Tras-os-Montes &amp; Alto Douro; Universidade do Porto; Universidade do Porto</t>
  </si>
  <si>
    <t>de Sá, NC (corresponding author), Univ Coimbra, Dept Life Sci, Ctr Funct Ecol, P-3000456 Coimbra, Portugal.</t>
  </si>
  <si>
    <t>nuno.cesar.sa@gmail.com</t>
  </si>
  <si>
    <t>César de Sá, Nuno/AAS-3952-2020; Cabral, João/H-9351-2013; Vicente, Joana/L-7434-2013; Marchante, Elizabete/D-3858-2011; Honrado, Joao/L-8365-2013; Marchante, Hélia/I-1066-2012</t>
  </si>
  <si>
    <t>César de Sá, Nuno/0000-0001-7035-5913; Cabral, João/0000-0002-3333-8898; Vicente, Joana/0000-0003-0382-0189; Marchante, Elizabete/0000-0003-1303-7489; Honrado, Joao/0000-0001-8443-4276; Marchante, Hélia/0000-0002-3247-5663</t>
  </si>
  <si>
    <t>Project INVADER-IV [PTDC/AAGREC/4896/2014]; European funds FEDER; Portugal 2020/POCI; FCT through project INVADER-IV [PTDC/AAGREC/4896/2014]; Projecto ReNATURE-Valorization of the Natural Endogenous Resources of the Centro Region (Centro 2020) [Centro-01-0145-FEDER-000007]; European funds POPH/FSE; FCT [SFRH/BPD/84044/2012]; FEDER/COMPETE/POCI-Operacional Competitiveness and Internacionalization Programme [POCI-01-0145-FEDER-006958]; FCT-Portuguese Foundation for Science and Technology [UID/AGR/04033/2013]; Fundação para a Ciência e a Tecnologia [SFRH/BPD/84044/2012] Funding Source: FCT</t>
  </si>
  <si>
    <t>Project INVADER-IV; European funds FEDER(European Union (EU)); Portugal 2020/POCI; FCT through project INVADER-IV; Projecto ReNATURE-Valorization of the Natural Endogenous Resources of the Centro Region (Centro 2020); European funds POPH/FSE; FCT(Fundacao para a Ciencia e a Tecnologia (FCT)); FEDER/COMPETE/POCI-Operacional Competitiveness and Internacionalization Programme; FCT-Portuguese Foundation for Science and Technology(Fundacao para a Ciencia e a Tecnologia (FCT)); Fundação para a Ciência e a Tecnologia</t>
  </si>
  <si>
    <t>N. Cesar de Sa was supported through the Project INVADER-IV (PTDC/AAGREC/4896/2014). E. Marchante and H Marchante were supported by European funds FEDER and Portugal 2020/POCI and national funds FCT through project INVADER-IV (PTDC/AAGREC/4896/2014). E. Marchante was also supported by Projecto ReNATURE-Valorization of the Natural Endogenous Resources of the Centro Region (Centro 2020, Centro-01-0145-FEDER-000007). J.R. Vicente was supported by European funds POPH/FSE and national funds FCT trough the Post-Doc Grant SFRH/BPD/84044/2012. J.A. Cabral and J.R. Vicente were supported as CITAB researchers by European Investment Funds by FEDER/COMPETE/POCI-Operacional Competitiveness and Internacionalization Programme, under Project POCI-01-0145-FEDER-006958 and National Funds by FCT-Portuguese Foundation for Science and Technology, under the project UID/AGR/04033/2013. The authors thank Alex Brandson for English revision of the final version of the manuscript.</t>
  </si>
  <si>
    <t>10.1007/s10530-019-01962-6</t>
  </si>
  <si>
    <t>HX8IL</t>
  </si>
  <si>
    <t>WOS:000467649500023</t>
  </si>
  <si>
    <t>Delgado-Noguera, LA; Hernández-Pereira, CE; Ramírez, JD; Hernández, C; Velasquez-Ortíz, N; Clavijo, J; Ayala, JM; Forero-Peña, D; Marquez, M; Suarez, MJ; Traviezo-Valles, L; Escalona, MA; Perez-Garcia, L; Carpio, IM; Sordillo, EM; Grillet, ME; Llewellyn, MS; Gabaldón, JC; Mondolfi, AEP</t>
  </si>
  <si>
    <t>Delgado-Noguera, Lourdes A.; Hernandez-Pereira, Carlos E.; David Ramirez, Juan; Hernandez, Carolina; Velasquez-Ortiz, Natalia; Clavijo, Jose; Ayala, Jose Manuel; Forero-Pena, David; Marquez, Marilianna; Suarez, Maria J.; Traviezo-Valles, Luis; Alejandra Escalona, Maria; Perez-Garcia, Luis; Mejias Carpio, Isis; Sordillo, Emilia M.; Grillet, Maria E.; Llewellyn, Martin S.; Gabaldon, Juan C.; Paniz Mondolfi, Alberto E.</t>
  </si>
  <si>
    <t>Tele-entomology and tele-parasitology: A citizen science-based approach for surveillance and control of Chagas disease in Venezuela</t>
  </si>
  <si>
    <t>PARASITE EPIDEMIOLOGY AND CONTROL</t>
  </si>
  <si>
    <t>Venezuela; Telemedicine; Vector; Chagas; GIS; Citizen science</t>
  </si>
  <si>
    <t>REDUVIIDAE</t>
  </si>
  <si>
    <t>Chagas Disease (CD), a chronic infection caused by the Trypanosoma cruzi parasite, is a Neglected Tropical Disease endemic to Latin America. With a re-emergence in Venezuela during the past two decades, the spread of CD has proved susceptible to, and inhibitable by a digital, real-time sur-veillance system effectuated by Citizen Scientists in communities throughout the country. The #TraeTuChipo (#BringYourKissingBug) campaign implemented in January 2020, has served as such a strategy counting on community engagement to define the current ecological distribution of CD vectors despite the absence of a functional national surveillance program. This pilot campaign collected data through online surveys, social media platforms, and/or telephone text messages. A total of 79 triatomine bugs were reported from eighteen Venezuelan states; 67 bugs were identified as Panstrongylus geniculatus, 1 as Rhodnius pictipes, 1 as Triatoma dimidiata, and 10 as Triatoma maculata. We analyzed 8 triatomine feces samples spotted from 4 Panstrongylus geniculatus which were confirmed positive by qPCR for T. cruzi. Further molecular characteriza-tion of discrete typing units (DTUs), revealed that all samples contained TcI, the most highly diverse and broadly distributed strain of T. cruzi. Moreover, analysis of the mitochondrial 12S gene revealed Myotis keaysi, Homo sapiens, and Gallus gallus as the main triatomine feeding sources. This study highlights a novel Citizen Science approach which may help improve the surveillance systems for CD in endemic countries.</t>
  </si>
  <si>
    <t>[Delgado-Noguera, Lourdes A.; Hernandez-Pereira, Carlos E.; Forero-Pena, David; Marquez, Marilianna; Suarez, Maria J.; Alejandra Escalona, Maria; Perez-Garcia, Luis; Mejias Carpio, Isis; Gabaldon, Juan C.; Paniz Mondolfi, Alberto E.] Inst Invest Biomed IDB, Emerging Pathogens Network Incubadora Venezolana, Cabudare, Venezuela; [Delgado-Noguera, Lourdes A.; Hernandez-Pereira, Carlos E.; Marquez, Marilianna; Suarez, Maria J.; Traviezo-Valles, Luis; Alejandra Escalona, Maria; Perez-Garcia, Luis] Univ Ctr Occident Lisandro Alvarado, Dept Ciencias Salud, Escuela Med, Barquisimeto, Lara, Venezuela; [David Ramirez, Juan; Hernandez, Carolina; Velasquez-Ortiz, Natalia] Univ Rosario, Fac Ciencias Nat, Ctr Invest Microbiol &amp; Biotecnol UR CIMBIUR, Bogota, Colombia; [David Ramirez, Juan; Sordillo, Emilia M.; Paniz Mondolfi, Alberto E.] Icahn Sch Med Mt Sinai, Dept Pathol Mol &amp; Cell Based Med, New York, NY 10029 USA; [Clavijo, Jose] Univ Cent Venezuela, Museo Inst Zool Agr Francisco Fernandez Yepez MIZ, Aragua, Venezuela; [Ayala, Jose Manuel] World Arthropods, Triatominae Sect, Austin, TX USA; [Traviezo-Valles, Luis] Univ Ctr Occident Lisandro Alvarado, Dept Ciencias Salud, Secc Parasitol Med UNIPARME, Barquisimeto, Lara, Venezuela; [Mejias Carpio, Isis] Global WASH, Houston, TX USA; [Mejias Carpio, Isis] Water &amp; Sanitat Rotarian Act Grp WaSRAG, Houston, TX USA; [Grillet, Maria E.] Univ Cent Venezuela, Fac Ciencias, Inst Zool &amp; Ecol Trop, Lab Biol Vectores &amp; Parasitos, Caracas, Venezuela; [Llewellyn, Martin S.; Paniz Mondolfi, Alberto E.] Univ Glasgow, Inst Biodivers Anim Hlth &amp; Comparat Med, Glasgow G12 8QQ, Lanark, Scotland; [Gabaldon, Juan C.] Univ Navarra, Hosp Clin, Barcelona Inst Global Hlth ISGlobal, Barcelona, Spain</t>
  </si>
  <si>
    <t>Universidad del Rosario; Icahn School of Medicine at Mount Sinai; University of Central Venezuela; University of Glasgow; University of Navarra; University of Barcelona; Hospital Clinic de Barcelona; ISGlobal</t>
  </si>
  <si>
    <t>Mondolfi, AEP (corresponding author), Inst Invest Biomed IDB, Emerging Pathogens Network Incubadora Venezolana, Cabudare, Venezuela.</t>
  </si>
  <si>
    <t>alberto.paniz-mondolfi@mountsinai.org</t>
  </si>
  <si>
    <t>; Ramírez, Juan David/AAU-6053-2020; Traviezo, Luis/PHO-6041-2026; Díaz-Ramírez, Jorge/AAU-6053-2020; Traviezo Valles, Luis Eduardo/PHO-6041-2026; Grillet, Maria/AAR-6116-2021; Sordillo, Emilia Mia/AAF-3012-2021; Gabaldon-Figueira, Juan Carlos/LQJ-9382-2024</t>
  </si>
  <si>
    <t>Forero, David/0000-0002-8065-8464; Perez, Luis/0000-0002-2230-3171; Ramírez, Juan David/0000-0002-1344-9312; Díaz-Ramírez, Jorge/0000-0001-5335-576X; Traviezo Valles, Luis Eduardo/0000-0003-4544-6965; Sordillo, Emilia Mia/0000-0001-7787-3051; Gabaldon-Figueira, Juan Carlos/0000-0002-2525-0263; Delgado - Noguera, Lourdes/0000-0003-0910-5434</t>
  </si>
  <si>
    <t>GCRF Vector-borne disease control in Venezuela Network [EP/T003782/1]; GCRF [EP/T003782/1] Funding Source: UKRI</t>
  </si>
  <si>
    <t>GCRF Vector-borne disease control in Venezuela Network; GCRF(UK Research &amp; Innovation (UKRI))</t>
  </si>
  <si>
    <t>Funding Funding was provided by GCRF Vector-borne disease control in Venezuela Network EP/T003782/1.</t>
  </si>
  <si>
    <t>2405-6731</t>
  </si>
  <si>
    <t>PARASITE EPIDEM CONT</t>
  </si>
  <si>
    <t>Parasite Epidemiol. Control</t>
  </si>
  <si>
    <t>e00273</t>
  </si>
  <si>
    <t>10.1016/j.parepi.2022.e00273</t>
  </si>
  <si>
    <t>SEP 2022</t>
  </si>
  <si>
    <t>Public, Environmental &amp; Occupational Health; Infectious Diseases; Parasitology</t>
  </si>
  <si>
    <t>5A9ZM</t>
  </si>
  <si>
    <t>WOS:000863237000005</t>
  </si>
  <si>
    <t>Al-akshar, S; Ibrahim, ST; Katapally, TR</t>
  </si>
  <si>
    <t>Al-akshar, Sarah; Ibrahim, Sheriff Tolulope; Katapally, Tarun Reddy</t>
  </si>
  <si>
    <t>How can digital citizen science approaches improve ethical smartphone use surveillance among youth: Traditional surveys versus ecological momentary assessments</t>
  </si>
  <si>
    <t>SCREEN-TIME BEHAVIORS; PHYSICAL-ACTIVITY; MENTAL-HEALTH</t>
  </si>
  <si>
    <t>Ubiquitous use of smartphones among youth poses significant challenges related to non- communicable diseases, including poor mental health. Although traditional survey measures can be used to assess smartphone use among youth, they are subject to recall bias. This study aims to compare self-reported smartphone use via retrospective modified traditional recall survey and prospective Ecological Momentary Assessments (EMAs) among youth. This study uses data from the Smart Platform, which engages with youth as citizen scientists. Youth (N = 77) aged 13-21 years in two urban jurisdictions in Canada (Regina and Saskatoon) engaged with our research team using a custom-built application via their own smartphones to report on a range of behaviours and outcomes on eight consecutive days. Youth reported smartphone use utilizing a traditional validated measure, which was modified to capture retrospective smartphone use on both weekdays and weekend days. In addition, daily EMAs were also time-triggered over a period of eight days to capture prospective smartphone use. Demographic, behavioural, and contextual factors were also collected. Data analyses included t-test and linear regression using Python statistical software. There was a significant difference between weekdays, weekends and overall smartphone use reported retrospectively and prospectively (p-value = &lt;0.001), with youth reporting less smartphone use via EMAs. Overall retrospective smartphone use was significantly associated with not having a part-time job (beta = 139.64, 95% confidence interval [CI] = 34.759, 244.519, p-value = 0.010) and having more than two friends who are physically active (beta =-114.72, 95%[CI] =-208.872,-20.569, p-value = 0.018). However, prospective smartphone use reported via EMAs was not associated with any behavioural and contextual factors. The findings of this study have implications for appropriately understanding and monitoring smartphone use in the digital age among youth. EMAs can potentially minimize recall bias of smartphone use among youth, and other behaviours such as physical activity. More importantly, digital citizen science approaches that engage large populations of youth using their own smartphones can transform how we ethically monitor and mitigate the impact of excessive smartphone use.</t>
  </si>
  <si>
    <t>[Al-akshar, Sarah; Ibrahim, Sheriff Tolulope; Katapally, Tarun Reddy] Western Univ, Fac Hlth Sci, Sch Hlth Studies, Depth Lab, London, ON, Canada; [Katapally, Tarun Reddy] Western Univ, Schulich Sch Med &amp; Dent, Dept Epidemiol &amp; Biostat, London, ON, Canada; [Katapally, Tarun Reddy] Lawson Hlth Res Inst, Childrens Hlth Res Inst, 750 Base Line Rd East,Suite 300, London, ON, Canada</t>
  </si>
  <si>
    <t>Katapally, TR (corresponding author), Western Univ, Fac Hlth Sci, Sch Hlth Studies, Depth Lab, London, ON, Canada.;Katapally, TR (corresponding author), Western Univ, Schulich Sch Med &amp; Dent, Dept Epidemiol &amp; Biostat, London, ON, Canada.;Katapally, TR (corresponding author), Lawson Hlth Res Inst, Childrens Hlth Res Inst, 750 Base Line Rd East,Suite 300, London, ON, Canada.</t>
  </si>
  <si>
    <t>Alakshar, Sarah/0009-0008-5891-0679; KATAPALLY, TARUN REDDY/0000-0001-5765-1435</t>
  </si>
  <si>
    <t>This research was supported by the Saskatchewan Health Research Foundation (Establishment Grant and Patient-OrientedResearch Leader Award to TRK) and the Canada Research Chairs Program (Canada Research Chair in Digital Health for Equity awarded to TRK) . The funders had no role in study design, data collection and analysis, decision to publish, or preparation of the manuscript.r Research Leader Award to TRK) and the Canada Research Chairs Program (Canada Research Chair in Digital Health for Equity awarded to TRK) . The funders had no role in study design, data collection and analysis, decision to publish, or preparation of the manuscript.</t>
  </si>
  <si>
    <t>e0000448</t>
  </si>
  <si>
    <t>10.1371/journal.pdig.0000448</t>
  </si>
  <si>
    <t>W3M8V</t>
  </si>
  <si>
    <t>WOS:001417669700001</t>
  </si>
  <si>
    <t>Yoshikawa, T; Osada, Y</t>
  </si>
  <si>
    <t>Yoshikawa, Tetsuro; Osada, Yutaka</t>
  </si>
  <si>
    <t>Dietary Compositions and Their Seasonal Shifts in Japanese Resident Birds, Estimated from the Analysis of Volunteer Monitoring Data</t>
  </si>
  <si>
    <t>CITIZEN-SCIENCE; ECOLOGICAL RESEARCH; FORAGING BEHAVIOR; FEEDING ECOLOGY; FOREST BIRDS; FOOD-WEB; BIOFILM; NETWORK; PROJECT; FINCHES</t>
  </si>
  <si>
    <t>Determining the composition of a bird's diet and its seasonal shifts are fundamental for understanding the ecology and ecological functions of a species. Various methods have been used to estimate the dietary compositions of birds, which have their own advantages and disadvantages. In this study, we examined the possibility of using long-term volunteer monitoring data as the source of dietary information for 15 resident bird species in Kanagawa Prefecture, Japan. The data were collected from field observations reported by volunteers of regional naturalist groups. Based on these monitoring data, we calculated the monthly dietary composition of each bird species directly, and we also estimated unidentified items within the reported foraging episodes using Bayesian models that contained additional information regarding foraging locations. Next, to examine the validity of the estimated dietary compositions, we compared them with the dietary information for focal birds based on stomach analysis methods, collected from past literatures. The dietary trends estimated from the monitoring data were largely consistent with the general food habits determined from the previous studies of focal birds. Thus, the estimates based on the volunteer monitoring data successfully detected noticeable seasonal shifts in many of the birds from plant materials to animal diets during spring-summer. Comparisons with stomach analysis data supported the qualitative validity of the monitoring-based dietary information and the effectiveness of the Bayesian models for improving the estimates. This comparison suggests that one advantage of using monitoring data is its ability to detect dietary items such as fleshy fruits, flower nectar, and vertebrates. These results emphasize the potential importance of observation data collecting and mining by citizens, especially free descriptive observation data, for use in bird ecology studies.</t>
  </si>
  <si>
    <t>[Yoshikawa, Tetsuro] Forestry &amp; Forest Prod Res Inst, Dept Forest Vegetat, Tsukuba, Ibaraki 305, Japan; [Osada, Yutaka] Univ Tokyo, Grad Sch Agr &amp; Life Sci, Lab Biodivers Sci, Tokyo, Japan</t>
  </si>
  <si>
    <t>Forestry &amp; Forest Products Research Institute - Japan; University of Tokyo</t>
  </si>
  <si>
    <t>Yoshikawa, T (corresponding author), Forestry &amp; Forest Prod Res Inst, Dept Forest Vegetat, Tsukuba, Ibaraki 305, Japan.</t>
  </si>
  <si>
    <t>yoshikawa.tetsuro@gmail.com</t>
  </si>
  <si>
    <t>Yoshikawa, Tetsuro/0000-0001-6998-275X</t>
  </si>
  <si>
    <t>Japan Society for the Promotion of Science [2610007]; Grants-in-Aid for Scientific Research [14J10007] Funding Source: KAKEN</t>
  </si>
  <si>
    <t>Japan Society for the Promotion of Science(Ministry of Education, Culture, Sports, Science and Technology, Japan (MEXT)Japan Society for the Promotion of Science); Grants-in-Aid for Scientific Research(Ministry of Education, Culture, Sports, Science and Technology, Japan (MEXT)Japan Society for the Promotion of ScienceGrants-in-Aid for Scientific Research (KAKENHI))</t>
  </si>
  <si>
    <t>TY was supported by Research Fellowships of the Japan Society for the Promotion of Science for Young Scientists (http://www.jsps.go.jp/english), Grant Number 2610007. The funders had no role in study design, data collection and analysis, decision to publish, or preparation of the manuscript.</t>
  </si>
  <si>
    <t>FEB 27</t>
  </si>
  <si>
    <t>e0119324</t>
  </si>
  <si>
    <t>10.1371/journal.pone.0119324</t>
  </si>
  <si>
    <t>CC3LS</t>
  </si>
  <si>
    <t>WOS:000350251200070</t>
  </si>
  <si>
    <t>Pons, W; Elmieh, N; Sarkar, A; Armijos-Carrion, A; Chapman, T; Hans, A; Haworth-Brockman, M; Iwasawa, S; Ng, V; Santos, J; Savage, J; Zalawadia, D</t>
  </si>
  <si>
    <t>Pons, Wendy; Elmieh, Negar; Sarkar, Atanu; Armijos-Carrion, Angelo; Chapman, Tom; Hans, Amandeep; Haworth-Brockman, Margaret; Iwasawa, Stefan; Ng, Victoria; Santos, Jullia; Savage, Jade; Zalawadia, Divya</t>
  </si>
  <si>
    <t>Community science for mosquito surveillance in Canada: a toolkit for program design and implementation</t>
  </si>
  <si>
    <t>CANADIAN JOURNAL OF PUBLIC HEALTH-REVUE CANADIENNE DE SANTE PUBLIQUE</t>
  </si>
  <si>
    <t>Community; Mosquito control; Surveillance program; Citizen science; Communaut &amp; eacute;; Lutte contre les moustiques; Programme de surveillance; Science citoyenne</t>
  </si>
  <si>
    <t>SettingClimate change in Canada has expanded suitable habitats for both native and invasive mosquitoes, heightening the need for more robust and adaptable surveillance systems. Traditional surveillance methods face significant logistical and geographical challenges, particularly in remote or underserved areas, emphasizing the importance of innovative strategies that complement existing approaches.InterventionWe developed a community-based mosquito surveillance toolkit, informed by a systematic review and validated by a multidisciplinary expert group. The toolkit includes a structured guide for developing a community science project, including how to design an effective mosquito surveillance program through data collection, volunteer engagement, and evaluation. It also features a quick reference guide and a 90-s animated video to facilitate understanding and engagement.OutcomeThe toolkit was introduced at a national community meeting, with 69 participants bringing together public health professionals, educators, scientists, and community leaders from across Canada in February 2025. Participants expressed enthusiasm for using the toolkit to enhance local monitoring efforts, and discussions at the meeting helped identify key opportunities and challenges for adoption.ImplicationsOrganizations and public health authorities now have a clear, evidence-based guide to designing, implementing, and evaluating community-driven initiatives. This toolkit not only helps ensure that volunteer participation is meaningful and effective, but it also enhances the capacity to respond to emerging challenges in vector control, laying the groundwork for sustainable, community-driven surveillance efforts. ContexteLe changement climatique au Canada a &amp; eacute;largi les habitats adapt &amp; eacute;s &amp; agrave; la fois pour les moustiques indig &amp; egrave;nes et envahissants, renfor &amp; ccedil;ant la n &amp; eacute;cessit &amp; eacute; de disposer de syst &amp; egrave;mes de surveillance plus robustes et plus adaptables. Les m &amp; eacute;thodes de surveillance traditionnelles font face &amp; agrave; d'importants d &amp; eacute;fis logistiques et g &amp; eacute;ographiques, en particulier dans les zones &amp; eacute;loign &amp; eacute;es ou mal desservies, soulignant l'importance de strat &amp; eacute;gies innovantes qui compl &amp; egrave;tent les approches existantes.InterventionNous avons d &amp; eacute;velopp &amp; eacute; une bo &amp; icirc;te &amp; agrave; outils de surveillance des moustiques bas &amp; eacute;e sur la communaut &amp; eacute;, &amp; eacute;labor &amp; eacute;e &amp; agrave; partir d'une revue syst &amp; eacute;matique et valid &amp; eacute;e par un groupe d'experts multidisciplinaires. La bo &amp; icirc;te &amp; agrave; outils comprend un guide structur &amp; eacute; pour d &amp; eacute;velopper un projet de science communautaire, incluant comment concevoir un programme efficace de surveillance des moustiques &amp; agrave; travers la collecte de donn &amp; eacute;es, l'engagement des b &amp; eacute;n &amp; eacute;voles et l'&amp; eacute;valuation. Elle comprend &amp; eacute;galement un guide de r &amp; eacute;f &amp; eacute;rence rapide et un vid &amp; eacute;o anim &amp; eacute;e de 90 secondes pour faciliter la compr &amp; eacute;hension et l'engagement.R &amp; eacute;sultatLa bo &amp; icirc;te &amp; agrave; outils de surveillance a &amp; eacute;t &amp; eacute; pr &amp; eacute;sent &amp; eacute;e lors d'une r &amp; eacute;union communautaire nationale, r &amp; eacute;unissant 69 participants, dont des professionnels de la sant &amp; eacute; publique, des &amp; eacute;ducateurs, des scientifiques et des dirigeants communautaires de tout le Canada en f &amp; eacute;vrier 2025. Les participants ont exprim &amp; eacute; leur enthousiasme &amp; agrave; utiliser la bo &amp; icirc;te &amp; agrave; outils pour am &amp; eacute;liorer les efforts de suivi locaux, et les discussions lors de la r &amp; eacute;union ont permis d'identifier les principales opportunit &amp; eacute;s et les d &amp; eacute;fis li &amp; eacute;s &amp; agrave; son adoption.ImplicationsLes organisations et les autorit &amp; eacute;s de sant &amp; eacute; publique disposent d &amp; eacute;sormais d'un guide clair et fond &amp; eacute; sur des preuves pour concevoir, mettre en oe uvre et &amp; eacute;valuer des initiatives communautaires. Cette bo &amp; icirc;te &amp; agrave; outils permet non seulement de garantir que la participation des b &amp; eacute;n &amp; eacute;voles est significative et efficace, mais elle renforce &amp; eacute;galement la capacit &amp; eacute; &amp; agrave; r &amp; eacute;pondre aux d &amp; eacute;fis &amp; eacute;mergents dans le contr &amp; ocirc;le des vecteurs, jetant ainsi les bases d'efforts de surveillance communautaire durables.</t>
  </si>
  <si>
    <t>[Pons, Wendy; Santos, Jullia; Zalawadia, Divya] Conestoga Coll, Kitchener, ON, Canada; [Elmieh, Negar] Natl Collaborating Ctr Environm Hlth, Vancouver, BC, Canada; [Sarkar, Atanu; Armijos-Carrion, Angelo; Chapman, Tom] Mem Univ Newfoundland, St John, NB, Canada; [Hans, Amandeep] Windsor Essex Cty Hlth Unit, Windsor, ON, Canada; [Haworth-Brockman, Margaret] Natl Collaborating Ctr Infect Dis, Winnipeg, MB, Canada; [Iwasawa, Stefan] British Columbia Ctr Dis Control, Vancouver, BC, Canada; [Ng, Victoria] Publ Hlth Agcy Canada, Toronto, ON, Canada; [Savage, Jade] Bishops Univ, Sherbrooke, PQ, Canada</t>
  </si>
  <si>
    <t>Memorial University Newfoundland; BC Centre for Disease Control; Public Health Agency of Canada; Bishops University</t>
  </si>
  <si>
    <t>Pons, W (corresponding author), Conestoga Coll, Kitchener, ON, Canada.</t>
  </si>
  <si>
    <t>wpons@conestogac.on.ca</t>
  </si>
  <si>
    <t>; Armijos, Angelo/KSM-0666-2024</t>
  </si>
  <si>
    <t>Pons, Wendy/0009-0009-2775-6311;</t>
  </si>
  <si>
    <t>CIHR [202303]</t>
  </si>
  <si>
    <t>CIHR(Canadian Institutes of Health Research (CIHR))</t>
  </si>
  <si>
    <t>This work was supported by a CIHR Catalyst Grant - Chief Public Health Officer (CPHO) Report (Competition No. 202303), in collaboration with the National Collaborating Centre for Environmental Health (NCCEH).</t>
  </si>
  <si>
    <t>0008-4263</t>
  </si>
  <si>
    <t>1920-7476</t>
  </si>
  <si>
    <t>CAN J PUBLIC HEALTH</t>
  </si>
  <si>
    <t>Can. J. Public Health-Rev. Can. Sante Publ.</t>
  </si>
  <si>
    <t>2025 NOV 23</t>
  </si>
  <si>
    <t>10.17269/s41997-025-01134-1</t>
  </si>
  <si>
    <t>C2486</t>
  </si>
  <si>
    <t>WOS:001620334200001</t>
  </si>
  <si>
    <t>Larson, LR; Cooper, CB; Hauber, ME</t>
  </si>
  <si>
    <t>Larson, Lincoln R.; Cooper, Caren B.; Hauber, Mark E.</t>
  </si>
  <si>
    <t>Emotions as Drivers of Wildlife Stewardship Behavior: Examining Citizen Science Nest Monitors' Responses to Invasive House Sparrows</t>
  </si>
  <si>
    <t>HUMAN DIMENSIONS OF WILDLIFE</t>
  </si>
  <si>
    <t>Citizen science; core affect; emotional dispositions; human-wildlife conflict; invasive species</t>
  </si>
  <si>
    <t>DECISION-MAKING; COGNITION; ACCEPTABILITY; PREFERENCE; JUDGMENT; FEAR</t>
  </si>
  <si>
    <t>Growing evidence suggests wildlife stewardship behaviors might be affected by emotional dispositions toward particular species. To test this hypothesis, we studied wildlife management choices made by backyard citizen scientists (N = 448) involved in two North American bird nest monitoring projects. Our exploratory study characterized nest monitors' efforts to manage invasive house sparrows, which compete with native songbirds for nesting sites, and examined the relative influence of cognitive and affective factors on management orientations. Results revealed that nearly all respondents engaged in some form of house sparrow management, and most respondents favored a combination of lethal and non-lethal management approaches. Core affect, emotional dispositions, and experiential variables were the primary drivers of citizen scientists' management decisions, with anger toward house sparrows and firsthand contact with house sparrow damage as the strongest positive correlates of lethal management orientations. Findings highlight the potentially powerful influence of affect and emotions on wildlife stewardship actions.</t>
  </si>
  <si>
    <t>[Larson, Lincoln R.] Clemson Univ, Dept Pk Recreat &amp; Tourism Management, 298 Lehotsky Hall, Clemson, SC 29634 USA; [Cooper, Caren B.] North Carolina Museum Nat Sci Raleigh, Biodivers Res Lab, Raleigh, NC USA; [Hauber, Mark E.] CUNY Hunter Coll, Dept Psychol, 695 Pk Ave, New York, NY 10021 USA; [Hauber, Mark E.] CUNY, Grad Ctr, New York, NY USA</t>
  </si>
  <si>
    <t>Clemson University; City University of New York (CUNY) System; Hunter College (CUNY); City University of New York (CUNY) System</t>
  </si>
  <si>
    <t>Larson, LR (corresponding author), Clemson Univ, Dept Pk Recreat &amp; Tourism Management, 298 Lehotsky Hall, Clemson, SC 29634 USA.</t>
  </si>
  <si>
    <t>LRL@clemson.edu</t>
  </si>
  <si>
    <t>; Larson, Lincoln/AEM-4354-2022</t>
  </si>
  <si>
    <t>Cooper, Caren/0000-0001-6263-8892; Larson, Lincoln/0000-0001-9591-1269</t>
  </si>
  <si>
    <t>Human Frontiers Science Program; NSF [IOS-145624]</t>
  </si>
  <si>
    <t>Human Frontiers Science Program(Human Frontier Science Program); NSF(National Science Foundation (NSF))</t>
  </si>
  <si>
    <t>Funding was in part provided by the Human Frontiers Science Program and NSF IOS-145624 (to MEH).</t>
  </si>
  <si>
    <t>1087-1209</t>
  </si>
  <si>
    <t>1533-158X</t>
  </si>
  <si>
    <t>HUM DIMENS WILDL</t>
  </si>
  <si>
    <t>Hum. Dimens. Wildl.</t>
  </si>
  <si>
    <t>10.1080/10871209.2015.1086933</t>
  </si>
  <si>
    <t>VB8WM</t>
  </si>
  <si>
    <t>WOS:000422687800002</t>
  </si>
  <si>
    <t>Praptiwi, RA; Maharja, C; Cholifatullah, F; Subroto, DCJ; Sainal, S; Miller, PI; Cheung, VV; Setia, TM; Nasruddin; Datu; Sugardjito, J; Austen, MC</t>
  </si>
  <si>
    <t>Praptiwi, Radisti A.; Maharja, Carya; Cholifatullah, Fauzan; Subroto, Dwi C. J.; Sainal, Sainal; Miller, Peter I.; Cheung, Victoria V.; Setia, Tatang Mitra; Nasruddin, Jito; Datu, Melanie C.; Sugardjito, Jito; Austen, Melanie C.</t>
  </si>
  <si>
    <t>Developing a Citizen Science Approach to Monitor Stranded Marine Plastics on a Remote Small Island in Indonesia</t>
  </si>
  <si>
    <t>CLEAN-SOIL AIR WATER</t>
  </si>
  <si>
    <t>Global South; marine debris; marine litter; marine pollution; transdisciplinary</t>
  </si>
  <si>
    <t>INDIAN-OCEAN; DEBRIS; LITTER; ABUNDANCE; BEACHES; INGESTION; POLLUTION; IMPACTS</t>
  </si>
  <si>
    <t>Marine plastics stranded on the coastlines of remote small islands threaten both the ecological integrity of local ecosystems and communities' well-being. However, despite the growing quantities of stranded plastics in these locations, the remote nature of these sites renders monitoring and intervention efforts difficult to undertake. Within this context, we developed a citizen science approach to monitor stranded marine plastics in collaboration with villagers living on a remote small island in Indonesia. This study reports the co-development and application of an approach that can be used and maintained independently by remote coastal communities. In the monitoring stage, the participants quantified both the weight and composition of stranded marine debris on a beach located in their village for a 4-week period from late May to mid-June 2021. The results revealed that the weekly accumulation of stranded marine debris on the beach was 3.97 kg/m2, with 58% categorized as plastics. The stranded plastics sampled in this study were sorted and collected for recycling, estimated to provide a total economic value of 91,700 Indonesian Rupiahs (USD 5.84), or equivalent to 12.77% of the average monthly household income in the area. The citizen science activities indicated that the local villagers were capable of operating the designed monitoring system effectively, with the added benefits of supplementary earnings from recycling. An independently operated monitoring approach combined with collection efforts for recyclable items is important as remote islands have to manage increasing quantities of stranded marine debris despite the lack of an adequate local waste management system.</t>
  </si>
  <si>
    <t>[Praptiwi, Radisti A.] Natl Res &amp; Innovat Agcy BRIN, Res Ctr Ecol &amp; Ethnobiol, Bogor, Indonesia; [Praptiwi, Radisti A.] Univ Esa Unggul, Sustainabil Res Cluster, Jakarta, Indonesia; [Praptiwi, Radisti A.] Univ Esa Unggul, Dept Biotechnol, Jakarta, Indonesia; [Maharja, Carya] Yayasan Puspa Hanuman Indonesia, Bogor, Indonesia; [Maharja, Carya] Univ Plymouth, Sch Psychol, Plymouth, England; [Cholifatullah, Fauzan; Subroto, Dwi C. J.; Sainal, Sainal; Sugardjito, Jito] Univ Nas, Ctr Sustainable Energy &amp; Resources Management, Jakarta, Indonesia; [Miller, Peter I.] Plymouth Marine Lab, Remote Sensing Grp, Plymouth, England; [Cheung, Victoria V.; Austen, Melanie C.] Univ Plymouth, Sch Biol &amp; Marine Sci, Plymouth, England; [Setia, Tatang Mitra] Univ Nas, Dept Biol, Jakarta, Indonesia; Bappelitbangda Kabupaten Kepulauan Selayar, Benteng, Indonesia; Lembaga Kampung Penyu, Kabupaten Kepulauan Selay, Indonesia</t>
  </si>
  <si>
    <t>National Research &amp; Innovation Agency of Indonesia (BRIN); University of Plymouth; Universitas Nasional Pionir Perubahan; Plymouth Marine Laboratory; University of Plymouth; Universitas Nasional Pionir Perubahan</t>
  </si>
  <si>
    <t>Maharja, C (corresponding author), Yayasan Puspa Hanuman Indonesia, Bogor, Indonesia.;Maharja, C (corresponding author), Univ Plymouth, Sch Psychol, Plymouth, England.</t>
  </si>
  <si>
    <t>carya.maharja@plymouth.ac.uk</t>
  </si>
  <si>
    <t>Miller, Peter/E-4525-2013; Austen, Melanie/GLU-1418-2022; Maharja, Carya/KXQ-9876-2024; Praptiwi, Radisti Ayu/GPG-3503-2022</t>
  </si>
  <si>
    <t>Miller, Peter/0000-0002-5292-8789; Austen, Melanie/0000-0001-8133-0498; Maharja, Carya/0000-0001-9581-8283; Praptiwi, Radisti Ayu/0000-0002-1657-6982; sainal, sainal/0009-0008-0420-9238</t>
  </si>
  <si>
    <t>Global Challenges Research Fund (GCRF) United Kingdom Research and Innovation (UKRI); Natural Environment Research Council (NERC) [NE/V006428/1]; [NE/P021107/1]; [NE/P021107/2]</t>
  </si>
  <si>
    <t>Global Challenges Research Fund (GCRF) United Kingdom Research and Innovation (UKRI)(UK Research &amp; Innovation (UKRI)); Natural Environment Research Council (NERC)(UK Research &amp; Innovation (UKRI)Natural Environment Research Council (NERC)Instituto Politecnico Nacional - Mexico); ;</t>
  </si>
  <si>
    <t>This work has received funding in part from the Global Challenges Research Fund (GCRF) United Kingdom Research and Innovation (UKRI) under grant agreement reference NE/P021107/1 and NE/P021107/2 to the Blue Communities Project. This work was also supported by the Natural Environment Research Council (NERC) grant number NE/V006428/1: A Systems Analysis Approach to Reduce Plastic Waste in Indonesian Societies: PISCES. The authors would also like to thank the Government of Kabupaten Kepulauan Selayar, the Head of Barugaiya village, and all study participants for their support in this study. Finally, we would like to thank the editor and anonymous reviewers for constructive comments that improved the manuscript.</t>
  </si>
  <si>
    <t>1863-0650</t>
  </si>
  <si>
    <t>1863-0669</t>
  </si>
  <si>
    <t>Clean-Soil Air Water</t>
  </si>
  <si>
    <t>JAN 24</t>
  </si>
  <si>
    <t>e70001</t>
  </si>
  <si>
    <t>10.1002/clen.70001</t>
  </si>
  <si>
    <t>Green &amp; Sustainable Science &amp; Technology; Environmental Sciences; Marine &amp; Freshwater Biology; Water Resources</t>
  </si>
  <si>
    <t>Science &amp; Technology - Other Topics; Environmental Sciences &amp; Ecology; Marine &amp; Freshwater Biology; Water Resources</t>
  </si>
  <si>
    <t>T2K6N</t>
  </si>
  <si>
    <t>WOS:001403365600001</t>
  </si>
  <si>
    <t>Counoy, H; Turcati, L; Lorrillière, R; Bénateau, S; Maalouf, JP; Agnello, G; Turpin, S; Agnan, Y</t>
  </si>
  <si>
    <t>Counoy, Hugo; Turcati, Laure; Lorrilliere, Romain; Benateau, Simon; Maalouf, Jean -Paul; Agnello, Gregory; Turpin, Sebastien; Agnan, Yannick</t>
  </si>
  <si>
    <t>Performance evaluation and applicability of Lichens GO, a citizen science-based protocol for urban air quality monitoring</t>
  </si>
  <si>
    <t>Lichen; Biomonitoring; Citizen science; Urban; Air quality; Protocol</t>
  </si>
  <si>
    <t>ECOLOGICAL RESEARCH; DIVERSITY; POLLUTION; BIOINDICATORS; NITROGEN; CLIMATE; SCALE; TOOL</t>
  </si>
  <si>
    <t>The Lichens GO program is a French citizen science initiative based on the European guidelines that aims to evaluate the lichen diversity for urban air quality monitoring. In this study, we assessed the performance and applicability of the current Lichens GO protocol to then propose adaptations to make it more reliable and feasible for citizen science. To achieve this goal, we considered four aspects of the citizen science program: potential protocol simplifications, sampling site availability, observer bias, and volunteer feedbacks. Simulated simplifi-cation scenarios from a reference data set highlighted the large influence of reducing the number of sampled trees on taxonomic and functional structure metrics compared to reducing the number of sampled tree exposure sides and considered lichen species list. When considering the Lichens GO protocol (i.e., three trees, four exposure sides, Lichens GO species list) compared to the reference data set (i.e., five trees, four exposure sides, exhaustive species list), we evaluated an underestimation of lichen species richness (-25%), acidophilous species proportion (-94%), and functional diversity (-21%). In parallel, the maximum distance between sampled trees did not influence the taxonomic and functional structure metrics when considering a homogeneous sampling area (i.e., similar light or shade conditions). Finally, we compared Lichens GO releve ' s from 25 volunteers in the same site to highlight the major identification difficulties that could compromise the ecological interpretation. To improve the quality of data collected by citizens without increasing the sampling effort, we suggest to: (1) increase the maximum distance between trees from 10 to 50 m to extend the sampling site availability; (2) adapt the Lichens GO identification key to limit species confusion; and (3) assign an ecological trait to some lichen species groupings to improve the ecological interpretation. The proposed adaptations were tested and showed an improvement in the acidophilous species proportion (from-94 to-13%) and functional diversity (from-21 to-4%).</t>
  </si>
  <si>
    <t>[Counoy, Hugo; Agnan, Yannick] Catholic Univ Louvain, Earth &amp; Life Inst, B-1348 Louvain La Neuve, Belgium; [Turcati, Laure] Sorbonne Univ, OSU Ecce Terra, 4 Pl Jussieu, F-75252 Paris, France; [Lorrilliere, Romain; Benateau, Simon] MNHN CNRS Sorbonne Univ, UMR7204 Ctr Ecol &amp; Sci Conservat CESCO UMR 7204, 43 Rue Buffon,CP 135, F-75005 Paris, France; [Agnello, Gregory] Evinerude, 80 Rue Rene Descartes, F-38090 Vaulx Milieu, France; [Turpin, Sebastien] Univ Paris, Univ Paris Est Creteil, Univ Lille, CY Cergy Paris Univ,UNIROUEN,LDAR, F-75013 Paris, France</t>
  </si>
  <si>
    <t>Universite Catholique Louvain; Sorbonne Universite; Centre National de la Recherche Scientifique (CNRS); Universite Paris-Est-Creteil-Val-de-Marne (UPEC); Universite Paris Cite; CY Cergy Paris Universite; Universite de Rouen Normandie; Universite de Lille</t>
  </si>
  <si>
    <t>Agnan, Y (corresponding author), Catholic Univ Louvain, Earth &amp; Life Inst, B-1348 Louvain La Neuve, Belgium.</t>
  </si>
  <si>
    <t>yannick.agnan@biogeoscience.eu</t>
  </si>
  <si>
    <t>Lorrilliere, Romain/F-4888-2013; Counoy, Hugo/MTA-3782-2025; Agnan, Yannick/E-9438-2012</t>
  </si>
  <si>
    <t>Agnan, Yannick/0000-0002-9349-6310</t>
  </si>
  <si>
    <t>10.1016/j.ecolind.2023.110269</t>
  </si>
  <si>
    <t>APR 2023</t>
  </si>
  <si>
    <t>F7KG9</t>
  </si>
  <si>
    <t>WOS:000984089200001</t>
  </si>
  <si>
    <t>Mudede, MF; Abutaleb, K; Newete, SW; Byrne, MJ</t>
  </si>
  <si>
    <t>Mudede, Marko F.; Abutaleb, Khaled; Newete, Solomon W.; Byrne, Marcus J.</t>
  </si>
  <si>
    <t>A citizen science method to monitor a polyphagous shot hole borer infestation in Johannesburg's urban forest</t>
  </si>
  <si>
    <t>URBAN FORESTRY &amp; URBAN GREENING</t>
  </si>
  <si>
    <t>Tree health; Invasive beetle; Platanus x acerifolia; Validation</t>
  </si>
  <si>
    <t>DATA QUALITY; VOLUNTEERS; FACILITATE; AGREEMENT; ACCURACY; TREES</t>
  </si>
  <si>
    <t>Citizen science has become a powerful tool for gathering data, and the validity of these data should be tested. The accuracy of a citizen science database used to monitor the polyphagous shothole borer (PSHB) ( Euwallacea fornicatus ) (Coleoptera: Curculionidae: Scolytinae) infestation in a suburb of the city of Johannesburg was assessed. Out of 785 trees surveyed by the citizen scientists, 157 trees (20%) were selected as a validation data set to confirm the tree identity, tree health status and level of PSHB infestation. A chi-square ( chi 2 ) test was performed to examine whether there was a significant agreement between the citizen scientists' and researcher's data used for the classification of the tree infestation, tree health status and PSHB infestation holes. A Cohen's kappa coefficient was calculated to determine the level of agreement between the two different sources of data, for the infested parts (trunk, main branches, and canopy branches) of the trees surveyed and PSHB infestation signs. The two surveys showed no significance difference for classifying tree health status and PSHB infestation holes. There was a high level of agreement between citizen scientists and the researcher ratings for measures of PSHB infestation (kappa values ranging between 0.71 and 0.89) and the level of agreement was significant. In conclusion, citizen science allowed us to obtain a large quantity of data at a low cost that correlated with the researchers' validation dataset. Citizen science is a useful method for monitoring PSHB in a diverse urban forest in trees that show obvious signs of infestation.</t>
  </si>
  <si>
    <t>[Mudede, Marko F.; Abutaleb, Khaled; Newete, Solomon W.; Byrne, Marcus J.] Univ Witwatersrand, Sch Anim Plant &amp; Environm Sci, Private Bag X3, ZA-2050 Johannesburg, South Africa; [Abutaleb, Khaled; Newete, Solomon W.] Agr Res Council Nat Resource &amp; Engn ARC NRE, Geoinformat Div, Private Bag X79, ZA-0001 Pretoria, South Africa; [Abutaleb, Khaled] Natl Author Remote Sensing &amp; Space Sci NARSS, Cairo, Egypt</t>
  </si>
  <si>
    <t>University of Witwatersrand; Egyptian Knowledge Bank (EKB); National Authority for Remote Sensing &amp; Space Sciences (NARSS)</t>
  </si>
  <si>
    <t>Mudede, MF (corresponding author), Univ Witwatersrand, Sch Anim Plant &amp; Environm Sci, Private Bag X3, ZA-2050 Johannesburg, South Africa.</t>
  </si>
  <si>
    <t>mfmudede@gmail.com</t>
  </si>
  <si>
    <t>Abutaleb, Khaled/AAD-7215-2022; Byrne, Marcus/AAF-9789-2021</t>
  </si>
  <si>
    <t>Abutaleb, Khaled/0000-0001-6623-9354;</t>
  </si>
  <si>
    <t>Johannesburg City Parks and Zoo (JCPZ)</t>
  </si>
  <si>
    <t>We would like to thank the Lower Houghton Residents Association (LHRA) people for participation in data collection and the Johannesburg City Parks and Zoo (JCPZ) for funding this research.</t>
  </si>
  <si>
    <t>1618-8667</t>
  </si>
  <si>
    <t>1610-8167</t>
  </si>
  <si>
    <t>URBAN FOR URBAN GREE</t>
  </si>
  <si>
    <t>Urban For. Urban Green.</t>
  </si>
  <si>
    <t>10.1016/j.ufug.2024.128368</t>
  </si>
  <si>
    <t>Plant Sciences; Environmental Studies; Forestry; Urban Studies</t>
  </si>
  <si>
    <t>Plant Sciences; Environmental Sciences &amp; Ecology; Forestry; Urban Studies</t>
  </si>
  <si>
    <t>UK1L7</t>
  </si>
  <si>
    <t>WOS:001247860400001</t>
  </si>
  <si>
    <t>Philippoff, J; Baumgartner, E</t>
  </si>
  <si>
    <t>Philippoff, Joanna; Baumgartner, Erin</t>
  </si>
  <si>
    <t>Addressing Common Student Technical Errors in Field Data Collection: An Analysis of a Citizen-Science Monitoring Project</t>
  </si>
  <si>
    <t>JOURNAL OF MICROBIOLOGY &amp; BIOLOGY EDUCATION</t>
  </si>
  <si>
    <t>The scientific value of citizen-science programs is limited when the data gathered are inconsistent, erroneous, or otherwise unusable. Long-term monitoring studies, such as Our Project In Hawai'i's Intertidal (OPIHI), have clear and consistent procedures and are thus a good model for evaluating the quality of participant data. The purpose of this study was to examine the kinds of errors made by student researchers during OPIHI data collection and factors that increase or decrease the likelihood of these errors. Twenty-four different types of errors were grouped into four broad error categories: missing data, sloppiness, methodological errors, and misidentification errors. Sloppiness was the most prevalent error type. Error rates decreased with field trip experience and student age. We suggest strategies to reduce data collection errors applicable to many types of citizen-science projects including emphasizing neat data collection, explicitly addressing and discussing the problems of falsifying data, emphasizing the importance of using standard scientific vocabulary, and giving participants multiple opportunities to practice to build their data collection techniques and skills.</t>
  </si>
  <si>
    <t>[Philippoff, Joanna] Univ Hawaii Manoa, Coll Educ, Curriculum Res &amp; Dev Grp, 1776 Univ Ave, Honolulu, HI 96822 USA; [Baumgartner, Erin] Western Oregon Univ, Dept Biol, Monmouth, OR 97361 USA</t>
  </si>
  <si>
    <t>University of Hawaii System; University of Hawaii Manoa; Western Oregon University</t>
  </si>
  <si>
    <t>Philippoff, J (corresponding author), Univ Hawaii Manoa, Coll Educ, Curriculum Res &amp; Dev Grp, 1776 Univ Ave, Honolulu, HI 96822 USA.</t>
  </si>
  <si>
    <t>philippo@hawaii.edu</t>
  </si>
  <si>
    <t>National Science Foundation Graduate Fellowships in K-12 Education grant [DGE02-32016]</t>
  </si>
  <si>
    <t>National Science Foundation Graduate Fellowships in K-12 Education grant</t>
  </si>
  <si>
    <t>This research was supported in part by a National Science Foundation Graduate Fellowships in K-12 Education grant (DGE02-32016) and was approved by the University of Hawai'i Committee on Human Subjects (CHS #15657). We would like to thank T. Erin Cox, Chela Zabin, and Kanesa Duncan Seraphin for intellectual and programmatic contributions, the teachers and students who collected data, and the graduate students who volunteered as research assistants on field trips. The authors declare that there are no conflicts of interest.</t>
  </si>
  <si>
    <t>1935-7877</t>
  </si>
  <si>
    <t>1935-7885</t>
  </si>
  <si>
    <t>J MICROBIOL BIOL EDU</t>
  </si>
  <si>
    <t>J. Microbiol. Biol. Educ.</t>
  </si>
  <si>
    <t>10.1128/jmbe.v17i1.999</t>
  </si>
  <si>
    <t>Education, Scientific Disciplines</t>
  </si>
  <si>
    <t>VH0KA</t>
  </si>
  <si>
    <t>WOS:000449712200013</t>
  </si>
  <si>
    <t>Hisano, M</t>
  </si>
  <si>
    <t>Hisano, Masumi</t>
  </si>
  <si>
    <t>Facilitating Large-Scale Bird Biodiversity Data Collection in Citizen Science: 'Relaxed' Point Counts for Anytime, Anywhere Monitoring</t>
  </si>
  <si>
    <t>avian species assemblage; big data collection; biodiversity monitoring; field bird survey; public participation in science; spatial autocorrelation; species distribution</t>
  </si>
  <si>
    <t>ECOLOGICAL RESEARCH; TIME; TOOL; DURATION; WEATHER; FORESTS; MODELS; EBIRD</t>
  </si>
  <si>
    <t>Citizen science has expanded biodiversity monitoring, yet many datasets lack standardisation in spatial and temporal coverage and survey protocols. In birds, for example, traditional point count surveys often impose strict requirements on location, timing and spacing between survey points, limiting opportunities for casual, at-ease participation in data collection. To address these constraints, this paper proposes a 'relaxed' point-count survey method to enhance accessibility and expand geographic coverage by easing these constraints. Surveys can be conducted in diverse locations, including urban areas and travel or daily-routine routes, within flexible timeframes (e.g., not only within 6 h after sunrise but also afternoon/evening) and seasons (e.g., including non-breeding periods), with adaptable spacing between points and the option for repeated counts at the same location on different days. The framework addresses spatial and temporal autocorrelation, as well as variability in observer skill and environmental conditions through statistical adjustments using random effects and covariates. Preliminary data collected opportunistically across a large area of western Canada demonstrate the feasibility of this approach, yielding cross-biome community data within a short timeframe. By engaging birdwatchers and citizens, this approach facilitates the collection of large-scale, standardised species assemblage data beyond single-species observations. This inclusive and scalable strategy offers new opportunities for biodiversity monitoring, particularly in human-modified landscapes. This inclusive and scalable framework offers new opportunities for biodiversity monitoring, particularly in urban and human-modified landscapes.</t>
  </si>
  <si>
    <t>[Hisano, Masumi] Kyoto Univ, Grad Sch Informat, Kyoto, Japan; [Hisano, Masumi] Hiroshima Univ, Grad Sch Adv Sci &amp; Engn, Global Change &amp; Biodivers Lab, Higashihiroshima, Japan</t>
  </si>
  <si>
    <t>Kyoto University; Hiroshima University</t>
  </si>
  <si>
    <t>Hisano, M (corresponding author), Kyoto Univ, Grad Sch Informat, Kyoto, Japan.;Hisano, M (corresponding author), Hiroshima Univ, Grad Sch Adv Sci &amp; Engn, Global Change &amp; Biodivers Lab, Higashihiroshima, Japan.</t>
  </si>
  <si>
    <t>hisano@hiroshima-u.ac.jp</t>
  </si>
  <si>
    <t>Hisano, Masumi/GSD-3694-2022</t>
  </si>
  <si>
    <t>Japan Society for the Promotion of Science</t>
  </si>
  <si>
    <t>Japan Society for the Promotion of Science(Ministry of Education, Culture, Sports, Science and Technology, Japan (MEXT)Japan Society for the Promotion of Science)</t>
  </si>
  <si>
    <t>The study was supported by the Japan Society for the Promotion of Science KAKENHI (the Grant-in-Aid for Early-Career Scientists: Grant 21K17912) and the Start-up Funding for Young Researchers from Hiroshima University.</t>
  </si>
  <si>
    <t>e72176</t>
  </si>
  <si>
    <t>10.1002/ece3.72176</t>
  </si>
  <si>
    <t>7XT4J</t>
  </si>
  <si>
    <t>WOS:001582169100001</t>
  </si>
  <si>
    <t>Lee, C; Caroselli, E; Toffolo, MM; Mancuso, A; Marchini, C; Meschini, M; Goffredo, S</t>
  </si>
  <si>
    <t>Lee, Chloe; Caroselli, Erik; Toffolo, Mariana Machado; Mancuso, Arianna; Marchini, Chiara; Meschini, Marta; Goffredo, Stefano</t>
  </si>
  <si>
    <t>Eight years of community structure monitoring through recreational citizen science at the SS Thistlegorm wreck (Red Sea)</t>
  </si>
  <si>
    <t>CORAL-REEF FISHES; ARTIFICIAL REEFS; NATURAL REEF; LONG-TERM; MARINE; EILAT; GULF; BIODIVERSITY; ASSEMBLAGE; ECOSYSTEM</t>
  </si>
  <si>
    <t>Large artificial coral reef communities, such as those thriving on sunken shipwrecks, tend to mirror those of nearby natural coral reefs and their long-term dynamics may help future reef resilience to environmental change. We examined the community structure of the world-renown SS Thistlegorm wreck in the northern Red Sea from 2007 through 2014, analyzing data collected during the recreational citizen science Red Sea monitoring project Scuba Tourism for the Environment. Volunteer divers collected data on 6 different diving parameters which included the date of the dive, maximum depth, average depth, temperature, dive time, hour of dive, and gave an abundance estimation of sighted taxa from a list of 72 target taxa. Although yearly variations in community structure were significant, there was no clear temporal trend, and 71 of all 72 target taxa were sighted throughout the 8 years. The 5 main taxa driving variations among year clusters in taxa presence/absence (Soft Tree Coral-Dendronephthya spp., Giant Moray-Gymnothorax javanicus, Squirrel Fish-Sargocentron spp., Humpback Batfish-Platax spp., and Caranxes-Carangidae) and taxa abundance (Soft Tree Coral, Giant Moray, Red Sea Clownfish-Amphiprion bicinctus, Napoleon Wrasse-Cheilinus undulatus, and Caranxes) data were determined. The SS Thistlegorm provides a compelling example of how artificial coral reefs can sustain a well-established community structure similar to those of their natural counterparts.</t>
  </si>
  <si>
    <t>[Lee, Chloe; Caroselli, Erik; Toffolo, Mariana Machado; Mancuso, Arianna; Marchini, Chiara; Meschini, Marta; Goffredo, Stefano] Univ Bologna, Dept Biol, Marine Sci Grp, Geol &amp; Environm Sci, Bologna, Italy; [Caroselli, Erik; Toffolo, Mariana Machado; Mancuso, Arianna; Marchini, Chiara; Meschini, Marta; Goffredo, Stefano] Interinst Ctr Res Marine Biodivers Resources &amp; Bio, Fano Marine Ctr, Fano, Italy</t>
  </si>
  <si>
    <t>University of Bologna</t>
  </si>
  <si>
    <t>Caroselli, E (corresponding author), Univ Bologna, Dept Biol, Marine Sci Grp, Geol &amp; Environm Sci, Bologna, Italy.;Caroselli, E (corresponding author), Interinst Ctr Res Marine Biodivers Resources &amp; Bio, Fano Marine Ctr, Fano, Italy.</t>
  </si>
  <si>
    <t>erik.caroselli@unibo.it</t>
  </si>
  <si>
    <t>; CAROSELLI, ERIK/GXW-2445-2022; Meschini, Marta/AAM-3264-2020</t>
  </si>
  <si>
    <t>Lee, Chloe/0000-0003-0606-4489; CAROSELLI, ERIK/0000-0001-6434-5663; Meschini, Marta/0000-0001-6575-6384</t>
  </si>
  <si>
    <t>Project AWARE Foundation; ASTOI Association; Ministry of Tourism of the Arab Republic of Egypt; Settemari S.p.A Tour Operator; Scuba Nitrox Safety International; Viaggio nel Blu Diving Center</t>
  </si>
  <si>
    <t>STE project was funded by Project AWARE Foundation, ASTOI Association, Ministry of Tourism of the Arab Republic of Egypt, Settemari S.p.A Tour Operator, Scuba Nitrox Safety International, Viaggio nel Blu Diving Center. The funders had no role in study design, data collection and analysis, decision to publish, or preparation of the manuscript.</t>
  </si>
  <si>
    <t>MAR 15</t>
  </si>
  <si>
    <t>e0282239</t>
  </si>
  <si>
    <t>10.1371/journal.pone.0282239</t>
  </si>
  <si>
    <t>A3VX5</t>
  </si>
  <si>
    <t>WOS:000954452200034</t>
  </si>
  <si>
    <t>Williams, MR; Yates, CJ; Stock, WD; Barrett, GW; Finn, HC</t>
  </si>
  <si>
    <t>Williams, Matthew R.; Yates, Colin J.; Stock, William D.; Barrett, Geoff W.; Finn, Hugh C.</t>
  </si>
  <si>
    <t>Citizen science monitoring reveals a significant, ongoing decline of the Endangered Carnaby's black-cockatoo Calyptorhynchus latirostris</t>
  </si>
  <si>
    <t>ORYX</t>
  </si>
  <si>
    <t>Habitat loss; population decline; population monitoring; roost count; threatened species; zero-inflated</t>
  </si>
  <si>
    <t>SHORT-BILLED FORM; POPULATION TRENDS; FLOCK COMPOSITION; COUNT DATA; CONSERVATION; MOVEMENTS; ABUNDANCE; PROGRAMS; RECORDS; EUROPE</t>
  </si>
  <si>
    <t>Citizen science monitoring programmes are making increasingly important contributions to wildlife conservation, often at spatial and temporal scales unachievable by individual or teams of researchers. They are particularly valuable in estimating population trends and management impacts, and thus informing effective conservation decisions for declining species. The quality and potential biases of citizen science data are of concern, however, and appropriate experimental design and analysis are needed to ensure that the maximum scientific value is extracted. We investigated these issues in a citizen science survey of the Endangered Carnaby's black-cockatoo Calyptorhynchus latirostris. Since 2010, citizen scientists have conducted synchronized annual counts of Carnaby's black-cockatoo at roost sites to estimate the population trend. Survey effort was substantial, with c. 150 sites surveyed by &gt; 260 volunteers each year. Relatively few sites were occupied, however, and only 42 (16%) of the 265 sites surveyed in total accounted for 95% of all observations. Many sites were empty and survey effort was often inconsistent. Taking these issues into account, analysis showed a statistically significant decline in roost occupancy rate and a non-significant decline in the mean size of roosting flocks, with an estimated overall trend of 14% decline per annum in the number of roosting birds. We highlight three important issues for citizen science monitoring programmes: the need to maintain regular surveys of sample sites to avoid patchy data, use an appropriate model that accounts for variable survey effort, high frequency of zero counts, and sampling site turnover, and incorporate information on site characteristics to help explain variation.</t>
  </si>
  <si>
    <t>[Williams, Matthew R.; Yates, Colin J.; Barrett, Geoff W.] Dept Parks &amp; Wildlife, Sci &amp; Conservat Div, Dick Perry Dr, Kensington, NSW 6151, Australia; [Stock, William D.] Edith Cowan Univ, Ctr Ecosyst Management, Joondalup, WA, Australia; [Finn, Hugh C.] BirdLife Australia, Peregrine House, Floreat, WA, Australia</t>
  </si>
  <si>
    <t>Edith Cowan University</t>
  </si>
  <si>
    <t>Williams, MR (corresponding author), Dept Parks &amp; Wildlife, Sci &amp; Conservat Div, Dick Perry Dr, Kensington, NSW 6151, Australia.</t>
  </si>
  <si>
    <t>Matthew.Williams@DPaW.wa.gov.au</t>
  </si>
  <si>
    <t>Yates, Colin/B-5972-2011; Stock, William/B-8858-2008</t>
  </si>
  <si>
    <t>Finn, Hugh/0000-0002-2363-9558</t>
  </si>
  <si>
    <t>32 AVENUE OF THE AMERICAS, NEW YORK, NY 10013-2473 USA</t>
  </si>
  <si>
    <t>0030-6053</t>
  </si>
  <si>
    <t>1365-3008</t>
  </si>
  <si>
    <t>Oryx</t>
  </si>
  <si>
    <t>10.1017/S0030605315000320</t>
  </si>
  <si>
    <t>DW4IU</t>
  </si>
  <si>
    <t>WOS:000383607200013</t>
  </si>
  <si>
    <t>Valois, A; Davies-Colley, R; Storey, R; Wright-Stow, A; Stott, R; Kin, E; van Hunen, S</t>
  </si>
  <si>
    <t>Valois, Amanda; Davies-Colley, Rob; Storey, Richard; Wright-Stow, Aslan; Stott, Rebecca; Kin, Elsemieke; van Hunen, Samira</t>
  </si>
  <si>
    <t>Volunteer monitoring as a focus for community engagement in water management in Aotearoa-New Zealand: review and prospects</t>
  </si>
  <si>
    <t>WATER SUPPLY</t>
  </si>
  <si>
    <t>citizen science; ecological condition; volunteer monitoring; water quality</t>
  </si>
  <si>
    <t>PARTNERSHIPS; ASSESSMENTS; CLARITY; SCIENCE</t>
  </si>
  <si>
    <t>This article overviews community-based water monitoring (CBWM) in Aotearoa-New Zealand (NZ). CBWM was strongly boosted in NZ around 2000 by the development of the Stream Health Monitoring and Assessment Kit (SHMAK) and the Wai Care community initiative. Reform of freshwater management in NZ may be one driver for renewed interest recently in CBWM. Because professionals perceive volunteer-monitoring data as unreliable, they currently give little support to volunteer monitoring. To address their concern, we compared CBWM with measurements by regional authorities (RAs) - the main water management agencies in NZ. Agreement was encouragingly close for a comprehensive range of variables, including the important state-of-environment (SoE) indicators: visual clarity, Escherichia coli and macroinvertebrates. Community volunteers need and want ongoing professional support and encouragement, and, fortunately, there are important benefits for water management agencies, including engagement of citizens in water management and use of volunteer data. Professional support for CBWM in NZ could include: advice and encouragement, training, database development and quality assurance. Current research and development is focused on improving resources and systems for volunteer monitoring, notably with upgrading of the SHMAK. We are enlisting volunteers, equipped with improved tools and support systems, to assess the benefits of riparian rehabilitation and the suitability of water for swimming.</t>
  </si>
  <si>
    <t>[Valois, Amanda; Davies-Colley, Rob; Storey, Richard; Stott, Rebecca] Natl Inst Water &amp; Atmospher Res Ltd NIWA, Hamilton, New Zealand; [Wright-Stow, Aslan] Dairy New Zealand, Hamilton, New Zealand; [Kin, Elsemieke] Wageningen Univ, Wageningen, Netherlands; [van Hunen, Samira] Waikato Reg Council, Hamilton, New Zealand</t>
  </si>
  <si>
    <t>Earth Sciences New Zealand; National Institute of Water &amp; Atmospheric Research (NIWA) - New Zealand; Wageningen University &amp; Research</t>
  </si>
  <si>
    <t>Valois, A (corresponding author), Natl Inst Water &amp; Atmospher Res Ltd NIWA, Hamilton, New Zealand.</t>
  </si>
  <si>
    <t>amanda.valois@niwa.co.nz</t>
  </si>
  <si>
    <t>Valois, Amanda/0000-0002-9868-7300</t>
  </si>
  <si>
    <t>NZ Ministry for Business Innovation and Employment (MBIE) [CO9X1003]; NIWA's Freshwater and Estuaries Centre</t>
  </si>
  <si>
    <t>NZ Ministry for Business Innovation and Employment (MBIE); NIWA's Freshwater and Estuaries Centre</t>
  </si>
  <si>
    <t>We thank the volunteers in nine community monitoring groups for their interest and enthusiasm, and staff from five regional authorities in New Zealand who liaised with community groups (in the Auckland, Waikato, Gisborne District, Wellington, and Nelson City regions of NZ). E. Kin and S van Hunen thank NIWA for hosting graduate internships as part of the requirements for their MSc degrees from the University of Wageningen, The Netherlands. The research summarised here was funded by NZ Ministry for Business Innovation and Employment (MBIE) Contract No. CO9X1003, and this paper was completed with funding from NIWA's Freshwater and Estuaries Centre.</t>
  </si>
  <si>
    <t>IWA PUBLISHING</t>
  </si>
  <si>
    <t>ALLIANCE HOUSE, 12 CAXTON ST, LONDON SW1H0QS, ENGLAND</t>
  </si>
  <si>
    <t>1606-9749</t>
  </si>
  <si>
    <t>1607-0798</t>
  </si>
  <si>
    <t>Water Supply</t>
  </si>
  <si>
    <t>10.2166/ws.2018.116</t>
  </si>
  <si>
    <t>HR1VI</t>
  </si>
  <si>
    <t>WOS:000462923600001</t>
  </si>
  <si>
    <t>Hoeffner, K; Bergerot, B; Butt, KR; Gérard, S; Pelosi, C; Pérès, G; Briones, MJI; Decaëns, T; Delaveau, N; Guillocheau, S; Hedde, M; Hotte, H; Le Bayon, RC; Muys, B; Phillips, HRP; Poupelin, M; Cluzeau, D</t>
  </si>
  <si>
    <t>Hoeffner, Kevin; Bergerot, Benjamin; Butt, Kevin R.; Gerard, Sylvain; Pelosi, Celine; Peres, Guenola; Briones, Maria J. I.; Decaens, Thibaud; Delaveau, Natacha; Guillocheau, Sarah; Hedde, Mickael; Hotte, Hoel; Le Bayon, Renee-Claire; Muys, Bart; Phillips, Helen R. P.; Poupelin, Maxime; Cluzeau, Daniel</t>
  </si>
  <si>
    <t>Reliability of earthworm data from citizen science: Lessons from 7 years of a French national monitoring protocol</t>
  </si>
  <si>
    <t>APPLIED SOIL ECOLOGY</t>
  </si>
  <si>
    <t>Earthworm morphological group; Data quality; Monitoring; Participants' experience; Participatory science; Training</t>
  </si>
  <si>
    <t>DATA QUALITY; ECOLOGICAL RESEARCH; SOIL BIODIVERSITY; TOOL; COMMUNITIES; CHALLENGES; FAUNA</t>
  </si>
  <si>
    <t>Monitoring biodiversity is seldom comprehensive, as the spatio-temporal resolution needed to accurately reflect dynamic changes of these communities in diverse environments is often lacking. Citizen science offers a promising tool to help fill these gaps, engaging a wider audience in monitoring efforts and thus enhancing our understanding of earthworm ecology. However, a significant challenge arises as earthworms are difficult to identify to the species level in the field by non-experts, necessitating the use of morphotypes as taxonomic proxies. This study evaluates the reliability of earthworm classification into four earthworm morphotypes within the '500 ENI' (Non-intended Effects) Monitoring Network in France. The network relies on annual sampling conducted in agricultural lands by non-specialist participants with subsequent identification verification by earthworm taxonomists. Analyzing &gt;48,000 individual earthworms collected over 950 plots, we calculated two indices: the misclassification rate (MR) and the undetected rate (UR) to assess the reliability of classification into earthworm morphotypes. The results indicated an average MR of 28 % and an average UR of 32 %, which both varied according to morphotypes. Endogeics had lower error rates compared to epigeics, anecics with a red anterior, and anecics with a black anterior. Our findings underscored the significant impact of sampler experience and earthworm community composition on the reliability of classification of individuals into morphotypes by citizens. The results highlight the critical need for enhanced support and guidance for participants with limited experience. Furthermore, we recommend providing additional training or resources to aid in morphotype classification, especially for earthworm communities exhibiting low abundance, low adult proportion, or low morphotype diversity. Encouraging participants to sample during periods favorable for detecting reliable total and adult abundances would also help optimize morphotype detection.</t>
  </si>
  <si>
    <t>[Hoeffner, Kevin; Bergerot, Benjamin; Delaveau, Natacha; Guillocheau, Sarah; Hotte, Hoel; Poupelin, Maxime; Cluzeau, Daniel] Univ Rennes, CNRS, ECOBIO Ecosyst Biodivers Evolut, UMR 6553, Rennes, France; [Hoeffner, Kevin] FRB Cesab, 5 Rue Ecole Med, F-34000 Montpellier, France; [Hoeffner, Kevin] Inst Agro Rennes Angers, UMR, INRAe, SAS, 65 Rue St Brieuc, F-35000 Rennes, France; [Butt, Kevin R.] Univ Cent Lancashire, Ecol Engn, Preston PR1 2HE, England; [Gerard, Sylvain; Peres, Guenola; Le Bayon, Renee-Claire] Univ Montpellier, Inst Agro Montpellier, Eco&amp;Sols, INRAE,IRD,CIRAD, Montpellier, France; [Pelosi, Celine; Le Bayon, Renee-Claire] Univ Avignon, INRAE, UMR EMMAH 1114, INRAE, Avignon, France; [Briones, Maria J. I.] Univ Vigo, Dept Ecol &amp; Biol Anim, Vigo 36310, Spain; [Decaens, Thibaud; Le Bayon, Renee-Claire] Univ Paul Valery Montpellier 3, Univ Montpellier, CEFE, EPHE,IRD,CNRS, Montpellier, France; [Le Bayon, Renee-Claire] ANSES, Nematol Unit, Plant Hlth Lab, BP 35327, F-35650 Le Rheu, France; [Le Bayon, Renee-Claire] Univ Neuchatel, Inst Biol, Funct Ecol Lab, Emile Argand 11, CH-2000 Neuchatel, Switzerland; [Muys, Bart; Phillips, Helen R. P.] Katholieke Univ Leuven, Dept Earth &amp; Environm Sci, Div Forest Nat &amp; Landscape, Celestijnenlaan 200E,Box 2411, B-3001 Leuven, Belgium; [Phillips, Helen R. P.] St Marys Univ, Dept Environm Sci, Halifax, NS, Canada; [Phillips, Helen R. P.] Netherlands Inst Ecol NIOO KNAW, Dept Terr Ecol, Wageningen, Netherlands; [Phillips, Helen R. P.] Univ Helsinki, Fac Biol &amp; Environm Sci, Helsinki, Finland</t>
  </si>
  <si>
    <t>Universite de Rennes; Centre National de la Recherche Scientifique (CNRS); CNRS - Institute of Ecology &amp; Environment (INEE); INRAE; Institut Agro; Institut Agro Rennes-Angers; University of Lancashire; Universite de Montpellier; INRAE; Institut Agro; Institut Agro Montpellier; CIRAD; Institut de Recherche pour le Developpement (IRD); INRAE; Avignon Universite; Universidade de Vigo; Universite PSL; Ecole Pratique des Hautes Etudes (EPHE); Institut Agro; Institut Agro Montpellier; CIRAD; Centre National de la Recherche Scientifique (CNRS); Institut de Recherche pour le Developpement (IRD); Universite Paul-Valery; Universite de Montpellier; Agence Nationale de Securite Sanitaire de l'Alimentation, de l'Environnement du Travail (ANSES); Laboratoire de la Sante des Vegetaux; University of Neuchatel; KU Leuven; Saint Marys University - Canada; Royal Netherlands Academy of Arts &amp; Sciences; Netherlands Institute of Ecology (NIOO-KNAW); University of Helsinki</t>
  </si>
  <si>
    <t>Hoeffner, K (corresponding author), Univ Rennes, CNRS, ECOBIO Ecosyst Biodivers Evolut, UMR 6553, Rennes, France.;Hoeffner, K (corresponding author), FRB Cesab, 5 Rue Ecole Med, F-34000 Montpellier, France.;Hoeffner, K (corresponding author), Inst Agro Rennes Angers, UMR, INRAe, SAS, 65 Rue St Brieuc, F-35000 Rennes, France.</t>
  </si>
  <si>
    <t>kevin.hoeffner@inrae.fr</t>
  </si>
  <si>
    <t>; Hedde, Mickael/MFH-0758-2025; Pelosi, Céline/AAB-3280-2019; Briones, Maria/K-7577-2014; Butt, Kevin/J-7226-2012; bergerot, benjamin/AAD-4591-2021; Le Bayon, Renée-Claire/U-2609-2019</t>
  </si>
  <si>
    <t>Phillips, Helen/0000-0002-7435-5934; Le Bayon, Renée-Claire/0000-0002-1237-497X; Gérard, Sylvain/0009-0009-6836-6475</t>
  </si>
  <si>
    <t>French Foundation for Research on Biodiversity (FRB); European Union [101033214]; Marie Curie Actions (MSCA) [101033214] Funding Source: Marie Curie Actions (MSCA)</t>
  </si>
  <si>
    <t>French Foundation for Research on Biodiversity (FRB); European Union(European Union (EU)); Marie Curie Actions (MSCA)</t>
  </si>
  <si>
    <t>The French Ministry of Agriculture developed the 500 ENI network under the Ecophyto framework with funding from the French Office for Biodiversity (Office Francais de la Biodiversite) . We extend our gratitude to all individuals who have contributed to data collection in the field and to those who have played a role in coordinating this extensive data network. Special thanks to Camilla Andrade for her pivotal role incoordinating the 500 ENI network from 2012 to 2018. This research is a product of the LandWorm group funded by the synthesis center CESAB of the French Foundation for Research on Biodiversity (FRB; www.fonda tionbiodiversite.fr) . Helen R. P. Phillips was supported by the European Union's Horizon 2020 research and innovation program under the Marie Sklodowska-Curie grant agreement No. 101033214 (GloSoilBio) .</t>
  </si>
  <si>
    <t>0929-1393</t>
  </si>
  <si>
    <t>1873-0272</t>
  </si>
  <si>
    <t>APPL SOIL ECOL</t>
  </si>
  <si>
    <t>Appl. Soil Ecol.</t>
  </si>
  <si>
    <t>10.1016/j.apsoil.2025.106329</t>
  </si>
  <si>
    <t>Soil Science</t>
  </si>
  <si>
    <t>5PS1S</t>
  </si>
  <si>
    <t>WOS:001541386300001</t>
  </si>
  <si>
    <t>Puskic, PS; Holmberg, R; McIntosh, RR</t>
  </si>
  <si>
    <t>Puskic, Peter S.; Holmberg, Ross; McIntosh, Rebecca R.</t>
  </si>
  <si>
    <t>Successful citizen science tools to monitor animal populations require innovation and communication: SealSpotter as a case study</t>
  </si>
  <si>
    <t>FRONTIERS IN CONSERVATION SCIENCE</t>
  </si>
  <si>
    <t>Arctocephalus pusillus doriferus; citizen science; drones; marine mammal; monitoring; ocean literacy; population trends; remote piloted aircraft</t>
  </si>
  <si>
    <t>WILDLIFE</t>
  </si>
  <si>
    <t>In rapidly changing ocean systems, there is a dual need to engage and educate community members and carry out rapid data acquisition. There is a body of evidence to support community or citizen science projects as successful vehicles for achieving these goals, with a particular need to increase global ocean literacy. The online SealSpotter program is a citizen science initiative aimed at monitoring trends in Australian fur seal (Arctocephalus pusillus doriferus) populations and connecting people to the marine environment. Here we present the findings of five years of monitoring of fur seals using drone surveys counted by citizen scientists via SealSpotter. Over five years, global participants from 23 countries were engaged in counting seals with a focus on the annual breeding season and pup abundance, with an average of 13,479 images and 171,137 seals counted per year. SealSpotter participants presented more conservative (lower) counts than expert counts, however both groups detected similar trends in abundance, emphasizing success of the project aims that included obtaining a precise index of pup abundance; ultimately a more achievable goal than accuracy due to the difficulties in measuring absolute abundance. We reflect on SealSpotter's accomplishments and highlight the potential for marine citizen science programs as important tools for addressing global ocean literacy needs. The SealSpotter program contributes to our understanding of marine ecosystems through a simple but effective citizen science program.</t>
  </si>
  <si>
    <t>[Puskic, Peter S.; Holmberg, Ross; McIntosh, Rebecca R.] Phillip Isl Nat Pk, Conservat Dept, Cowes, Vic, Australia</t>
  </si>
  <si>
    <t>McIntosh, RR (corresponding author), Phillip Isl Nat Pk, Conservat Dept, Cowes, Vic, Australia.</t>
  </si>
  <si>
    <t>rmcintosh@penguins.org.au</t>
  </si>
  <si>
    <t>Puskic, Peter/AAT-9362-2020</t>
  </si>
  <si>
    <t>Phillip Island Nature Parks, Penguin Foundation; Telematics Trust</t>
  </si>
  <si>
    <t>We acknowledge the Bunurong People, Traditional Owners of Phillip Island (Millowl) where this research was based. We would especially like to thank all the participants of SealSpotter over the years, this project has only been possible because of your involvement and especially those that come back every year to support the program. Thanks to the Penguin Foundation members that trialed the first iteration of SealSpotter and helped to develop the live version for 2017 release (www.penguinfoundation.org.au, accessed 14/12/2023). Thanks to the Victorian Fisheries Authority for providing mother vessel support when needed to perform surveys and all the volunteers that assisted with drone flights. Thank you to Lige Tan for helping with data analyses and Adam Yaney-Keller for reviewing the manuscript draft. Thank you to the Phillip Island Nature Parks media and communications team, and the Australian Citizen Science Association, the Royal Society of Victoria and the Australian Marine Science Association for promoting the Annual SealSpotter Challenge.</t>
  </si>
  <si>
    <t>2673-611X</t>
  </si>
  <si>
    <t>FRONT CONSERV SCI</t>
  </si>
  <si>
    <t>Front. Conserv. Sci.</t>
  </si>
  <si>
    <t>SEP 6</t>
  </si>
  <si>
    <t>10.3389/fcosc.2024.1412510</t>
  </si>
  <si>
    <t>G4R9X</t>
  </si>
  <si>
    <t>WOS:001316541800001</t>
  </si>
  <si>
    <t>Cardoso-Andrade, M; Cruz-Jesus, F; Troncoso, JS; Queiroga, H; Gonsalves, JMS</t>
  </si>
  <si>
    <t>Cardoso-Andrade, Mariana; Cruz-Jesus, Frederico; Troncoso, Jesus Souza; Queiroga, Henrique; Gonsalves, Jorge M. S.</t>
  </si>
  <si>
    <t>Understanding technological, cultural, and environmental motivators explaining the adoption of citizen science apps for coastal environment monitoring</t>
  </si>
  <si>
    <t>GLOBAL ENVIRONMENTAL CHANGE-HUMAN AND POLICY DIMENSIONS</t>
  </si>
  <si>
    <t>Citizen science; Coastal monitoring; Citizen empowerment; Public participation; Behavior change; Citizen science apps</t>
  </si>
  <si>
    <t>INFORMATION-SYSTEMS; CLIMATE-CHANGE; PSYCHOLOGICAL EMPOWERMENT; BEHAVIORAL-RESEARCH; SELF-IDENTITY; VALUES; GREEN; PARTICIPATION; FUTURE; INCENTIVES</t>
  </si>
  <si>
    <t>Environmental and nature conservation authorities are calling for a collective effort to break or reduce the current cycle of environmental degradation. Much of the response depends on scientific knowledge production based on thematically and geographically comprehensive datasets. Citizen science (CS) is a cost-effective support tool for scientific research that provides means for building large and comprehensive datasets and promoting public awareness and participation. One of the greatest challenges of CS is to engage citizens and retain par-ticipants in the project. Our work addresses this challenge by (1) defining the role that technological, cultural, and environmental dimensions play in the adoption of CS apps for coastal environment monitoring, and (2) providing base knowledge about the profile of the apps' most likely users and the functional features they require to be successful. Collectivists and people who assume a green identity are the most likely users of these apps. Drivers of their use are the promotion of citizen empowerment, habit development, provision of facilitating conditions, and proof of environmental performance.The outcome of this study is a set of guidelines for project managers, app developers, and policymakers for citizens' engagement and retention in CS coastal environment monitoring projects through their apps.</t>
  </si>
  <si>
    <t>[Cardoso-Andrade, Mariana; Queiroga, Henrique] Univ Aveiro, Dept Biol, Campus Univ Santiago, P-3810193 Aveiro, Portugal; [Cardoso-Andrade, Mariana; Queiroga, Henrique] Univ Aveiro, Ctr Estudos Ambiente &amp; Mar CESAM, Campus Univ Santiago, P-3810193 Aveiro, Portugal; [Cardoso-Andrade, Mariana; Gonsalves, Jorge M. S.] Univ Algarve, Ctr Ciencias Mar Algarve CCMAR, Campus Gambelas, P-8005139 Faro, Portugal; [Cruz-Jesus, Frederico] Univ Nova Lisboa, NOVA Informat Management Sch NOVA IMS, Campus Campolide, P-1070312 Lisbon, Portugal; [Troncoso, Jesus Souza] Univ Vigo, Ctr Invest Marina, Dept Ecoloxia Biol Anim, Lab Ecoloxia Costeira ECOCOST, Vigo, Spain; [Cardoso-Andrade, Mariana] Univ Aveiro, Campus Univ Santiago, P-3810193 Aveiro, Portugal</t>
  </si>
  <si>
    <t>Universidade de Aveiro; Universidade de Aveiro; Universidade do Algarve; Universidade Nova de Lisboa; Universidade de Vigo; CIM UVIGO; Universidade de Aveiro</t>
  </si>
  <si>
    <t>Cardoso-Andrade, M (corresponding author), Univ Aveiro, Campus Univ Santiago, P-3810193 Aveiro, Portugal.</t>
  </si>
  <si>
    <t>mariana.andrade@ua.pt</t>
  </si>
  <si>
    <t>Gonçalves, Jorge Manuel Santos/G-5206-2011; Cardoso-Anade, Mariana/AAU-5393-2021; Queiroga, Henrique/C-5134-2008; Cruz-Jesus, Frederico/E-7490-2019; Troncoso, Jesus/L-1823-2017</t>
  </si>
  <si>
    <t>Gonçalves, Jorge Manuel Santos/0000-0001-7704-8190; Cardoso-Anade, Mariana/0000-0003-0486-1302; Queiroga, Henrique/0000-0002-2338-0013; Cruz-Jesus, Frederico/0000-0002-4446-5980;</t>
  </si>
  <si>
    <t>FCT (Fundacao para a Ciencia e a Tecnologia): CESAM [UIDP/50017/2020, UIDB/50017/2020, LA/P/0094/2020]; FCT (Fundacao para a Ciencia e a Tecnologia): CCMAR [UIDP/04326/2020, UIDB/04326/2020, LA/P/0101/2020]; FCT (Fundacao para a Ciencia e a Tecnologia): Centro de Investigacao em Gestao de Informacao (MagIC)/NOVA IMS [UIDB/04152/2020]; FCT [PD/BD/143087/2018]</t>
  </si>
  <si>
    <t>FCT (Fundacao para a Ciencia e a Tecnologia): CESAM; FCT (Fundacao para a Ciencia e a Tecnologia): CCMAR; FCT (Fundacao para a Ciencia e a Tecnologia): Centro de Investigacao em Gestao de Informacao (MagIC)/NOVA IMS; FCT(Fundacao para a Ciencia e a Tecnologia (FCT))</t>
  </si>
  <si>
    <t>This work was supported by national funds through FCT (Fundacao para a Ciencia e a Tecnologia): CESAM through projects UIDP/50017/2020, UIDB/50017/2020, and LA/P/0094/2020; CCMAR through projects UIDP/04326/2020, UIDB/04326/2020, and LA/P/0101/2020; and Centro de Investigacao em Gestao de Informacao (MagIC)/NOVA IMS through project UIDB/04152/2020. Mariana Cardoso-Andrade also wishes to acknowledge the financial support of FCT through the doctoral grant PD/BD/143087/2018.</t>
  </si>
  <si>
    <t>0959-3780</t>
  </si>
  <si>
    <t>1872-9495</t>
  </si>
  <si>
    <t>GLOBAL ENVIRON CHANG</t>
  </si>
  <si>
    <t>Glob. Environ. Change-Human Policy Dimens.</t>
  </si>
  <si>
    <t>10.1016/j.gloenvcha.2022.102606</t>
  </si>
  <si>
    <t>Environmental Sciences; Environmental Studies; Geography</t>
  </si>
  <si>
    <t>Environmental Sciences &amp; Ecology; Geography</t>
  </si>
  <si>
    <t>6H2KA</t>
  </si>
  <si>
    <t>WOS:000885274300005</t>
  </si>
  <si>
    <t>Bonney, PR; Hansen, BD; Baldwin, C</t>
  </si>
  <si>
    <t>Bonney, Patrick R. R.; Hansen, Birgita D. D.; Baldwin, Claudia</t>
  </si>
  <si>
    <t>Citizen Science and Natural Resource Management: A Social Network Analysis of Two Community-Based Water Monitoring Programs</t>
  </si>
  <si>
    <t>SOCIETY &amp; NATURAL RESOURCES</t>
  </si>
  <si>
    <t>Citizen science; natural resource management; social networks; policy; collaboration</t>
  </si>
  <si>
    <t>In natural resource management contexts, citizen science programs often involve a diversity of actors collaborating in broad social networks. However, the characteristics and functioning of these networks has received limited attention. In this article, we demonstrate the benefits of applying social network research to citizen science practice. Through a mixed methods approach, we compare data sharing and collaboration networks of two community-based water monitoring programs in Australia. The quantitative component revealed that despite similarities in actor diversity and activities, both programs have created divergent network structures (centralized vs decentralized) corresponding to their scale of influence in environmental decision-making (regional vs local impacts). The qualitative component showed how individuals navigated their relationships and managed key tensions inherent to network functioning. This study provides new insights on the role of social networks in citizen science and concludes by recommending program leaders adopt a networking mindset to maximize their sphere of influence.</t>
  </si>
  <si>
    <t>[Bonney, Patrick R. R.; Hansen, Birgita D. D.] Federat Univ, Ctr eRes &amp; Digital Innovat, Mt Helen, Vic, Australia; [Hansen, Birgita D. D.] Food Agil CRC, Sydney, NSW, Australia; [Baldwin, Claudia] Univ Sunshine Coast, Sustainabil Res Ctr, Sippy Downs, Australia</t>
  </si>
  <si>
    <t>Federation University Australia; University of the Sunshine Coast</t>
  </si>
  <si>
    <t>Bonney, PR (corresponding author), Federat Univ, Ctr eRes &amp; Digital Innovat, Mt Helen, Vic, Australia.</t>
  </si>
  <si>
    <t>patrick.bonney@rmit.edu.au</t>
  </si>
  <si>
    <t>Hansen, Birgita/AFS-5829-2022; , Claudia and Baldwin/G-6889-2019</t>
  </si>
  <si>
    <t>Hansen, Birgita/0000-0003-3608-7622; Bonney, Patrick/0000-0003-4335-5728</t>
  </si>
  <si>
    <t>0894-1920</t>
  </si>
  <si>
    <t>1521-0723</t>
  </si>
  <si>
    <t>SOC NATUR RESOUR</t>
  </si>
  <si>
    <t>Soc. Nat. Resour.</t>
  </si>
  <si>
    <t>10.1080/08941920.2023.2183445</t>
  </si>
  <si>
    <t>Development Studies; Environmental Studies; Regional &amp; Urban Planning; Sociology</t>
  </si>
  <si>
    <t>Development Studies; Environmental Sciences &amp; Ecology; Public Administration; Sociology</t>
  </si>
  <si>
    <t>K7CG9</t>
  </si>
  <si>
    <t>WOS:000966030700001</t>
  </si>
  <si>
    <t>Rutschmann, B; Remter, F; Roth, S</t>
  </si>
  <si>
    <t>Rutschmann, Benjamin; Remter, Felix; Roth, Sebastian</t>
  </si>
  <si>
    <t>Monitoring Free-Living Honeybee Colonies in Germany: Insights Into Habitat Preferences, Survival Rates, and Citizen Science Reliability</t>
  </si>
  <si>
    <t>Apis mellifera; liminal species; multi-species studies; urban ecology; wild pollinators; wildlife conservation; wildlife monitoring; wild-living honeybees</t>
  </si>
  <si>
    <t>APIS-MELLIFERA; VARROA-DESTRUCTOR; BEES; POPULATION; CONSERVATION; OPPORTUNITIES; HYMENOPTERA; SELECTION; DENSITY; APIDAE</t>
  </si>
  <si>
    <t>Our understanding of the western honeybee (Apis mellifera) predominantly stems from studies conducted within beekeeping environments, leaving the presence and characteristics of honeybees outside managed settings largely unexplored. In this study, we examined the habitats, nesting sites, and survival rates of free-living colonies through personal monitoring of nest sites in Munich (N = 107) and the coordination of Citizen Science monitoring across Germany (N = 423). Within 7 years, we collected 2555 observations on 530 nest sites from 311 participants, including the authors. Overall, we found that 31% of the occupied nest sites were in buildings and 63% in mature trees, with clear preferences for specific tree species. Nesting preferences differed between urban, rural, and forested areas. On average, only 12% of the personally monitored colonies in Munich survived annually, a figure that aligns well with other published studies in Germany but contrasts sharply with the significantly higher survival rates resulting from Citizen Science reports (29%)-a discrepancy likely driven by certain reporting biases. We found that Citizen Science yielded significantly fewer updates per colony, underreported abandoned sites, and that 46% of overwintering reports overlapped with the swarming season and had to be excluded. To gain reliable survival data in Citizen Science projects, consistency and timing of reports need particular attention and regional swarming should be monitored as well. This study enhances our understanding of the ecological dynamics, liminal state, and conservation needs of free-living honeybee cohorts, addresses potential Citizen Science monitoring biases, and suggests standardized data collection protocols for future monitoring projects. The preservation of mature trees with suitable cavities, as well as the provision of additional nesting sites, is key for sustaining free-living honeybee cohorts and should be integrated into conservation strategies, urban planning, and forest management. Unser Verst &amp; auml;ndnis der Westlichen Honigbiene (Apis mellifera) basiert &amp; uuml;berwiegend auf Forschung, die unter imkerlichen Bedingungen durchgef &amp; uuml;hrt wurde, w &amp; auml;hrend das Vorkommen und die Lebensweise von Honigbienen abseits menschlicher Haltungsformen weitgehend unerforscht sind. F &amp; uuml;r die vorliegende Studie wurden die Lebensr &amp; auml;ume, Nistpl &amp; auml;tze und &amp; Uuml;berlebensraten freilebender V &amp; ouml;lker durch eigene Beobachtungen in M &amp; uuml;nchen (N = 107) sowie durch die Koordination eines Citizen-Science-Monitorings in ganz Deutschland (N = 423) untersucht. &amp; Uuml;ber sieben Jahre sammelten 311 Mitwirkende, einschlie ss lich der Autoren, insgesamt 2555 Beobachtungen an 530 Standorten. Die Nistpl &amp; auml;tze befinden sich zu 31% in Geb &amp; auml;uden und zu 63% in alten B &amp; auml;umen, wobei eine deutliche Pr &amp; auml;ferenz f &amp; uuml;r bestimmte Baumarten erkennbar ist. Die Nistpr &amp; auml;ferenzen unterscheiden sich zwischen urbanen, l &amp; auml;ndlichen und bewaldeten Gebieten. Im Durchschnitt &amp; uuml;berleben j &amp; auml;hrlich nur 12% der durch die Autoren in M &amp; uuml;nchen beobachteten V &amp; ouml;lker. W &amp; auml;hrend andere Studien vergleichbar geringe &amp; Uuml;berlebensraten in Deutschland best &amp; auml;tigen, weichen die deutlich h &amp; ouml;heren &amp; Uuml;berlebensraten unserer Citizen-Science-Meldungen (29%) davon ab - ein Unterschied, der durch Meldebiases verursacht wird. Wir stellten fest, dass im Rahmen von Citizen Science signifikant weniger Statusmeldungen pro Volk gemacht und Standorte, an denen V &amp; ouml;lker gestorben sind, seltener gemeldet wurden. Ausserdem &amp; uuml;berlappten 46% der &amp; Uuml;berwinterungsmeldungen mit der Schwarmzeit und mussten daher ausgeschlossen werden. Deshalb sind Konsistenz und Zeitpunkt der Beobachtung zentral, um verl &amp; auml;ssliche &amp; Uuml;berlebensdaten zu sammeln; zudem sollte die regionale Schwarmzeit ber &amp; uuml;cksichtigt werden. Die vorliegende Studie soll unser Verst &amp; auml;ndnis der &amp; Ouml;kologie, des liminalen Status und der Schutzbed &amp; uuml;rftigkeit freilebender Honigbienenv &amp; ouml;lker verbessern, thematisiert potenzielle Verzerrungen in Citizen-Science-Daten und schl &amp; auml;gt ein standardisiertes Monitoringprotokoll f &amp; uuml;r zuk &amp; uuml;nftige Projekte vor. Der Erhalt alter B &amp; auml;ume mit geeigneten H &amp; ouml;hlen sowie die Bereitstellung zus &amp; auml;tzlicher Nistpl &amp; auml;tze sind entscheidend f &amp; uuml;r den Fortbestand freilebender Honigbienenv &amp; ouml;lker und sollten in Naturschutzstrategien, Stadtplanung und Forstwirtschaft Ber &amp; uuml;cksichtigung finden.</t>
  </si>
  <si>
    <t>[Rutschmann, Benjamin; Remter, Felix; Roth, Sebastian] BEEtree Monitor, Munich, Germany; [Rutschmann, Benjamin] Univ Wurzburg, Dept Anim Ecol &amp; Trop Biol, Bioctr, Wurzburg, Germany; [Rutschmann, Benjamin] Agroscope, Agroecol &amp; Environm, Zurich, Switzerland; [Remter, Felix] Ludwig Maximilians Univ Munchen, Rachel Carson Ctr Environm Humanities, Munich, Germany; [Remter, Felix] Tech Univ Munich, TUM Sch Social Sci &amp; Technol, Dept Sci Technol &amp; Soc STS, Munich, Germany</t>
  </si>
  <si>
    <t>University of Wurzburg; Swiss Federal Research Station Agroscope; University of Munich; Technical University of Munich</t>
  </si>
  <si>
    <t>Rutschmann, B; Remter, F (corresponding author), BEEtree Monitor, Munich, Germany.;Rutschmann, B (corresponding author), Univ Wurzburg, Dept Anim Ecol &amp; Trop Biol, Bioctr, Wurzburg, Germany.;Rutschmann, B (corresponding author), Agroscope, Agroecol &amp; Environm, Zurich, Switzerland.;Remter, F (corresponding author), Ludwig Maximilians Univ Munchen, Rachel Carson Ctr Environm Humanities, Munich, Germany.;Remter, F (corresponding author), Tech Univ Munich, TUM Sch Social Sci &amp; Technol, Dept Sci Technol &amp; Soc STS, Munich, Germany.</t>
  </si>
  <si>
    <t>benjamin.rutschmann@agroscope.admin.ch; felix.remter@primatevisions.de</t>
  </si>
  <si>
    <t>; Rutschmann, Benjamin/MCY-2008-2025</t>
  </si>
  <si>
    <t>Remter, Felix/0000-0002-9781-3811; Rutschmann, Benjamin/0000-0001-6589-6408; Roth, Sebastian/0000-0003-0576-8484</t>
  </si>
  <si>
    <t>Projekt DEAL</t>
  </si>
  <si>
    <t>We express our gratitude to the BEEtree-Monitor community and all the citizen scientists who provided data for this study. A list of data contributors and those who helped shape the monitoring protocol can be found in the Acknowledgment Appendix in the Supporting Information. Open Access funding enabled and organized by Projekt DEAL.</t>
  </si>
  <si>
    <t>JUN 5</t>
  </si>
  <si>
    <t>e71469</t>
  </si>
  <si>
    <t>10.1002/ece3.71469</t>
  </si>
  <si>
    <t>3LO3H</t>
  </si>
  <si>
    <t>WOS:001503240900001</t>
  </si>
  <si>
    <t>Yang, J; Xing, DQ; Luo, XY</t>
  </si>
  <si>
    <t>Yang, Jun; Xing, Danqi; Luo, Xiangyu</t>
  </si>
  <si>
    <t>Assessing the performance of a citizen science project for monitoring urban woody plant species diversity in China</t>
  </si>
  <si>
    <t>Citizen science; Data quality; Participation; Species diversity; Urban biodiversity</t>
  </si>
  <si>
    <t>DATA QUALITY; BIODIVERSITY; CONSERVATION; GARDENS; IMPACT; TOOL</t>
  </si>
  <si>
    <t>Citizen science has been increasingly used for monitoring urban biodiversity in North American and European cities. However, there is scant information about its applicability outside of these regions. In this study, we have set up a citizen science project to monitor urban woody plant diversity in China and evaluated the performance of the project. We analyzed the participants? behavior and the quality of the collected data. In 12 months, 275 of 898 registered citizen scientists have contributed a total of 4674 valid checklists of urban woody plant species in 112 cities through a WeChat mini program called ?Utrees? and a website with the same name. The mean number of monthly active participants was 33 (SD = 29), and the mean number of monthly submitted images of plants was 549 (SD = 592). The participants have tried to identify 60 % of submitted plant images, and 40 % of their identifications could match experts? identifications. The mean identification accuracy by the citizen scientists was 31.3 % (SD = 34.9), which has been improved after adding an automatic plant image identification function to the mini program. While the participation and identification accuracy were lower than those reported by similar projects in North American and European cities, the data collected through the project are still useful in revealing woody plant diversity patterns in urban China. At the national level, the project has identified 557 woody plant species in China?s cities in one year, 21.2 % of the number of species reported in a list compiled from literature over 35 years. At the individual city level, the number of species recorded by the project in Beijing was three times more than the number reported in a recent field study. Our results proved that citizen science is a promising approach for monitoring urban biodiversity in China, but serious efforts are needed to engage the public to unlock the full potential of citizen science.</t>
  </si>
  <si>
    <t>[Yang, Jun; Xing, Danqi; Luo, Xiangyu] Tsinghua Univ, Dept Earth Syst Sci, Minist Educ, Key Lab Earth Syst Modelling, Beijing 100084, Peoples R China; [Yang, Jun] Tsinghua Urban Inst, Beijing 100084, Peoples R China</t>
  </si>
  <si>
    <t>Tsinghua University</t>
  </si>
  <si>
    <t>Yang, J (corresponding author), Tsinghua Univ, S721 Mengmingwei Sci Bldg, Beijing 100084, Peoples R China.</t>
  </si>
  <si>
    <t>larix@tsinghua.edu.cn</t>
  </si>
  <si>
    <t>Yang, Jun/KHW-4756-2024</t>
  </si>
  <si>
    <t>Yang, Jun/0000-0003-0824-749X</t>
  </si>
  <si>
    <t>National Natural Science Foundation of China [31570458]; Microsoft Research Lab-Asia [041902008]</t>
  </si>
  <si>
    <t>National Natural Science Foundation of China(National Natural Science Foundation of China (NSFC)); Microsoft Research Lab-Asia(Microsoft)</t>
  </si>
  <si>
    <t>We thank the graduate students from the Urban Ecology Laboratory of Tsinghua University to test the website and the app. We thank all participants of the Utrees project for their contribution to this project. This study was supported by a grant from the National Natural Science Foundation of China (Grant no. 31570458) and a research grant from Microsoft Research Lab-Asia (Grant no. 041902008).</t>
  </si>
  <si>
    <t>10.1016/j.ufug.2021.127001</t>
  </si>
  <si>
    <t>FEB 2021</t>
  </si>
  <si>
    <t>RC1XC</t>
  </si>
  <si>
    <t>WOS:000632597500008</t>
  </si>
  <si>
    <t>Omar, MS; Dennis, R; Meijaard, EM; Sueif, S; Zaini, S; Mohamdih, M; Erman, A; Meijaard, E</t>
  </si>
  <si>
    <t>Omar, Muhammad Syazwan; Dennis, Rona; Meijaard, Emily Mae; Sueif, Syafiie; Zaini, Syahmi; Mohamdih, Muiz; Erman, Andi; Meijaard, Erik</t>
  </si>
  <si>
    <t>Centering Communities in Biodiversity Monitoring and Conservation: Preliminary Insights from a Citizen Science Initiative in Kalimantan, Indonesia</t>
  </si>
  <si>
    <t>DIVERSITY-BASEL</t>
  </si>
  <si>
    <t>citizen science; community-based conservation; biodiversity monitoring; indigenous knowledge; sustainable resource management</t>
  </si>
  <si>
    <t>REWARDS</t>
  </si>
  <si>
    <t>This paper presents preliminary findings on the effectiveness of a citizen science initiative that engages local communities in rural Kalimantan in collecting wildlife observations within their village forests. By leveraging the power of community participation, the initiative aims to build on local knowledge, promote sustainable management practices, and collect valuable data on species distribution. Through a combination of focus group discussions, training workshops, field surveys, and mobile app-based data collection from 2023 to 2025, the initiative successfully mobilized community members, particularly those with limited technological experience, to actively participate in biodiversity monitoring. We recently introduced a small 'payment for wildlife observations' system that significantly boosted observations. The initial results highlight the potential for citizen science to generate valuable species trend data and foster a sense of pride, ownership, and stewardship among community members. While the current manuscript does not provide statistical analyses of the wildlife data, we describe how we plan to overcome data biases that are inherent to opportunistic, unstructured survey efforts. The project continues, but the lessons learned thus far can inform future citizen science initiatives and contribute to the development of sustainable, long-term, low-cost and effective community-based conservation strategies in the region.</t>
  </si>
  <si>
    <t>[Omar, Muhammad Syazwan; Dennis, Rona; Meijaard, Emily Mae; Sueif, Syafiie; Zaini, Syahmi; Mohamdih, Muiz; Erman, Andi; Meijaard, Erik] Borneo Futures, BS-8811 Bandar Seri Begawan, Brunei</t>
  </si>
  <si>
    <t>Omar, MS (corresponding author), Borneo Futures, BS-8811 Bandar Seri Begawan, Brunei.</t>
  </si>
  <si>
    <t>syazwan.omar@borneofutures.org; rona.dennis@borneofutures.org; emilymeijaard@borneofutures.org; syafiie.sueif@borneofutures.org; syahmi.zaini@borneofutures.org; muiz.wafiy@borneofutures.org; andiiptkk8009@gmail.com; emeijaard@borneofutures.org</t>
  </si>
  <si>
    <t>Meijaard, Erik/A-2687-2016; Meijaard, Erik/A-2687-2016</t>
  </si>
  <si>
    <t>Meijaard, Erik/0000-0001-8685-3685; Meijaard, Erik/0000-0001-8685-3685; Sueif, Syafiie/0009-0004-4897-9868; bin Omar, Muhammad Syazwan/0009-0004-7637-3150</t>
  </si>
  <si>
    <t>Binnacle Fund and Wildlife Futures</t>
  </si>
  <si>
    <t>This work was supported by the Binnacle Fund and Wildlife Futures.</t>
  </si>
  <si>
    <t>1424-2818</t>
  </si>
  <si>
    <t>Diversity-Basel</t>
  </si>
  <si>
    <t>SEP 29</t>
  </si>
  <si>
    <t>10.3390/d17100679</t>
  </si>
  <si>
    <t>9BR1Z</t>
  </si>
  <si>
    <t>WOS:001602509800001</t>
  </si>
  <si>
    <t>Hsing, PY; Hill, RA; Smith, GC; Bradley, S; Green, SE; Kent, VT; Mason, SS; Rees, J; Whittingham, MJ; Cokill, J; Stephens, PA</t>
  </si>
  <si>
    <t>Hsing, Pen-Yuan; Hill, Russell A.; Smith, Graham C.; Bradley, Steven; Green, Sian E.; Kent, Vivien T.; Mason, Samantha S.; Rees, Jonathan; Whittingham, Mark J.; Cokill, Jim; Stephens, Philip A.</t>
  </si>
  <si>
    <t>MammalWeb Citizen Scientists</t>
  </si>
  <si>
    <t>Large-scale mammal monitoring: The potential of a citizen science camera-trapping project in the United Kingdom</t>
  </si>
  <si>
    <t>biodiversity; camera traps; citizen science; conservation biology; engagement; mammal monitoring; population ecology</t>
  </si>
  <si>
    <t>ESTIMATING ANIMAL DENSITY; CONSERVATION; WILDLIFE; BIODIVERSITY; INDICATORS; TRAPS</t>
  </si>
  <si>
    <t>In light of global biodiversity loss, there is an increasing need for large-scale wildlife monitoring. This is difficult for mammals, since they can be elusive and nocturnal. In the United Kingdom, there is a lack of systematic, widespread mammal monitoring, and a recognized deficiency of data. Innovative new approaches are required. We developed MammalWeb, a portal to enable UK-wide camera trapping by a network of citizen scientists and partner organizations. MammalWeb citizen scientists contribute to both the collection and classification of camera trap data. Following trials in 2013-2017, MammalWeb has grown organically to increase its geographic reach (e.g. similar to 2000 sites in Britain). It has so far provided the equivalent of over 340 camera trap-years of wild mammal monitoring, and produced nearly 440,000 classified image sequences and videos, of which, over 180,000 are mammal detections. We describe MammalWeb, its background, its development and the novel approaches we have for participation. We consider the data collected by MammalWeb participants, especially in light of their relevance to the main goals of wildlife monitoring: to provide spatial data, abundance data and temporal behavioural data. MammalWeb can complement existing approaches to mammal monitoring. Explicit accounting for spatial and temporal patterns in animal activity enables accounting of bias relative to ad hoc observational data. Estimating abundance presents challenges, as for many camera-trapping studies, but we discuss the potential of the data as they stand, and opportunities to advance their value for abundance estimation. Challenges remain to MammalWeb's central missions of enhancing engagement with and connection to nature, and delivering policy-relevant data on Britain's wild mammals. We discuss these challenges and the opportunities they provide for advances in respect of engagement, science and financial security. Our approach reduces administrative burden and increases spatial coverage and, as such, MammalWeb provides a useful addition to existing case studies of citizen science camera-trapping program design. We believe MammalWeb is an important step towards fulfilling calls for UK-wide mammal monitoring and our description of challenges identifies an agenda for fulfilling that purpose.</t>
  </si>
  <si>
    <t>[Hsing, Pen-Yuan; Green, Sian E.; Mason, Samantha S.; Rees, Jonathan; Stephens, Philip A.; MammalWeb Citizen Scientists] Univ Durham, Dept Biosci, Conservat Ecol Grp, South Rd, Durham DH1 3LE, England; [Hsing, Pen-Yuan] Univ Bath, Dept Mech Engn, Bath, Avon, England; [Hill, Russell A.; Green, Sian E.] Univ Durham, Dept Anthropol, Durham, England; [Smith, Graham C.] Anim &amp; Plant Hlth Agcy, Natl Wildlife Management Ctr, York, N Yorkshire, England; [Bradley, Steven] Univ Durham, Dept Comp Sci, Durham, England; [Kent, Vivien T.; Cokill, Jim] Durham Wildlife Trust, Houghton Le Spring, Tyne &amp; Wear, England; [Whittingham, Mark J.] Newcastle Univ, Sch Nat &amp; Environm Sci, Newcastle Upon Tyne, Tyne &amp; Wear, England</t>
  </si>
  <si>
    <t>Durham University; University of Bath; Durham University; Animal &amp; Plant Health Agency UK; Durham University; Newcastle University - UK</t>
  </si>
  <si>
    <t>Hsing, PY (corresponding author), Univ Durham, Dept Biosci, Conservat Ecol Grp, South Rd, Durham DH1 3LE, England.</t>
  </si>
  <si>
    <t>penyuanhsing@posteo.is</t>
  </si>
  <si>
    <t>Bradley, Steven/JXX-3170-2024; Green, Sian/MHQ-0364-2025; Whittingham, Mark/C-4958-2008; Smith, Graham/J-2593-2013; Hill, Russell/D-9113-2013; Stephens, Philip/B-8397-2008</t>
  </si>
  <si>
    <t>Green, Sian Elizabeth/0000-0003-0513-8490; Whittingham, Mark/0000-0003-4362-3454; Smith, Graham/0000-0002-9897-6794; Hill, Russell/0000-0002-7601-5802; Hsing, Pen-Yuan/0000-0002-5394-879X; Stephens, Philip/0000-0001-5849-788X; Mason, Samantha/0000-0001-8377-4762</t>
  </si>
  <si>
    <t>HMP YOI Deerbolt; Durham University [030-15/16]; Economic and Social Research Council; British Ecological Society; European Food Safety Authority [OC/EFSA/ALPHA/2016/01-01, OC/EFSA/AMU/2018/02]; Royal Society [PG\S2\192047]; National Lottery Heritage Fund [OH-14-06474, OM-21-00458, RH-16-09501]; Natural Environment Research Council [NE/L002590/1, NE/R008485/1]</t>
  </si>
  <si>
    <t>HMP YOI Deerbolt; Durham University(Durham University); Economic and Social Research Council(UK Research &amp; Innovation (UKRI)Economic &amp; Social Research Council (ESRC)); British Ecological Society; European Food Safety Authority; Royal Society(Royal Society UK); National Lottery Heritage Fund; Natural Environment Research Council(UK Research &amp; Innovation (UKRI)Natural Environment Research Council (NERC))</t>
  </si>
  <si>
    <t>HMP &amp; YOI Deerbolt, Grant/Award Number: Operational Innovation Award; Durham University, Grant/Award Numbers: 030-15/16, Doctoral Scholarship, TESS - ESLE2012; Economic and Social Research Council, Grant/Award Number: Impact Acceleration Account; British Ecological Society; European Food Safety Authority, Grant/Award Numbers: OC/EFSA/ALPHA/2016/01-01, OC/EFSA/AMU/2018/02; Royal Society, Grant/Award Number: PG\S2\192047; National Lottery Heritage Fund, Grant/Award Numbers: OH-14-06474, OM-21-00458, RH-16-09501; Natural Environment Research Council, Grant/Award Numbers: NE/L002590/1, NE/R008485/1</t>
  </si>
  <si>
    <t>e12180</t>
  </si>
  <si>
    <t>10.1002/2688-8319.12180</t>
  </si>
  <si>
    <t>5I9MW</t>
  </si>
  <si>
    <t>Green Accepted, Green Submitted, Green Published, gold</t>
  </si>
  <si>
    <t>WOS:000868674800001</t>
  </si>
  <si>
    <t>Walther, D; Kampen, H</t>
  </si>
  <si>
    <t>Walther, Doreen; Kampen, Helge</t>
  </si>
  <si>
    <t>The Citizen Science Project 'Mueckenatlas' Helps Monitor the Distribution and Spread of Invasive Mosquito Species in Germany</t>
  </si>
  <si>
    <t>citizen science; Germany; invasive mosquitoes; Mueckenatlas; passive mosquito surveillance</t>
  </si>
  <si>
    <t>AEDES-JAPONICUS-JAPONICUS; DIPTERA-CULICIDAE; IDENTIFICATION; ALBOPICTUS; SOUTH</t>
  </si>
  <si>
    <t>The citizen science project 'Mueckenatlas' (mosquito atlas) was implemented in early 2012 to improve mosquito surveillance in Germany. Citizens are asked to support the spatiotemporal mapping of culicids by submitting mosquito specimens collected in their private surroundings. The Mueckenatlas has developed into an efficient tool for data collection with close to 30,000 mosquitoes submitted by the end of 2015. While the vast majority of submissions included native mosquito species, a small percentage represented invasive species. The discovery of Aedes albopictus (Skuse) (Diptera: Culicidae), Aedes japonicus japonicus (Theobald) (Diptera: Culicidae) and Aedes koreicus (Edwards) (Diptera: Culicidae) specimens via the Mueckenatlas project prompted targeted monitoring activities in the field which produced additional information on the distribution of these species in Germany. Among others, Mueckenatlas submissions led to the detection of three populations of Ae. j. japonicus in West, North and Southeast Germany in 2012, 2013, and 2015, respectively. As demonstrated by on-site monitoring, the origins of Ae. j. japonicus specimens submitted to the Mueckenatlas mirror the distribution areas of the four presently known German populations as found by active field sampling (the fourth population already reported prior to the launch of the Mueckenatlas). The data suggest that a citizen science project such as the Mueckenatlas may aid in detecting changes in the mosquito fauna and can therefore be used to guide the design of more targeted field surveillance activities.</t>
  </si>
  <si>
    <t>[Walther, Doreen] Leibniz Ctr Agr Landscape Res, Inst Land Use Syst, Eberswalder Str 84, D-15374 Muencheberg, Germany; [Kampen, Helge] Friedrich Loeffler Inst, Fed Res Inst Anim Hlth, Suedufer 10, D-17493 Greifswald, Germany</t>
  </si>
  <si>
    <t>Leibniz Association; Leibniz Zentrum fur Agrarlandschaftsforschung (ZALF); Friedrich Loeffler Institute</t>
  </si>
  <si>
    <t>Walther, D (corresponding author), Leibniz Ctr Agr Landscape Res, Inst Land Use Syst, Eberswalder Str 84, D-15374 Muencheberg, Germany.</t>
  </si>
  <si>
    <t>doreen.walther@zalf.de</t>
  </si>
  <si>
    <t>German Federal Ministry of Food and Agriculture (BMEL) through the Federal Office for Agriculture and Food (BLE) [2819104615]</t>
  </si>
  <si>
    <t>We acknowledge all submitters to the Mueckenatlas scheme and express our gratitude to Jutta Falland, Juliane Horenk, Oliver Tauchmann and Stefan Kowalczyk for excellent technical assistance in the laboratory. The Mueckenatlas project is financially supported by the German Federal Ministry of Food and Agriculture (BMEL) through the Federal Office for Agriculture and Food (BLE), grant number 2819104615.</t>
  </si>
  <si>
    <t>10.1093/jme/tjx166</t>
  </si>
  <si>
    <t>FT2LS</t>
  </si>
  <si>
    <t>WOS:000422974500045</t>
  </si>
  <si>
    <t>Embling, CB; Walters, AEM; Dolman, SJ</t>
  </si>
  <si>
    <t>Embling, C. B.; Walters, A. E. M.; Dolman, S. J.</t>
  </si>
  <si>
    <t>How much effort is enough? The power of citizen science to monitor trends in coastal cetacean species</t>
  </si>
  <si>
    <t>Citizen science; Shore-based survey; Bottlenose dolphin; Power analysis; Special Area of Conservation</t>
  </si>
  <si>
    <t>DOLPHINS TURSIOPS-TRUNCATUS; BOTTLE-NOSED-DOLPHIN; CONSERVATION; NORTH; HABITAT; SIGHTINGS; ABUNDANCE; PATTERNS; MEXICO; AREA</t>
  </si>
  <si>
    <t>Citizen scientists provide a cost-effective means of carrying out broad scale, long-term monitoring of the environment while fostering earth stewardship. In this study we investigate how much effort is required by citizen scientists to detect trends in the occurrence of a protected population of bottlenose dolphins (Tursiops truncatus). We analyse the WDC citizen science shore-based data collected over nine years (2005-2013) between April to October from within and in the vicinity of a Special Area of Conservation (SAC) for bottlenose dolphins in the Moray Firth, Scotland. Watches comprised a continuous 10 minute scan of the survey area in an hour. During peak season, around 5 watches per day were required to detect annual or between-site trends of 50% in dolphin occurrence in locations where dolphins were sighted reliably (0.1 sightings per hour). Less effort was required at higher sightings rates, and it was not possible to statistically detect trends of &lt;30%. This study highlights the importance of power analysis in designing citizen science programmes and demonstrates their effectiveness in carrying out long term shore-based monitoring of coastal cetacean species, providing a cost-effective early warning system for changes in the marine environment. (C) 2015 The Authors. Published by Elsevier B.V. This is an open access article under the CC BY-NC-ND license (http://creativecommons.org/licenses/by-nc-nd/4.0/).</t>
  </si>
  <si>
    <t>[Embling, C. B.] Univ Plymouth, Sch Marine Sci &amp; Engn, Marine Biol &amp; Ecol Res Ctr, Drake Circus, Plymouth PL4 8AA, Devon, England; [Embling, C. B.] Univ Exeter, Ctr Ecol &amp; Conservat, Penryn TR10 9EZ, England; [Walters, A. E. M.; Dolman, S. J.] WDC, Chippenham SN15 1LJ, Wilts, England</t>
  </si>
  <si>
    <t>University of Plymouth; University of Exeter</t>
  </si>
  <si>
    <t>Embling, CB (corresponding author), Univ Plymouth, Sch Marine Sci &amp; Engn, Marine Biol &amp; Ecol Res Ctr, Drake Circus, Plymouth PL4 8AA, Devon, England.</t>
  </si>
  <si>
    <t>clare.embling@plymouth.ac.uk; alice.walters@whales.org; sarah.dolman@whales.org</t>
  </si>
  <si>
    <t>Embling, Clare/0000-0002-8238-433X</t>
  </si>
  <si>
    <t>WDC; Scottish Natural Heritage [11348, 11901]; Natural Environment Research Council; KTP; HDH Wills Foundation</t>
  </si>
  <si>
    <t>WDC; Scottish Natural Heritage; Natural Environment Research Council(UK Research &amp; Innovation (UKRI)Natural Environment Research Council (NERC)); KTP; HDH Wills Foundation</t>
  </si>
  <si>
    <t>The Shorewatch Programme is only possible because of the time and dedication of our many volunteers who are committed to monitoring their local coastline. We also owe thanks to the individuals and site partners who have hosted equipment and trainings, and in particular to Kila Taylor, Alison Lomax, Rowena Staff, Olivia Masi, Tessa O'Hara and Ruth Clark who have helped to deliver this programme on the ground. Thanks to Tess Gridley, Paul Thompson and Russell Leaper for their assistance with protocol design. WDC, Scottish Natural Heritage (2009-11 grant ref: 11348; 2011-12 grant ref: 11901), Natural Environment Research Council, KTP, along with the HDH Wills Foundation and others have provided vital project funding. Thanks also to Paul Thompson, Graham Pierce, and Ben Leyshon for comments on earlier versions of this document, Helen Bailey for discussions on the statistical analysis, and Simon Ingram for GIS help. We also thank one anonymous reviewer for very useful feedback on a previous version of this manuscript.</t>
  </si>
  <si>
    <t>10.1016/j.gecco.2015.04.003</t>
  </si>
  <si>
    <t>VB6AB</t>
  </si>
  <si>
    <t>WOS:000416220000073</t>
  </si>
  <si>
    <t>Neves, AT; Boaventura, D; Galvao, C</t>
  </si>
  <si>
    <t>Neves, Ana Teresa; Boaventura, Diana; Galvao, Cecilia</t>
  </si>
  <si>
    <t>Contributions from citizen science to climate change education: monitoring species distribution on rocky shores involving elementary students</t>
  </si>
  <si>
    <t>Citizen science; climate change education; rocky shores; monitoring biodiversity</t>
  </si>
  <si>
    <t>MANAGEMENT; LITERACY; PROJECTS; PROGRAM</t>
  </si>
  <si>
    <t>Citizen science is a promising field for research in climate change. It has also been recognised with great potential in the field of climate change education, especially in the increase of scientific knowledge and science process skills. The study aims to examine the contributions of citizen science to learning outcomes regarding climate change and the development of science skills. A mixed-methods approach involving a pretest, posttest, records inserted in the iNaturalist platform, semi-structured interviews with the researchers, and a questionnaire to iNaturalist users that validated the observations inserted by students, were applied to access students' knowledge and development of science skills. Findings showed an improvement in scientific knowledge related to consequences of climate change, species identification and students' development of science skills, such as observation, data collection and teamwork. Indeed, this study supports that students can be involved in all stages of scientific research and the data can be used in scientific investigations, improving the size and quality of citizen science databases. This investigation reinforces the importance of citizen science projects in a school context to improve the student's skills and scientific knowledge regarding climate change.</t>
  </si>
  <si>
    <t>[Neves, Ana Teresa; Boaventura, Diana] Escola Super Educ Joao Deus, Lisbon, Portugal; [Boaventura, Diana] Univ Lisbon, Fac Ciencias, MARE Marine &amp; Environm Sci Ctr, ARNET Aquat Res Network, Lisbon, Portugal; [Galvao, Cecilia] Univ Lisbon, Inst Educ Lisboa, Lisbon, Portugal</t>
  </si>
  <si>
    <t>Universidade de Lisboa; Universidade de Lisboa</t>
  </si>
  <si>
    <t>Neves, AT (corresponding author), Escola Super Educ Joao Deus, Lisbon, Portugal.</t>
  </si>
  <si>
    <t>teresa.neves@escolasjoaodeus.pt</t>
  </si>
  <si>
    <t>; Boaventura, Diana/I-7191-2012</t>
  </si>
  <si>
    <t>Galvão, Cecília/0000-0002-0347-4872; Boaventura, Diana/0000-0002-3658-2925</t>
  </si>
  <si>
    <t>Fundao para a Cincia e a Tecnologia10.13039/501100001871</t>
  </si>
  <si>
    <t>We would like to acknowledge the schools involved in this study. Also, we thank all the teachers and researchers involved.</t>
  </si>
  <si>
    <t>10.1080/21548455.2024.2322417</t>
  </si>
  <si>
    <t>W8H5S</t>
  </si>
  <si>
    <t>WOS:001173993600001</t>
  </si>
  <si>
    <t>Giovos, I; Kleitou, P; Poursanidis, D; Batjakas, I; Bernardi, G; Crocetta, F; Doumpas, N; Kalogirou, S; Kampouris, TE; Keramidas, I; Langeneck, J; Maximiadi, M; Mitsou, E; Stoilas, VO; Tiralongo, F; Romanidis-Kyriakidis, G; Xentidis, NJ; Zenetos, A; Katsanevakis, S</t>
  </si>
  <si>
    <t>Giovos, Ioannis; Kleitou, Periklis; Poursanidis, Dimitris; Batjakas, Ioannis; Bernardi, Giacomo; Crocetta, Fabio; Doumpas, Nikolaos; Kalogirou, Stefanos; Kampouris, Thodoros E.; Keramidas, Ioannis; Langeneck, Joachim; Maximiadi, Mary; Mitsou, Eleni; Stoilas, Vasileios-Orestis; Tiralongo, Francesco; Romanidis-Kyriakidis, Georgios; Xentidis, Nicholas-Jason; Zenetos, Argyro; Katsanevakis, Stelios</t>
  </si>
  <si>
    <t>Citizen-science for monitoring marine invasions and stimulating public engagement: a case project from the eastern Mediterranean</t>
  </si>
  <si>
    <t>Participatory science; Alien species; Invasive species; Marine bioinvasions; Greece; Cyprus</t>
  </si>
  <si>
    <t>ALIEN SPECIES INFORMATION; 1ST RECORD; BIOLOGICAL INVASIONS; AEGEAN SEA; BIODIVERSITY; FISH; ESTABLISHMENT; VALIDATION; KNOWLEDGE; FORSSKAL</t>
  </si>
  <si>
    <t>The distribution of marine life has been alarmingly reshaped lately and the number of non-indigenous species and their impacts are rapidly escalating globally. Timely and accurate information about the occurrence of non-indigenous species are of major importance for the mitigation of the issue. However, still large gaps in knowledge about marine bioinvasion exist. Mediterranean Sea is among the most impacted ecoregions globally. In this work we present a comprehensive overview of the project Is is Alien to you? Share it!!! which monitors non-indigenous species in Greece and Cyprus with the help of citizen scientists. The goal of this work is to present this project as a case study in order to demonstrate how citizen science can substantially contribute to the monitoring of biological invasions. We compared the projects database with the databased of ELNAIS and EASIN, for discuss weaknesses and advantages and future steps for advancing the effort. In total 691 records of marine alien and cryptogenic species were collected in these 2 years from Greece and Cyprus, with the density of records reaching 20 observations per km(2) in some locations. The project has contributed significantly in the assessment of descriptor D2 Exotic Species of the Marine Strategy Framework Directive, with 3 new species for Greece. Future steps should focus on training citizens to report less reported taxa and raising the awareness of all relevant stakeholders.</t>
  </si>
  <si>
    <t>[Giovos, Ioannis; Kleitou, Periklis; Doumpas, Nikolaos; Keramidas, Ioannis; Maximiadi, Mary; Mitsou, Eleni; Stoilas, Vasileios-Orestis; Tiralongo, Francesco; Romanidis-Kyriakidis, Georgios; Xentidis, Nicholas-Jason; Zenetos, Argyro] Environm Org Preservat Aquat Ecosyst, iSea, Ochi Av 11, Thessaloniki 55438, Greece; [Kleitou, Periklis] Marine &amp; Environm Res MER Lab Ltd, 202 Amathountos Av,Marina Gardens,Block B, CY-4533 Parekklisia, Limassol, Cyprus; [Kleitou, Periklis] Plymouth Univ, Sch Biol &amp; Marine Sci, Plymouth PL4 8AA, Devon, England; [Poursanidis, Dimitris] Fdn Res &amp; Technol Hellas FORTH, Inst Appl &amp; Computat Math, N Plastira 100, Iraklion 70013, Greece; [Batjakas, Ioannis; Kampouris, Thodoros E.; Katsanevakis, Stelios] Univ Aegean, Sch Environm, Dept Marine Sci, Mitilini 81100, Lesvos Island, Greece; [Bernardi, Giacomo] Univ Calif Santa Cruz, Dept Ecol &amp; Evolutionary Biol, Santa Cruz, CA 95064 USA; [Crocetta, Fabio] Stn Zool Anton Dohrn, Dept Integrat Marine Ecol, I-80121 Naples, Italy; [Kalogirou, Stefanos] Hellen Ctr Marine Res, Hydrobiol Stn Rhodes, Rhodes 85100, Greece; [Langeneck, Joachim] Univ Pisa, Dipartimento Biol, Via Derna 1, I-56126 Pisa, Italy; [Tiralongo, Francesco] Univ Catania, Dept Biol Geol &amp; Environm Sci, Catania, Italy; [Tiralongo, Francesco] Ente Fauna Marina Mediterranea, Avola, Italy; [Xentidis, Nicholas-Jason; Zenetos, Argyro] Hellen Ctr Marine Res, Inst Marine Biol Resources &amp; Inland Waters, Anavyssos 19013, Greece</t>
  </si>
  <si>
    <t>University of Plymouth; University of Aegean; University of California System; University of California Santa Cruz; Stazione Zoologica Anton Dohrn; Hellenic Centre for Marine Research; University of Pisa; University of Catania; Ente Fauna Marina Mediterranea; Hellenic Centre for Marine Research</t>
  </si>
  <si>
    <t>Giovos, I (corresponding author), Environm Org Preservat Aquat Ecosyst, iSea, Ochi Av 11, Thessaloniki 55438, Greece.</t>
  </si>
  <si>
    <t>ioannis.giovos@isea.com.gr</t>
  </si>
  <si>
    <t>Crocetta, Fabio/AAA-6927-2022; Kalogirou, Stefanos/G-9133-2011; Katsanevakis, Stelios/AGR-7012-2022; Kleitou, Periklis/L-1329-2019; Poursanidis, Dimitris/M-8957-2013; Kampouris, Thodoros E/AAQ-6684-2020; Tiralongo, Francesco/AFG-8916-2022; Bernardi, Giacomo/F-6346-2011; Batjakas, Ioannis/G-3608-2016; Zenetos, Argyro/AAS-3208-2020; Langeneck, Joachim/I-3782-2019</t>
  </si>
  <si>
    <t>Crocetta, Fabio/0000-0002-2800-3735; Stoilas, Vasilis-Orestis/0000-0001-9333-4875; Kalogirou, Stefanos/0000-0002-3064-9236; Katsanevakis, Stelios/0000-0002-5137-7540; Kleitou, Periklis/0000-0002-9168-4721; Doumpas, Nikos/0000-0002-6713-325X; Poursanidis, Dimitris/0000-0003-3228-280X; Kampouris, Thodoros E/0000-0003-2528-6941; Tiralongo, Francesco/0000-0002-1625-0149; Giovos, Ioannis/0000-0001-5733-0092; Keramidas, Ioannis/0000-0002-6845-2084; Langeneck, Joachim/0000-0003-3665-8683</t>
  </si>
  <si>
    <t>10.1007/s10530-019-02083-w</t>
  </si>
  <si>
    <t>JG9TN</t>
  </si>
  <si>
    <t>WOS:000492419000020</t>
  </si>
  <si>
    <t>Válzauez-Delfín, E; Santiago, CGD; Paredes-Chi, A; Ríos-Vázquez, A; Benavides-Lahnstein, A; Khatun, K; Brodie, J</t>
  </si>
  <si>
    <t>Valzauez-Delfin, Erika; Galindo-De Santiago, Carmen; Paredes-Chi, Arely; Rios-Vazquez, Ameyalli; Benavides-Lahnstein, Ana; Khatun, Kaysara; Brodie, Juliet</t>
  </si>
  <si>
    <t>Marine macrophyte strandings in the Yucatan peninsula: Citizen science as a potential tool for long-term monitoring</t>
  </si>
  <si>
    <t>Beach-cast biomass; Big Seaweed Search; Citizen participation; Marine conservation; Monitoring; Sargassum; Seagrasses; Seaweeds; Species composition</t>
  </si>
  <si>
    <t>GULF-OF-MEXICO; YELLOW SEA; PELAGIC SARGASSUM; GREEN TIDES; WRACK; BIOMASS; VARIABILITY; DEPOSITION; SEAWEEDS; WATERS</t>
  </si>
  <si>
    <t>Massive strandings of seaweeds on the eastern coasts of the Yucat ' an peninsula, Mexico have become a major socioecological problem, creating the need for establishing a baseline monitoring program in the region. A citizen science initiative, Big Seaweed Search Mexico (BSS-Mx), was developed to monitor temporal changes in the biomass stranded (abundance and species composition) in the Yucat ' an peninsula. The initiative was tested in two regions; Puerto Morelos, Quintana Roo, where massive strandings of Sargassum have caused severe socioecological impacts, and Sisal, Yucat ' an, where there is scarce information about the species composition of the strandings and their seasonal dynamics. Even the different socioeconomic and ecological context of these regions, the public participation in close collaboration with research scientists allowed detection of the temporal changes in the abundance and species composition of the strandings in both locations over a period of ten months. A total of 45 taxa were identified in Puerto Morelos, from which pelagic Sargassum and a seagrass were dominant for most time of the year; whereas 58 taxa were identified in Sisal, observing a higher diversity dominated by red seaweeds, with dominant taxa changing seasonally. The results represent baseline information that should be considered to develop management strategies and marine conservation actions according to each region. The findings highlight the role of citizen science as a potential tool to conduct large-scale and long-term monitoring and stimulate public participation to address environmental issues.</t>
  </si>
  <si>
    <t>[Valzauez-Delfin, Erika; Galindo-De Santiago, Carmen; Paredes-Chi, Arely; Rios-Vazquez, Ameyalli] Escuela Nacl Estudios Super, Unidad Merida ENES Merida, UNAM, Merida, Yucatan, Mexico; [Valzauez-Delfin, Erika] Dept Recursos Mar, Lab Ficol Aplicada, CINVESTAV, Merida, Yucatan, Mexico; [Galindo-De Santiago, Carmen; Paredes-Chi, Arely] Fac Ciencias, Unidad Multidisciplinaria Docencia Invest, Sisal, UNAM, Merida, Yucatan, Mexico; [Paredes-Chi, Arely] Consejo Nacl Ciencia &amp; Tecnol CONACYT, Mexico City, Mexico; [Benavides-Lahnstein, Ana] Nat Hist Museum, Angela Marmont Ctr UK Biodivers, London, England; [Khatun, Kaysara] Univ Greenwich, Fac Engn &amp; Sci, Nat Resources Inst, Medway, England; [Brodie, Juliet] Nat Hist Museum, Sci, London, England; [Valzauez-Delfin, Erika; Paredes-Chi, Arely] UNAM, Escuela Nacl Estudios Super, Unidad Merida ENES Merida, Tablaje Catastral N 6998,Carretera Merida Tetiz Km, Merida, Yucatan, Mexico</t>
  </si>
  <si>
    <t>Universidad Nacional Autonoma de Mexico; CINVESTAV - Centro de Investigacion y de Estudios Avanzados del Instituto Politecnico Nacional; Universidad Nacional Autonoma de Mexico; Consejo Nacional de Ciencia y Tecnologia (CONACyT); Natural History Museum London; University of Greenwich; Natural History Museum London; Universidad Nacional Autonoma de Mexico</t>
  </si>
  <si>
    <t>Válzauez-Delfín, E; Paredes-Chi, A (corresponding author), UNAM, Escuela Nacl Estudios Super, Unidad Merida ENES Merida, Tablaje Catastral N 6998,Carretera Merida Tetiz Km, Merida, Yucatan, Mexico.</t>
  </si>
  <si>
    <t>erika.vazquez@cinvestav.mx; paredes.arely@ciencias.unam.mx</t>
  </si>
  <si>
    <t>Vázquez-Delfín, Erika/HGB-4441-2022; Benavides Lahnstein, Ana Ilse/X-1519-2019; Paredes-Chi, Arely Anahy/KEH-8482-2024</t>
  </si>
  <si>
    <t>Vázquez-Delfín, Erika/0000-0003-3667-8473; Khatun, Kaysara/0000-0002-9304-9334; Paredes-Chi, Arely Anahy/0000-0001-8010-3808</t>
  </si>
  <si>
    <t>Natural History Museum, UK; Natural History Museum and University of Greenwich; University Research Ethics Committee from ENES-UNAM-Merida [001/INV/2022]; Natural Resources Institute, University of Greenwich [UREC/21.2.7.16]</t>
  </si>
  <si>
    <t>Natural History Museum, UK; Natural History Museum and University of Greenwich; University Research Ethics Committee from ENES-UNAM-Merida; Natural Resources Institute, University of Greenwich</t>
  </si>
  <si>
    <t>BSSMx is based on the Big Seaweed Search project from the Natural History Museum, UK. Authors acknowledge the Natural History Museum and University of Greenwich for the support during the realization of the project. This project was approved for the University Research Ethics Committee from ENES-UNAM-Merida (001/INV/2022) and Natural Resources Institute, University of Greenwich (UREC/21.2.7.16) . We especially thank the citizen volunteers involved during the implementation of this project that made possible this work, as well as Jesus Aragon and undergraduate students for their support in field work; Eden Magana for the support in managing the use of facilities of Unidad Academica de Sistemas Arrecifales (UASA) , UNAM; and Lucy Robinson and Jessica Wardlaw for their valuable comments and support during the development of the project.</t>
  </si>
  <si>
    <t>10.1016/j.aquabot.2023.103728</t>
  </si>
  <si>
    <t>AL0Z9</t>
  </si>
  <si>
    <t>WOS:001118516500001</t>
  </si>
  <si>
    <t>Shah, SMA; Casado-Mansilla, D; López-de-Ipiña, D</t>
  </si>
  <si>
    <t>Shah, Syed Mohsin Ali; Casado-Mansilla, Diego; Lopez-de-Ipina, Diego</t>
  </si>
  <si>
    <t>An Image-Based Sensor System for Low-Cost Airborne Particle Detection in Citizen Science Air Quality Monitoring</t>
  </si>
  <si>
    <t>SENSORS</t>
  </si>
  <si>
    <t>air pollution; image processing; citizen science; synthetic data; data quantification; environmental monitoring</t>
  </si>
  <si>
    <t>Air pollution poses significant public health risks, necessitating accurate and efficient monitoring of particulate matter (PM). These organic compounds may be released from natural sources like trees and vegetation, as well as from anthropogenic, or human-made sources including industrial activities and motor vehicle emissions. Therefore, measuring PM concentrations is paramount to understanding people's exposure levels to pollutants. This paper introduces a novel image processing technique utilizing photographs/pictures of Do-it-Yourself (DiY) sensors for the detection and quantification of PM10 particles, enhancing community involvement and data collection accuracy in Citizen Science (CS) projects. A synthetic data generation algorithm was developed to overcome the challenge of data scarcity commonly associated with citizen-based data collection to validate the image processing technique. This algorithm generates images by precisely defining parameters such as image resolution, image dimension, and PM airborne particle density. To ensure these synthetic images mimic real-world conditions, variations like Gaussian noise, focus blur, and white balance adjustments and combinations were introduced, simulating the environmental and technical factors affecting image quality in typical smartphone digital cameras. The detection algorithm for PM10 particles demonstrates robust performance across varying levels of noise, maintaining effectiveness in realistic mobile imaging conditions. Therefore, the methodology retains sufficient accuracy, suggesting its practical applicability for environmental monitoring in diverse real-world conditions using mobile devices.</t>
  </si>
  <si>
    <t>[Shah, Syed Mohsin Ali] Univ Deusto, DeustoTech, Bilbao 48007, Spain; [Casado-Mansilla, Diego; Lopez-de-Ipina, Diego] Univ Deusto, Fac Engn, Bilbao 48007, Spain</t>
  </si>
  <si>
    <t>University of Deusto; University of Deusto</t>
  </si>
  <si>
    <t>Shah, SMA (corresponding author), Univ Deusto, DeustoTech, Bilbao 48007, Spain.</t>
  </si>
  <si>
    <t>syedmohsinali.shah@deusto.es; dcasado@deusto.es; dipina@deusto.es</t>
  </si>
  <si>
    <t>López-de-Ipiña, Diego/A-9651-2012; Ali Shah, Syed Mohsin/KIH-7045-2024; Casado-Mansilla, Diego/C-3371-2012</t>
  </si>
  <si>
    <t>López-de-Ipiña, Diego/0000-0001-8055-6823; Ali Shah, Syed Mohsin/0000-0003-2133-6331; Casado-Mansilla, Diego/0000-0002-1070-7494</t>
  </si>
  <si>
    <t>Spain's Ministry of Science and Innovation [2020-119682RB-I00]; Internet of People project - Spain's Ministry of Science and Innovation [FCT-23-19719, IT1582-22]; FECYT; A grade research team of the Basque University System</t>
  </si>
  <si>
    <t>Spain's Ministry of Science and Innovation(Spanish Government); Internet of People project - Spain's Ministry of Science and Innovation; FECYT; A grade research team of the Basque University System</t>
  </si>
  <si>
    <t>This research is sponsored by the Internet of People project, funded by Spain's Ministry of Science and Innovation (Grant No. PID 2020-119682RB-I00), the AmIAire project, funded by FECYT (FCT-23-19719) and the DEUSTOTECH (IT1582-22) grant from the A grade research team of the Basque University System.</t>
  </si>
  <si>
    <t>1424-8220</t>
  </si>
  <si>
    <t>SENSORS-BASEL</t>
  </si>
  <si>
    <t>Sensors</t>
  </si>
  <si>
    <t>10.3390/s24196425</t>
  </si>
  <si>
    <t>Chemistry, Analytical; Engineering, Electrical &amp; Electronic; Instruments &amp; Instrumentation</t>
  </si>
  <si>
    <t>Chemistry; Engineering; Instruments &amp; Instrumentation</t>
  </si>
  <si>
    <t>J0M0L</t>
  </si>
  <si>
    <t>WOS:001334087800001</t>
  </si>
  <si>
    <t>Ovide, BG; Barbaccia, E; Lorenz, C; Basran, CJ; Cirino, E; Syberg, K; Rasmussen, MH</t>
  </si>
  <si>
    <t>Ovide, Belen G.; Barbaccia, Eleonora; Lorenz, Claudia; Basran, Charla J.; Cirino, Erica; Syberg, Kristian; Rasmussen, Marianne H.</t>
  </si>
  <si>
    <t>Validating citizen science for community-driven microplastic monitoring and marine protection in Northeast Iceland's Hope Spot</t>
  </si>
  <si>
    <t>Plastic pollution; LADI; AVANI; Trawls; Participatory science; Ocean conservation; Coastal ecosystems; Sub-Arctic ecosystems</t>
  </si>
  <si>
    <t>FULMAR FULMARUS-GLACIALIS; PLASTIC INGESTION; 1ST EVIDENCE; ABUNDANCE; DEBRIS; CONTAMINATION; POLLUTION; TRAWL</t>
  </si>
  <si>
    <t>Governments are increasingly monitoring meso- and microplastic (M/MP) pollution in surface waters to develop cost-effective solutions. While citizen science is widely used in programs like the EU's Marine Litter Watch and NOAA's sampling in the U.S., these efforts primarily focus on macro litter, leaving gaps in M/MP data, especially in under-sampled regions like Icelandic waters. This study addresses this gap through a citizen science initiative (2019-2023) that monitored M/MP pollution in the Northeast Iceland Hope Spot. Fifty-eight trawl samples were collected from whale-watching and expedition vessels using a low-tech aquatic debris instrument (LADI) or a high-speed AVANI trawl. M/MP were present in 86 % of samples, with an average density of 0.02 f 0.03 particles/m3. Concentrations varied significantly between sites (p = 0.005), peaking in Gr &amp; iacute;msey (0.070 f 0.03 particles/m3), followed by Eyjafjor &amp; eth;ur (0.006 f 0.04 particles/m3) and Skjalfandi Bay (0.004 f 0.03 particles/ m3). Mesoplastics comprised 44 % and microplastics 56 %, primarily polyethylene (47 %) and polypropylene (39 %)-common materials in fishing gear and household plastics. These findings suggest that local currents and fishing activities influence M/MP distribution. Comparison with previous studies validates the use of the presented citizen science methods for tracking floating M/MP in coastal waters and highlights their value in shaping marine conservation policies, particularly in vulnerable subarctic ecosystems.</t>
  </si>
  <si>
    <t>[Ovide, Belen G.; Basran, Charla J.; Rasmussen, Marianne H.] Univ Icelands, Husavik Res Ctr, Hafnarstett 3, IS-640 Husavik, Iceland; [Barbaccia, Eleonora] Politecn Milan, DICA Civil &amp; Environm Engn Dept, Piazza Leonardo Vinci 32, I-20133 Milan, MI, Italy; [Lorenz, Claudia; Syberg, Kristian] Roskilde Univ, Dept Sci &amp; Environm, Roskilde, Denmark; [Cirino, Erica] Plast Pollut Coalit, 4401A Connecticut Ave NW 143, Washington, DC 20008 USA</t>
  </si>
  <si>
    <t>Polytechnic University of Milan; Roskilde University</t>
  </si>
  <si>
    <t>Ovide, BG (corresponding author), Univ Icelands, Husavik Res Ctr, Hafnarstett 3, IS-640 Husavik, Iceland.</t>
  </si>
  <si>
    <t>bgo4@hi.is; eleonora.barbaccia@polimi.it; lorenz@ruc.dk; cjbasran@hi.is; erica.cirino@plasticpollutioncoalition.org; ksyberg@ruc.dk; mhr@hi.is</t>
  </si>
  <si>
    <t>Lorenz, Claudia/AAL-7956-2021; BARBACCIA, ELEONORA/LQI-9426-2024; Syberg, Kristian/HOA-9759-2023</t>
  </si>
  <si>
    <t>Lorenz, Claudia/0000-0002-7898-7728; BARBACCIA, ELEONORA/0009-0004-7572-4932;</t>
  </si>
  <si>
    <t>Biodiversa+; European Biodiversity Partnership; European Commission [101052342]; Icelandic Center for Research (RANNIS) [229030]; Ministry of Universities and Research (MUR); Velux Foundation; National Health and Medical Research Council (NHMRC) [229030] Funding Source: National Health and Medical Research Council (NHMRC)</t>
  </si>
  <si>
    <t>Biodiversa+; European Biodiversity Partnership; European Commission(European Union (EU)European Commission Joint Research Centre); Icelandic Center for Research (RANNIS); Ministry of Universities and Research (MUR)(Ministry of Education, Universities and Research (MIUR)); Velux Foundation(Velux Fonden); National Health and Medical Research Council (NHMRC)(National Health &amp; Medical Research Council (NHMRC) of Australia)</t>
  </si>
  <si>
    <t>This research was funded by Biodiversa+, the European Biodiversity Partnership, in the context of the eWHALE project under the 2021-2022 BiodivProtect joint call. It was co-funded by the European Commission (GA No. 101052342) and the following funding organizations: 1) The Icelandic Center for Research (RANNIS), (Grant No. 229030), 2) Ministry of Universities and Research (MUR), from the FIRST and IGRUE special account relating to the European partnership Biodiversa+ Call 2021 - eWHALE project. Additionally, this study is conducted as part of the MarinePlastic II project, supported by funding from the Velux Foundation, in Denmark.</t>
  </si>
  <si>
    <t>10.1016/j.marpolbul.2025.117638</t>
  </si>
  <si>
    <t>X6H1H</t>
  </si>
  <si>
    <t>WOS:001426325300001</t>
  </si>
  <si>
    <t>Diviacco, P; Nadali, A; Iurcev, M; Carbajales, R; Busato, A; Pavan, A; Burca, M; Grio, L; Nolich, M; Molinaro, A; Malfatti, F</t>
  </si>
  <si>
    <t>Diviacco, Paolo; Nadali, Antonio; Iurcev, Massimiliano; Carbajales, Rodrigo; Busato, Alessandro; Pavan, Alessandro; Burca, Mihai; Grio, Lorenzo; Nolich, Massimiliano; Molinaro, Andrea; Malfatti, Francesca</t>
  </si>
  <si>
    <t>MaDCrow, a Citizen Science Infrastructure to Monitor Water Quality in the Gulf of Trieste (North Adriatic Sea)</t>
  </si>
  <si>
    <t>crowdsourcing; citizen science (CS); sea water quality; infrastructure; environmental awareness; Gulf of Trieste (North Adriatic Sea)</t>
  </si>
  <si>
    <t>MICROTIDAL DELTAIC SYSTEM; PH; DISCHARGES; HEALTH; MEDIA</t>
  </si>
  <si>
    <t>Within the United Nations Sustainable Development 2030 agenda, sustainable growth in the marine and maritime sector needs sea water quality monitoring. This is a very demanding and expensive task which results in the sea being largely undersampled. MaDCrow is a research and development project supported by the European Regional Development Fund, that involves citizens as data collectors while aiming to improve public environmental awareness and participation in scientific research. Its goal is to create an innovative technological infrastructure for real-time acquisition, integration and access of data, thus generating knowledge on sea water quality and marine ecosystem of the Gulf of Trieste. Data acquisition is based on an autonomous and removable device, developed within the project, that can be deployed on any small size sailing boat, recreational vessel, or fishing boat. The device holds low-cost sensors to measure pH, temperature, dissolved oxygen and salinity and the hardware and software to acquire, georeference and transmit the environmental data without interfering with the activities of the boats. In this work we analyze the use, capabilities and advantages of low-cost sensors but also their limitations, comparing, with a special focus on pH, their performances with those of the traditional ones. Applying the paradigm in a highly anthropized area such as the Gulf of Trieste, which is characterized also by a very high spatial and temporal variability of environments, we point out that this new approach allows to monitor sea water quality and highlight local anomalies with a resolution and spatial and temporal coverage that was not achievable with previous procedures, but yet at very low costs. Once received, data are then processed and submitted to a mediation flow that contextualizes and disseminates them for public use on a website. The final products have been customized to reach stakeholders such as tourists, fishermen and policy makers. The availability of information understandable to everyone, while fostering environmental awareness, stimulates, at the same time, involvement and participation of citizen scientists in the initiative. In the future, while committing to enlarge the number of participants, we will extend the analysis also toward other types of sensors.</t>
  </si>
  <si>
    <t>[Diviacco, Paolo; Iurcev, Massimiliano; Carbajales, Rodrigo; Busato, Alessandro; Pavan, Alessandro; Burca, Mihai; Malfatti, Francesca] Natl Inst Oceanog &amp; Appl Geophys, Trieste, Italy; [Nadali, Antonio; Grio, Lorenzo] Transpobank, Trieste, Italy; [Nolich, Massimiliano; Malfatti, Francesca] Univ Trieste, Dipartimento Ingn &amp; Architettura, Trieste, Italy; [Molinaro, Andrea] Studio Peloso Assoc, Udine, Italy; [Malfatti, Francesca] Univ Calif San Diego, Scripps Inst Oceanog, CASPO, La Jolla, CA 92093 USA</t>
  </si>
  <si>
    <t>Istituto Nazionale di Oceanografia e di Geofisica Sperimentale; University of Trieste; University of California System; University of California San Diego; Scripps Institution of Oceanography</t>
  </si>
  <si>
    <t>Diviacco, P (corresponding author), Natl Inst Oceanog &amp; Appl Geophys, Trieste, Italy.</t>
  </si>
  <si>
    <t>pdiviacco@inogs.it</t>
  </si>
  <si>
    <t>; BURCA, MIHAI/HRA-4615-2023; Iurcev, Massimiliano/LPP-6646-2024</t>
  </si>
  <si>
    <t>Grio, Lorenzo/0000-0002-5086-7281; Diviacco, Paolo/0000-0001-9404-9611; Carbajales, Roigo Jose/0000-0003-0705-3626; BURCA, MIHAI/0000-0002-2118-4887; Iurcev, Massimiliano/0000-0003-2958-3134</t>
  </si>
  <si>
    <t>POR ERDF/FESR 2014-2020, DGR FVG [849]</t>
  </si>
  <si>
    <t>POR ERDF/FESR 2014-2020, DGR FVG</t>
  </si>
  <si>
    <t>The MaDCrow project has been funded by POR ERDF/FESR 2014-2020, DGR FVG n. 849, 13/5/2015.</t>
  </si>
  <si>
    <t>10.3389/fmars.2021.619898</t>
  </si>
  <si>
    <t>UG8RY</t>
  </si>
  <si>
    <t>WOS:000689513300001</t>
  </si>
  <si>
    <t>Albus, KH; Thompson, R; Mitchell, F; Kennedy, J; Ponette-González, AG</t>
  </si>
  <si>
    <t>Albus, Kelly Hibbeler; Thompson, Ruthanne; Mitchell, Forrest; Kennedy, James; Ponette-Gonzalez, Alexandra G.</t>
  </si>
  <si>
    <t>Accuracy of long-term volunteer water monitoring data: A multiscale analysis from a statewide citizen science program</t>
  </si>
  <si>
    <t>ECOLOGICAL RESEARCH; DATA QUALITY; TOOL; FLORIDA</t>
  </si>
  <si>
    <t>An increasing number of citizen science water monitoring programs is continuously collecting water quality data on streams throughout the United States. Operating under quality assurance protocols, this type of monitoring data can be extremely valuable for scientists and professional agencies, but in some cases has been of limited use due to concerns about the accuracy of data collected by volunteers. Although a growing body of studies attempts to address accuracy concerns by comparing volunteer data to professional data, rarely has this been conducted with large-scale datasets generated by citizen scientists. This study assesses the relative accuracy of volunteer water quality data collected by the Texas Stream Team (TST) citizen science program from 1992-2016 across the State of Texas by comparing it to professional data from corresponding stations during the same time period. Use of existing data meant that sampling times and protocols were not controlled for, thus professional and volunteer comparisons were refined to samples collected at stations within 60 meters of one another and during the same year. Results from the statewide TST dataset include 82 separate station/year ANOVAs and demonstrate that large-scale, existing volunteer and professional data with unpaired samples can show agreement of similar to 80% for all analyzed parameters (DO = 77%, pH = 79%, conductivity = 85%). In addition, to assess whether limiting variation within the source datasets increased the level of agreement between volunteers and professionals, data were analyzed at a local scale. Data from a single partner city, with increased controls on sampling times and locations and correction of a systematic bias in DO, confirmed this by showing an even greater agreement of 91% overall from 2009-2017 (DO = 91%, pH = 83%, conductivity = 100%). An experimental sampling dataset was analyzed and yielded similar results, indicating that existing datasets can be as accurate as experimental datasets designed with researcher supervision. Our findings underscore the reliability of large-scale citizen science monitoring datasets already in existence, and their potential value to scientific research and water management programs.</t>
  </si>
  <si>
    <t>[Albus, Kelly Hibbeler; Thompson, Ruthanne; Kennedy, James] Univ North Texas, Dept Biol, Denton, TX 76203 USA; [Mitchell, Forrest] Texas A&amp;M Univ, Dept Entomol, College Stn, TX 77843 USA; [Ponette-Gonzalez, Alexandra G.] Univ North Texas, Dept Geog &amp; Environm, Denton, TX 76203 USA</t>
  </si>
  <si>
    <t>University of North Texas System; University of North Texas Denton; Texas A&amp;M University System; Texas A&amp;M University College Station; University of North Texas System; University of North Texas Denton</t>
  </si>
  <si>
    <t>Thompson, R (corresponding author), Univ North Texas, Dept Biol, Denton, TX 76203 USA.</t>
  </si>
  <si>
    <t>ruthanne.thompson@unt.edu</t>
  </si>
  <si>
    <t>Thompson, Ruthanne/0000-0002-3314-3273; Albus, Kelly/0000-0001-9642-0859</t>
  </si>
  <si>
    <t>JAN 29</t>
  </si>
  <si>
    <t>e0227540</t>
  </si>
  <si>
    <t>10.1371/journal.pone.0227540</t>
  </si>
  <si>
    <t>LP9AX</t>
  </si>
  <si>
    <t>WOS:000534609400023</t>
  </si>
  <si>
    <t>Yildiz, G</t>
  </si>
  <si>
    <t>Yildiz, Gozde</t>
  </si>
  <si>
    <t>Towards sponge landscapes through citizen science: participatory monitoring for nature-based solutions in the Ombrone River Basin</t>
  </si>
  <si>
    <t>PLANNING PRACTICE AND RESEARCH</t>
  </si>
  <si>
    <t>Sponge landscape planning; citizen science; nature-based solutions; participatory monitoring; ecological resilience</t>
  </si>
  <si>
    <t>URBAN WATER MANAGEMENT</t>
  </si>
  <si>
    <t>'Sponge' and 'nature-based solutions' (NBS) provide innovative methodologies for managing river corridors and enhancing ecological resilience. Recent participatory initiatives in the Ombrone River Basin have been analysed, wherein participatory monitoring approaches have been utilised to evaluate, conserve, and restore river ecosystems and biodiversity. By elucidating the prospects and challenges encountered during these participatory initiatives, this study provides insights for policymakers, scientists, and planners to transform monitoring activities into practical sponge strategies. The findings emphasise the necessity of a holistic approach to sponge studies and underscore the potential and challenges of citizen science in developing sponge measures and re-evaluating river agreements.</t>
  </si>
  <si>
    <t>[Yildiz, Gozde] Univ Siena, Dept Social Polit &amp; Cognit Sci, Arezzo, Italy</t>
  </si>
  <si>
    <t>Yildiz, G (corresponding author), Univ Siena, Dept Social Polit &amp; Cognit Sci, Arezzo, Italy.</t>
  </si>
  <si>
    <t>gozde.yildiz@unisi.it</t>
  </si>
  <si>
    <t>YILDIZ, GOZDE/JQV-3090-2023</t>
  </si>
  <si>
    <t>YILDIZ, GOZDE/0000-0003-3757-780X</t>
  </si>
  <si>
    <t>National Recovery and Resilience Plan (NRRP) of Italian Ministry of University and Research - European Union-NextGenerationEU [CN_00000033]; Italian Ministry of University and Research [B63C22000650007]</t>
  </si>
  <si>
    <t>National Recovery and Resilience Plan (NRRP) of Italian Ministry of University and Research - European Union-NextGenerationEU; Italian Ministry of University and Research(Ministry of Education, Universities and Research (MIUR))</t>
  </si>
  <si>
    <t>The project presented in this paper is funded under the National Recovery and Resilience Plan (NRRP), Mission 4 Component 2 Investment 1.4 - Call for tender No. 3138 of 16 December 2021, rectified by Decree n. 3175 of 18 December 2021 of Italian Ministry of University and Research funded by the European Union-NextGenerationEU. Project code [CN_00000033], Concession Decree No. 1034 of 17 June 2022 adopted by the Italian Ministry of University and Research, CUP [B63C22000650007], Project title National Biodiversity Future Center - NBFC.</t>
  </si>
  <si>
    <t>0269-7459</t>
  </si>
  <si>
    <t>1360-0583</t>
  </si>
  <si>
    <t>PLAN PRACT RES</t>
  </si>
  <si>
    <t>Plan. Pract. Res.</t>
  </si>
  <si>
    <t>JUL 4</t>
  </si>
  <si>
    <t>10.1080/02697459.2025.2495613</t>
  </si>
  <si>
    <t>5DU7G</t>
  </si>
  <si>
    <t>WOS:001477868100001</t>
  </si>
  <si>
    <t>Hung, CT; Ibrahim, ST; Katapally, TR</t>
  </si>
  <si>
    <t>Hung, Caitlin; Ibrahim, Sheriff Tolulope; Katapally, Tarun Reddy</t>
  </si>
  <si>
    <t>Exploring ethical monitoring of physical activity behaviors among adults: a Smart Platform study operationalizing digital citizen science</t>
  </si>
  <si>
    <t>Digital citizen science; Adults; Measurement; Physical activity; Health behaviors</t>
  </si>
  <si>
    <t>SELF-DETERMINATION; OLDER-ADULTS; MOTIVATION; HEALTH; PARTICIPATION; ENVIRONMENT; EXERCISE; OUTLIERS; TIME; HOME</t>
  </si>
  <si>
    <t>Background According to the World Health Organization, 27% of adults do not meet the recommended daily levels of physical activity (PA), making accurate PA measurement essential for informing evidence-based policies. This study explores ethical engagement with citizens through their ubiquitous digital tools (i.e., smartphones) to examine variations between retrospectively and prospectively reported PA behaviors within the same cohort. Methods This study is part of the Smart Platform, a digital citizen science initiative for ethical monitoring and real-time intervention. Data were collected from 118 adults who participated over eight consecutive days, including both weekdays and weekends. Prospective PA was assessed using time-triggered ecological assessments, while retrospective PA was measured using a modified, time-triggered, smartphone-based validated tool. Paired sample t-tests were used to compare retrospective and prospective PA. Linear regression models examined associations between socio-demographic and contextual factors and both types of PA reporting. Analyses were conducted for the overall sample and by gender (male vs. female). Results Participants consistently reported higher PA through retrospective measures compared to prospective ones (p &lt; 0.001). In the overall sample, one significant association was found in the retrospective model, while three were identified in the prospective model. Among males, those who engaged in PA for fun or to maintain physical health reported higher retrospective PA, though this was not significant in the prospective model. In contrast, female participants who engaged in PA for fun reported higher PA in both retrospective and prospective models. Conclusions Although exploratory, early findings suggest that repeated, prospective assessments via ubiquitous digital devices may enhance the validity and reliability of PA measurement. As citizen-owned digital tools become increasingly widespread, ethically leveraging big data through digital citizen science offers a promising approach to improve PA monitoring and support public health efforts.</t>
  </si>
  <si>
    <t>[Hung, Caitlin; Ibrahim, Sheriff Tolulope; Katapally, Tarun Reddy] Univ Western Ontario, Fac Hlth Sci, Sch Hlth Studies, DEPtH Lab, London, ON, Canada; [Ibrahim, Sheriff Tolulope; Katapally, Tarun Reddy] Childrens Hlth Res Inst, Lawson Hlth Res Inst, London, ON, Canada; [Katapally, Tarun Reddy] Univ Western Ontario, Schulich Sch Med &amp; Dent, Dept Epidemiol &amp; Biostat, London, ON, Canada</t>
  </si>
  <si>
    <t>Western University (University of Western Ontario); Western University (University of Western Ontario); University Western Ontario Hospital; Western University (University of Western Ontario)</t>
  </si>
  <si>
    <t>Katapally, TR (corresponding author), Univ Western Ontario, Fac Hlth Sci, Sch Hlth Studies, DEPtH Lab, London, ON, Canada.;Katapally, TR (corresponding author), Childrens Hlth Res Inst, Lawson Hlth Res Inst, London, ON, Canada.;Katapally, TR (corresponding author), Univ Western Ontario, Schulich Sch Med &amp; Dent, Dept Epidemiol &amp; Biostat, London, ON, Canada.</t>
  </si>
  <si>
    <t>Canada Research Chair</t>
  </si>
  <si>
    <t>Canada Research Chair(Natural Resources CanadaCanadian Forest ServiceCanada Research Chairs)</t>
  </si>
  <si>
    <t>This study was funded by the Canada Research Chair which supports Tarun Katapally's work. The funders had no role in study design, data collection and analysis, decision to publish, or preparation of the manuscript.</t>
  </si>
  <si>
    <t>AUG 18</t>
  </si>
  <si>
    <t>e19793</t>
  </si>
  <si>
    <t>10.7717/peerj.19793</t>
  </si>
  <si>
    <t>7EK4G</t>
  </si>
  <si>
    <t>WOS:001569055400001</t>
  </si>
  <si>
    <t>Corbari, C; Paciolla, N; Ben Charfi, I; Skokovic, D; Sobrino, JA; Woods, M</t>
  </si>
  <si>
    <t>Corbari, Chiara; Paciolla, N.; Ben Charfi, I; Skokovic, D.; Sobrino, J. A.; Woods, M.</t>
  </si>
  <si>
    <t>Citizen science supporting agricultural monitoring with hundreds of low-cost sensors in comparison to remote sensing data</t>
  </si>
  <si>
    <t>EUROPEAN JOURNAL OF REMOTE SENSING</t>
  </si>
  <si>
    <t>Multiple remote sensing data; citizen science; low-cost sensors; soil moisture; irrigation water needs</t>
  </si>
  <si>
    <t>LEAF-AREA INDEX; SOIL-MOISTURE; SMART AGRICULTURE; WATER; LANDSAT; VALIDATION; RETRIEVAL; FREQUENCY; PRODUCTS; YIELD</t>
  </si>
  <si>
    <t>The ever-increasing importance of irrigation monitoring and water-use optimization in agriculture calls for new solutions for a more complete understanding of the plant growth dynamic and the agricultural water cycle. In this study, the fitness for use of the Flower Power low-cost sensors, not designed for scientific applications, is evaluated in an integrated agricultural monitoring context in contrast to freely available satellite information from Landsat 8, Sentinel 1 and 2. Measurements of air temperature, solar radiation, leaf area index (LAI) and soil moisture are considered. 456 sensors have been deployed in the Capitanata Irrigation Consortium (Italy) as part of the GROW Observatory project with local farmers collaborating as citizen scientists to either deploy these sensors, monitor the environmental variables and control irrigation management. The main results are: (i) positive agreement between Flower Power sensors and high-quality professional stations for measurements of meteorological variables (5.6 degrees C RMSE for Air Temperature); (ii) acceptable estimates of crops LAI (RMSE = 0.55 m(2) m(-2)) and mixed ones of Surface Soil Moisture (m = 0.75, R-2 = 0.23) from Flower Power sensors in respect to different satellite data; (iii) potentiality of these sensors combined with remote sensing in providing suitable tools for irrigation management.</t>
  </si>
  <si>
    <t>[Corbari, Chiara; Paciolla, N.; Ben Charfi, I] Politecn Milan, Dept Civil &amp; Environm Engn, Milan, Italy; [Skokovic, D.; Sobrino, J. A.] Univ Valencia, Image Proc Lab IPL, Valencia, Spain; [Woods, M.] Univ Dundee, Duncan Jordanstone Coll Art &amp; Design, Dundee, Scotland</t>
  </si>
  <si>
    <t>Polytechnic University of Milan; University of Valencia; University of Dundee</t>
  </si>
  <si>
    <t>Corbari, C (corresponding author), Politecn Milan, Piazza Leonardo da Vinci 32, I-20133 Milan, Italy.</t>
  </si>
  <si>
    <t>chiara.corbari@polimi.it</t>
  </si>
  <si>
    <t>Skokovic, Drazen/AAE-9123-2021; Paciolla, Nicola/AAC-3493-2022; Sobrino, Jose A/M-1585-2014; Corbari, Chiara/AFU-6999-2022</t>
  </si>
  <si>
    <t>Woods, Mel/0000-0002-5507-0976; Sobrino, Jose A/0000-0003-3787-9373; Corbari, Chiara/0000-0002-1490-3847</t>
  </si>
  <si>
    <t>ERANETMED EU</t>
  </si>
  <si>
    <t>ERANETMED EU(European Union (EU))</t>
  </si>
  <si>
    <t>This work was supported by the European H2020 [GROW Observatory project]; ERANETMED EU [RET-SIF project].</t>
  </si>
  <si>
    <t>2279-7254</t>
  </si>
  <si>
    <t>EUR J REMOTE SENS</t>
  </si>
  <si>
    <t>Eur. J. Remote Sens.</t>
  </si>
  <si>
    <t>DEC 31</t>
  </si>
  <si>
    <t>10.1080/22797254.2022.2084643</t>
  </si>
  <si>
    <t>Remote Sensing</t>
  </si>
  <si>
    <t>2B5HA</t>
  </si>
  <si>
    <t>WOS:000810217900001</t>
  </si>
  <si>
    <t>Soja, SM; Wegener, R; Kille, N; Castell, S</t>
  </si>
  <si>
    <t>Soja, Sara-Marie; Wegener, Robert; Kille, Natalie; Castell, Stefanie</t>
  </si>
  <si>
    <t>Merging citizen science with epidemiology: design of a prospective feasibility study of health events and air pollution in Cologne, Germany</t>
  </si>
  <si>
    <t>PILOT AND FEASIBILITY STUDIES</t>
  </si>
  <si>
    <t>Citizen science; Acute respiratory infections; COVID-19; Feasibility study; Air pollution; Symptom monitoring; m; eHealth; eResearch; Low-cost sensor; Sensor network</t>
  </si>
  <si>
    <t>LOWER RESPIRATORY-INFECTIONS; ELECTROCHEMICAL SENSORS; LOW-COST; QUALITY; STATE</t>
  </si>
  <si>
    <t>Background Citizen science as an approach to merge society and science is not a new paradigm. Yet it is not common in public health, epidemiology, or medical sciences. SMARAGD (Sensors for Measuring Aerosols and ReActive Gases to Deduce health effects) assesses air pollution at participants' homes or workplaces in Cologne, Germany, as feasibility study with a citizen science approach. Personal exposure to air pollutants is difficult to study, because the distribution of pollutants is heterogeneous, especially in urban areas. Targeted data collection allows to establish connections between air pollutant concentration and the health of the study population. Air pollution is among the most urgent health risks worldwide. Yet links of individualized pollution levels and respiratory infections remain to be validated, which also applies for the feasibility of the citizen science approach for epidemiological studies. Methods We co-designed a prospective feasibility study with two groups of volunteers from Cologne, Germany. These citizen scientists and researchers determined that low-cost air-quality sensors (hereafter low-cost sensors) were to be mounted at participants' homes/workplaces to acquire stationary data. The advantage of deploying low-cost sensors is the achievable physical proximity to the participants providing health data. Recruitment started in March 2021 and is currently ongoing (as of 09/22). Sensor units specifically developed for this study using commercially available electronic sensor components will measure particulate matter and trace gases such as ozone, nitrogen oxides, and carbon monoxide. Health data are collected using the eResearch system Prospective Management and Monitoring-App (PIA). Due to the ongoing SARS-CoV-2 pandemic, we also focus on COVID-19 as respiratory infection. Discussion Citizen science offers many benefits for science in general but also for epidemiological studies. It provides scientific information to society, enables scientific thinking in critical discourses, can counter anti-scientific ideologies, and takes into account the interests of society. However, it poses many challenges, as it requires extensive resources from researchers and society and can raise concerns regarding data protection and methodological challenges such as selection bias.</t>
  </si>
  <si>
    <t>[Soja, Sara-Marie; Castell, Stefanie] Helmholtz Ctr Infect Res, Dept Epidemiol, Inhoffenstr 7, D-38124 Braunschweig, Lower Saxony, Germany; [Wegener, Robert; Kille, Natalie] Forschungszentrum Julich, Inst Energy &amp; Climate Res, IEK 8 Troposphere, Wilhelm Johnen Str, D-52428 Julich, North Rhine Wes, Germany; [Castell, Stefanie] German Ctr Infect Res DZIF, Inhoffenstr 7, D-38124 Braunschweig, Lower Saxony, Germany</t>
  </si>
  <si>
    <t>Helmholtz Association; Helmholtz-Center for Infection Research; Helmholtz Association; Julich Research Centre; German Center for Infection Research</t>
  </si>
  <si>
    <t>Castell, S (corresponding author), Helmholtz Ctr Infect Res, Dept Epidemiol, Inhoffenstr 7, D-38124 Braunschweig, Lower Saxony, Germany.;Castell, S (corresponding author), German Ctr Infect Res DZIF, Inhoffenstr 7, D-38124 Braunschweig, Lower Saxony, Germany.</t>
  </si>
  <si>
    <t>stefanie.castell@helmholtz-hzi.de</t>
  </si>
  <si>
    <t>; Wegener, Robert/MIQ-1049-2025</t>
  </si>
  <si>
    <t>Castell, Stefanie/0000-0003-1762-8462; Wegener, Robert/0000-0003-2042-9333</t>
  </si>
  <si>
    <t>Projekt DEAL; Impulse and Networking Fund [CS-0010]</t>
  </si>
  <si>
    <t>Projekt DEAL; Impulse and Networking Fund</t>
  </si>
  <si>
    <t>Open Access funding enabled and organized by Projekt DEAL. The SMARAGD project is one of the Helmholtz Association's projects funded by the Impulse and Networking Fund with a focus on citizen science (reference number: CS-0010).</t>
  </si>
  <si>
    <t>2055-5784</t>
  </si>
  <si>
    <t>PILOT FEASIBILITY ST</t>
  </si>
  <si>
    <t>Pilot Feasibility Stud.</t>
  </si>
  <si>
    <t>FEB 22</t>
  </si>
  <si>
    <t>10.1186/s40814-023-01250-0</t>
  </si>
  <si>
    <t>Medicine, Research &amp; Experimental</t>
  </si>
  <si>
    <t>Research &amp; Experimental Medicine</t>
  </si>
  <si>
    <t>9D9WR</t>
  </si>
  <si>
    <t>WOS:000936447300001</t>
  </si>
  <si>
    <t>Sipe, HA; Keren, IN; Converse, SJ</t>
  </si>
  <si>
    <t>Sipe, Hannah A.; Keren, Ilai N.; Converse, Sarah J.</t>
  </si>
  <si>
    <t>Integrating community science and agency-collected monitoring data to expand monitoring capacity at large spatial scales</t>
  </si>
  <si>
    <t>breeding; Common Loons; community science data; data integration; eBird; Gavia immer; lakes; monitoring; multistate occupancy; species distribution models; Washington State</t>
  </si>
  <si>
    <t>ESTIMATING SITE OCCUPANCY; CITIZEN-SCIENCE; SPECIES OCCURRENCE; MULTIPLE STATES; COMMON LOONS; MODELS; DISTURBANCE; FRAMEWORK; DYNAMICS; SPACE</t>
  </si>
  <si>
    <t>Monitoring species to better understand their status, ecology, and management needs is a major expense for agencies tasked with biodiversity conservation. Community science data have the potential to improve monitoring for minimal cost, given appropriate analytical frameworks. We describe a framework for integrating data from the eBird community science platform with agency-collected monitoring data using a multistate occupancy model. Our model accounts for the structural differences across datasets and allows for estimation of both occupancy and breeding probabilities. The framework was applied to Common Loons (Gavia immer) in Washington State. A total of 766 sites had observation effort, of which 713 sites had only eBird effort, 26 sites had only Washington Department of Fish and Wildlife (WDFW) effort, and 27 sites had both. We predicted that the probability of occupancy was only 0.07 (95% Bayesian credible interval, BCI = 0.02-0.51) at the 2324 sites in our sampling frame, though the probability that Common Loons were breeding at occupied sites was 0.95 (95% BCI = 0.71-1.00). We found that probability of occupancy was positively related to waterbody size (probability of a positive effect = 0.88) and negatively related to an index of human influence (probability of a negative effect = 0.94). We found that probability of breeding at occupied sites was positively related to tree canopy cover (0.86), negatively related to elevation (0.99), and negatively related to barren, scrub/shrub, and herbaceous land cover (0.98). We found that state agency biologists were 16 times more likely to detect breeding Common Loons at a site than were eBird users (0.94, 95% BCI = 0.78-0.99 for agency biologists vs. 0.08, 95% BCI = 0.06-0.10 for eBird users). However, the amount of effort expended by eBird users meant that they confirmed Common Loons at 94 sites while agency biologists confirmed them at just 24 sites, although evidence of reproduction was only contributed by agency biologists. Our results provide a better understanding of the distribution of Common Loons in Washington, while further demonstrating that community science data can be a valuable complement to agency-collected data, if appropriate frameworks are developed to integrate these data sources.</t>
  </si>
  <si>
    <t>[Sipe, Hannah A.] Univ Washington, Quantitat Ecol &amp; Resource Management Program, Washington Cooperat Fish &amp; Wildlife Res Unit, Seattle, WA 98195 USA; [Keren, Ilai N.] Washington Dept Fish &amp; Wildlife, Olympia, WA USA; [Converse, Sarah J.] Univ Washington, Sch Environm &amp; Forest Sci, Washington Cooperat Fish &amp; Wildlife Res Unit, US Geol Survey, Seattle, WA USA; [Converse, Sarah J.] Univ Washington, Sch Aquat &amp; Fishery Sci, Seattle, WA USA</t>
  </si>
  <si>
    <t>University of Washington; University of Washington Seattle; Washington Department of Fish &amp; Wildlife (WDFW); University of Washington; University of Washington Seattle; United States Department of the Interior; United States Geological Survey; University of Washington; University of Washington Seattle</t>
  </si>
  <si>
    <t>Sipe, HA (corresponding author), Univ Washington, Quantitat Ecol &amp; Resource Management Program, Washington Cooperat Fish &amp; Wildlife Res Unit, Seattle, WA 98195 USA.</t>
  </si>
  <si>
    <t>sipeh@uw.edu</t>
  </si>
  <si>
    <t>University of Washington; Washington Cooperative Fish and Wildlife Research Unit; Washington Department of Fish and Wildlife; School of Environmental and Forest Sciences; School of Aquatic and Fishery Sciences</t>
  </si>
  <si>
    <t>University of Washington(University of Washington); Washington Cooperative Fish and Wildlife Research Unit; Washington Department of Fish and Wildlife; School of Environmental and Forest Sciences; School of Aquatic and Fishery Sciences</t>
  </si>
  <si>
    <t>e4585</t>
  </si>
  <si>
    <t>10.1002/ecs2.4585</t>
  </si>
  <si>
    <t>J6VZ0</t>
  </si>
  <si>
    <t>WOS:001010988900001</t>
  </si>
  <si>
    <t>Rene, N; Maucher-Fuquay, J; Shuler, A; Morton, SL</t>
  </si>
  <si>
    <t>Rene, Nia; Maucher-Fuquay, Jennifer; Shuler, Andrew; Morton, Steve L.</t>
  </si>
  <si>
    <t>AQUACULTURE PHYTOPLANKTON MONITORING NETWORK: A CITIZEN SCIENCE APPROACH TO MONITOR HARMFUL ALGAL BLOOMS AND CHANGES IN ENVIRONMENTAL CONDITIONS WITH THE AQUACULTURE INDUSTRY</t>
  </si>
  <si>
    <t>JOURNAL OF SHELLFISH RESEARCH</t>
  </si>
  <si>
    <t>[Rene, Nia; Maucher-Fuquay, Jennifer; Shuler, Andrew; Morton, Steve L.] HAB Monitoring &amp; Reference Branch, NOAA NOS NCCOS Hollings Marine Lab, 331 Ft Johnson Rd, Charleston, SC 29412 USA</t>
  </si>
  <si>
    <t>NATL SHELLFISHERIES ASSOC</t>
  </si>
  <si>
    <t>GROTON</t>
  </si>
  <si>
    <t>C/O DR. SANDRA E. SHUMWAY, UNIV CONNECTICUT, 1080 SHENNECOSSETT RD, GROTON, CT 06340 USA</t>
  </si>
  <si>
    <t>0730-8000</t>
  </si>
  <si>
    <t>1943-6319</t>
  </si>
  <si>
    <t>J SHELLFISH RES</t>
  </si>
  <si>
    <t>J. Shellfish Res.</t>
  </si>
  <si>
    <t>I3VT6</t>
  </si>
  <si>
    <t>WOS:001002097500231</t>
  </si>
  <si>
    <t>Weiser, EL; Diffendorfer, JE; Grundel, R; Lopez-Hoffman, L; Pecoraro, S; Semmens, D; Thogmartin, WE</t>
  </si>
  <si>
    <t>Weiser, Emily L.; Diffendorfer, Jay E.; Grundel, Ralph; Lopez-Hoffman, Laura; Pecoraro, Samuel; Semmens, Darius; Thogmartin, Wayne E.</t>
  </si>
  <si>
    <t>Balancing sampling intensity against spatial coverage for a community science monitoring programme</t>
  </si>
  <si>
    <t>citizen science; community science; milkweed; monarch butterfly; population monitoring; population trends; power analysis; sampling design</t>
  </si>
  <si>
    <t>CITIZEN SCIENCE; MONARCH BUTTERFLIES; ECOLOGICAL RESEARCH; POPULATION; POWER; TRENDS; ABUNDANCE; RECOVERY; NEED; TOOL</t>
  </si>
  <si>
    <t>Community science is an increasingly integral part of biodiversity research and monitoring, often achieving broad spatial and temporal coverage but lower sampling intensity than studies conducted by professional scientists. When designing a community-science monitoring programme, careful assessment of sampling designs that could be both feasible and successful at meeting programme goals is essential. Monarch butterflies (Danaus plexippus) are the focus of several successful community-science projects in the U.S., but broader coverage is needed to monitor breeding areas and explain population declines observed in overwintering areas. The U.S. Monarch Conservation Science Partnership's Integrated Monarch Monitoring Program (IMMP) will representatively monitor monarchs and milkweed across North America. We performed a simulation-based power analysis to predict trade-offs between sampling breadth (number of sites and years) and sampling intensity (number of visits or subplots per site and year) for the IMMP. We evaluated whether each sampling design would produce sufficient statistical power to detect population trends and differences among land-use sectors in densities of milkweed, monarch eggs, and adult monarchs. Sampling breadth had much stronger effects than sampling intensity on statistical power for all three monitoring targets. Depending on land-use sector, monitoring 400-800 sites over 10-15 years would detect trends in densities of milkweed and adult monarchs, but no scenarios were successful for monarch eggs. Sampling 400-800 sites would also detect small (for adult monarchs) to large (for milkweed) differences among land-use sectors in density of all three monitoring targets within the first 2-5 years. As more data become available from the IMMP, the sampling goals can be updated. Synthesis and applications. Careful sample design is an essential step in developing a successful monitoring programme. For monarchs and milkweed, we found that sampling breadth (number of sites and years) had a much stronger effect on statistical power than sampling intensity (number of visits or subsamples per site), suggesting field protocols could be tailored to maximize recruitment and retention of volunteers by minimizing the effort required to monitor each site. Many long-term monitoring programmes might similarly benefit from evaluating the statistical trade-offs between sampling breadth and intensity in their sampling designs.</t>
  </si>
  <si>
    <t>[Weiser, Emily L.; Thogmartin, Wayne E.] US Geol Survey, Upper Midwest Environm Sci Ctr, La Crosse, WI 54601 USA; [Diffendorfer, Jay E.; Semmens, Darius] US Geol Survey, Geosci &amp; Environm Change Sci Ctr, Box 25046, Denver, CO 80225 USA; [Grundel, Ralph; Pecoraro, Samuel] US Geol Survey, Great Lakes Sci Ctr, Chesterton, IN USA; [Lopez-Hoffman, Laura] Univ Arizona, Sch Nat Resources &amp; Environm, Tucson, AZ USA; [Lopez-Hoffman, Laura] Univ Arizona, Udall Ctr Studies Publ Policy, Tucson, AZ USA</t>
  </si>
  <si>
    <t>United States Department of the Interior; United States Geological Survey; United States Department of the Interior; United States Geological Survey; United States Department of the Interior; United States Geological Survey; University of Arizona; University of Arizona</t>
  </si>
  <si>
    <t>Weiser, EL (corresponding author), US Geol Survey, Upper Midwest Environm Sci Ctr, La Crosse, WI 54601 USA.</t>
  </si>
  <si>
    <t>Diffendorfer, Jay/0000-0003-1093-6948; Thogmartin, Wayne/0000-0002-2384-4279; Pecoraro, Samuel/0000-0002-3435-649X; Weiser, Emily/0000-0003-1598-659X; Semmens, Darius/0000-0001-7924-6529</t>
  </si>
  <si>
    <t>U.S. Geological Survey</t>
  </si>
  <si>
    <t>U.S. Geological Survey(United States Geological Survey)</t>
  </si>
  <si>
    <t>10.1111/1365-2664.13491</t>
  </si>
  <si>
    <t>SEP 2019</t>
  </si>
  <si>
    <t>JB8YO</t>
  </si>
  <si>
    <t>WOS:000486931100001</t>
  </si>
  <si>
    <t>Li, M; Patel, J; Katapally, TR</t>
  </si>
  <si>
    <t>Li, Madeline; Patel, Jamin; Katapally, Tarun Reddy</t>
  </si>
  <si>
    <t>Towards ethical surveillance of smartphone use among youth: exploratory digital citizen science approaches shaping the understanding of ubiquitous technology use</t>
  </si>
  <si>
    <t>TECHNOLOGY IN SOCIETY</t>
  </si>
  <si>
    <t>Digital citizen science; Digital epidemiology; Ethical surveillance; Smartphone use; Technology assessment; Youth wellbeing</t>
  </si>
  <si>
    <t>GENDER-DIFFERENCES; SELF-REGULATION; MENTAL-HEALTH; PHONE USE; MOBILE; TIME; ADOLESCENCE; RECONSIDERATION; ADDICTION; INTERNET</t>
  </si>
  <si>
    <t>Smartphones are widely used among youth, yet no standardized measures accurately capture smartphone use. This exploratory study utilized the Smart Platform, a digital citizen science initiative, to collect objective, realtime data on smartphone use among youth and investigate differences between retrospective and objective measurements. Youth self-reported smartphone use retrospectively via a validated questionnaire, while objective use (i.e., duration and day of use) was captured over one week using a custom-built app. Differences between the two measures were assessed using Wilcoxon signed-rank test and linear mixed effects models and visualized with Bland-Altman plots. A total of 85 participants with 257 observations (mean age = 15.65, SD = 1.68) were included in this study. Retrospective smartphone use was higher than objective use in the overall sample (4.074 vs 2.615 hours/day, p = 0.019), on weekdays (3.973 vs. 2.714 hours/day, p = 0.024) and on weekends (4.026 vs. 2.323 hours/day, p = 0.014). The mean difference between the measures was 1.39 hours/day (95% CI [-6.99, 9.76]), with larger differences at higher use levels. Mixed effects models confirmed the difference between retrospective and objective use ((3 = 1.341, C.I. [0.637, 2.071], p &lt; 0.001), adjusting for sociodemographic factors. Females also reported higher use than males ((3 = 1.027, C.I. [0.068, 1.985], p = 0.045). Accurate measurement of smartphone use is imperative to understand its impacts among youth. Privacy and security challenges associated with objective measures can be addressed through digital citizen science, where youth have the power to share, withdraw, or delete their data.</t>
  </si>
  <si>
    <t>[Li, Madeline; Patel, Jamin; Katapally, Tarun Reddy] Western Univ, Fac Hlth Sci, Sch Hlth Studies, DEPtH Lab, London, ON N6A 2K5, Canada; [Patel, Jamin; Katapally, Tarun Reddy] Western Univ, Schulich Sch Med &amp; Dent, Dept Epidemiol &amp; Biostat, London, ON N6A 5C1, Canada; [Katapally, Tarun Reddy] Childrens Hlth Res Inst, Lawson Hlth Res Inst, 750 Base Line Rd East,Suite 300, London, ON N6C 2R5, Canada</t>
  </si>
  <si>
    <t>Katapally, TR (corresponding author), Western Univ, Fac Hlth Sci, Sch Hlth Studies, DEPtH Lab, London, ON N6A 2K5, Canada.</t>
  </si>
  <si>
    <t>Patel, Jamin/0009-0001-7338-7467; KATAPALLY, TARUN REDDY/0000-0001-5765-1435</t>
  </si>
  <si>
    <t>0160-791X</t>
  </si>
  <si>
    <t>1879-3274</t>
  </si>
  <si>
    <t>TECHNOL SOC</t>
  </si>
  <si>
    <t>Technol. Soc.</t>
  </si>
  <si>
    <t>10.1016/j.techsoc.2025.103012</t>
  </si>
  <si>
    <t>Social Issues; Social Sciences, Interdisciplinary</t>
  </si>
  <si>
    <t>Social Issues; Social Sciences - Other Topics</t>
  </si>
  <si>
    <t>6OI9D</t>
  </si>
  <si>
    <t>WOS:001558143800001</t>
  </si>
  <si>
    <t>Jaques, DL; Russell, TM; Liebezeit, JR; Weinstein, A; Veit, RR; Orr, D; Parker, MW; Howard, JA; Mazurkiewicz, DM; Anderson, DW; Bedolla-Guzmàn, Y</t>
  </si>
  <si>
    <t>Jaques, Deborah L.; Russell, Tamara M.; Liebezeit, Joseph R.; Weinstein, Anna; Veit, Richard R.; Orr, Daniel; Parker, Michael W.; Howard, Jim A.; Mazurkiewicz, David M.; Anderson, Daniel W.; Bedolla-Guzman, Yuliana</t>
  </si>
  <si>
    <t>CALIFORNIA BROWN PELICAN PELECANUS OCCIDENTALIS COMMUNITY SCIENCE PROJECT: POTENTIAL FOR POPULATION MONITORING</t>
  </si>
  <si>
    <t>MARINE ORNITHOLOGY</t>
  </si>
  <si>
    <t>pelican; anchovy; community science; distribution; abundance; monitoring; Pelecanus occidentalis californicus</t>
  </si>
  <si>
    <t>CLIMATE-CHANGE; SOUTHERN-CALIFORNIA; INTENSIFICATION; ENSO</t>
  </si>
  <si>
    <t>From 2016 to 2019, we monitored the distribution, abundance, and age structure of California Brown Pelican Pelecanus occidentalis californicus at nearshore communal roosts along the U.S. West Coast. This effort used snapshot surveys during spring and fall, simultaneously engaging up to 111 community science participants, i.e., volunteers, on single dates. Volunteers surveyed up to 89 sites and found as many as 22,000 Brown Pelicans. We derived abundance and population structure indices from these data and sought relationships to annual breeding season metrics and large-scale oceanographic indices in the California Current System (CCS). The proportion of immature birds increased during the study period, reflecting improved Brown Pelican productivity in the Southern California Bight after several years of low reproductive output. This increase in productivity coincided with a rise in the abundance of their primary prey, the Northern Anchovy Engraulis mordax. The proportion of immature Brown Pelicans observed in this survey was related to anchovy abundance. Compared to historical records, pelican distribution during fall had shifted north-consistent with climate change predictions-with a hotspot around 37 degrees N. No single environmental driver explained the inter-annual variation in pelican abundance, which was affected by complex ecological dynamics and variable migration of pelicans from the Gulf of California, Mexico. The distribution of pelicans in the CCS suggested a coarse relationship with moderate upwelling and sea surface temperatures, in accord with habitat preferences of the anchovy, although we did not attempt to capture fine-scale predator-prey associations. Our results suggest that resuming the binational community science survey with some protocol improvements will be a valuable, inexpensive, and inclusive way to assess the general status of California Brown Pelicans. Population structure indices are likely to reflect annual variation in prey availability and pelican productivity in the CCS, while changes in total abundance will be more challenging to interpret and will require long-term datasets.</t>
  </si>
  <si>
    <t>[Jaques, Deborah L.] Pacific Eco Logic, Crescent City, CA 95531 USA; [Russell, Tamara M.] Univ Calif San Diego, Scripps Inst Oceanog, La Jolla, CA USA; [Liebezeit, Joseph R.] Bird Alliance Oregon, Portland, OR USA; [Weinstein, Anna] Solano Land Trust, Vacaville, CA USA; [Veit, Richard R.] CUNY, New York, NY USA; [Orr, Daniel] Audubon Calif, Oakland, CA USA; [Parker, Michael W.; Howard, Jim A.] Calif Inst Environm Studies, Davis, CA USA; [Mazurkiewicz, David M.] Natl Pk Serv, Channel Isl Natl Pk, Ventura, CA USA; [Anderson, Daniel W.] Univ Calif Davis, Davis, CA USA; [Bedolla-Guzman, Yuliana] Grp Ecol &amp; Conservac Islas AC, Ensenada, Baja California, Mexico</t>
  </si>
  <si>
    <t>University of California System; University of California San Diego; Scripps Institution of Oceanography; City University of New York (CUNY) System; United States Department of the Interior; US National Park Service; University of California System; University of California Davis</t>
  </si>
  <si>
    <t>Jaques, DL (corresponding author), Pacific Eco Logic, Crescent City, CA 95531 USA.</t>
  </si>
  <si>
    <t>djaques@pacificecologic.org</t>
  </si>
  <si>
    <t>Bird Alliance of Oregon; National Audubon Society</t>
  </si>
  <si>
    <t>We thank the over 300 volunteers who made this project possible by conducting surveys over such a large geographic area. Volunteers were experienced and extremely dedicated, with many participating for multiple years. In addition to fieldwork, many volunteers performed outreach and helped raise awareness about the project and pelican conservation to coastal users. We thank Robert McMorran of the U.S. Fish and Wildlife Service for his support in getting the project off the ground; Oregon State University seabird field crews for boat surveys at East Sand Island; and Deb Whitcomb, Bird Alliance of Oregon volunteer, for providing GIS support. Several key partners played an important role in volunteer recruitment and project promotion, including Audubon Washington, Seven Capes Bird Alliance, Kalmiopsis Audubon Society, Cape Arago Audubon Society, The North Coast Land Conservancy, Friends of Otter Rock, Haystack Rock Awareness Program, and Friends of the Alameda Wildlife Reserve. We sincerely thank David Ainley for his helpful review and assistance in improving this work. The National Audubon Society and anonymous donors to the Bird Alliance of Oregon funded this study.</t>
  </si>
  <si>
    <t>PACIFIC SEABIRD GROUP</t>
  </si>
  <si>
    <t>Olympia</t>
  </si>
  <si>
    <t>c/o PSG Treasurer Pam Michael, PO Box 1292, Olympia, WA, UNITED STATES</t>
  </si>
  <si>
    <t>1018-3337</t>
  </si>
  <si>
    <t>2074-1235</t>
  </si>
  <si>
    <t>MAR ORNITHOL</t>
  </si>
  <si>
    <t>Mar. Ornithol.</t>
  </si>
  <si>
    <t>10.5038/2074-1235.53.2.1665</t>
  </si>
  <si>
    <t>Marine &amp; Freshwater Biology; Ornithology</t>
  </si>
  <si>
    <t>9JZ8X</t>
  </si>
  <si>
    <t>WOS:001608188500014</t>
  </si>
  <si>
    <t>[Jaques, Deborah L.; Bedolla-Guzman, Yuliana] Pacific Eco Log, Crescent City, CA 95531 USA; [Russell, Tamara M.; Bedolla-Guzman, Yuliana] Univ Calif San Diego, Scripps Inst Oceanog, La Jolla, CA USA; [Liebezeit, Joseph R.; Bedolla-Guzman, Yuliana] Bird Alliance Oregon, Portland, OR USA; [Weinstein, Anna] Solano Land Trust, Vacaville, CA USA; [Veit, Richard R.; Bedolla-Guzman, Yuliana] City Univ New York, New York, NY USA; [Orr, Daniel] Audubon Calif, Oakland, CA USA; [Parker, Michael W.; Howard, Jim A.] Calif Inst Environm Studies, Davis, CA USA; [Mazurkiewicz, David M.; Bedolla-Guzman, Yuliana] Channel Isl Natl Pk, Natl Pk Serv, Ventura, CA USA; [Anderson, Daniel W.; Bedolla-Guzman, Yuliana] Univ Calif Davis, Davis, CA USA; [Bedolla-Guzman, Yuliana] Grp Ecol &amp; Conservat Islas AC, Ensenada, Baja California, Mexico</t>
  </si>
  <si>
    <t>Jaques, DL (corresponding author), Pacific Eco Log, Crescent City, CA 95531 USA.</t>
  </si>
  <si>
    <t>National Audubon Society</t>
  </si>
  <si>
    <t>8MK2T</t>
  </si>
  <si>
    <t>WOS:001592130700002</t>
  </si>
  <si>
    <t>Westbrook, M; Serrano-Salomón, V; Pecenka, J; Sankhyan, S; Hollo, AK; Miller, SL; Sullivan, E</t>
  </si>
  <si>
    <t>Westbrook, Marisa; Serrano-Salomon, Valentina; Pecenka, Jay; Sankhyan, Sumit; Hollo, Aniya K.; Miller, Shelly L.; Sullivan, Esther</t>
  </si>
  <si>
    <t>The sphere of exposure: centering user experience in community science air monitoring</t>
  </si>
  <si>
    <t>air quality; community science; community monitoring; behavior change; citizen science</t>
  </si>
  <si>
    <t>POLLUTION; HEALTH; DENVER; IMPACTS; JUSTICE; INDOOR</t>
  </si>
  <si>
    <t>Community science has increased in popularity in communities where residents hope to investigate the relationship between environmental issues and personal health. This study partnered with neighborhoods in the most polluted residential zip code in the US to conduct community science air quality monitoring. We conducted 60 semi-structured interviews after two monitoring deployments to understand participants' subjective experiences of pollution exposure, their engagement with low-cost air quality monitors, and their data interpretation. We utilize the environmental health concept 'exposure experience' to analyze how participants use personal monitors, understand their data, and reinterpret their pollution exposure as a result. We further explore how participants' understandings are circumscribed by the technological features of low-cost monitors. We find that participants adopt both protective and mitigating behavioral changes based on information gained from personal experiments and hypothesis testing while using the monitors. Of their own accord, 40% of participants in this study adopted mitigation behaviors after identifying sources that impacted their personal air quality. Our analysis reveals that real-time data accessibility through low-cost monitors builds exposure awareness and enables residents of environmental justice communities to test, validate, or invalidate sensory experiences and challenge existing assumptions. These findings point to specific pathways for using low-cost monitors to support individual decision-making and contribute to behavioral change. Findings also identify some limitations of low-cost monitors; designers of low-cost monitors should consider how composite Air Quality Scores may encourage community scientists to equally value scientifically-established pollutants (e.g., PM) with less scientifically-established pollutants (e.g., TVOCs), without additional scientific training and health-related information.</t>
  </si>
  <si>
    <t>[Westbrook, Marisa] Portland State Univ, OHSU PSU Sch Publ Hlth, Portland, OR 97207 USA; [Serrano-Salomon, Valentina; Pecenka, Jay; Sullivan, Esther] Univ Colorado Denver, Dept Sociol, Denver, CO USA; [Sankhyan, Sumit; Hollo, Aniya K.; Miller, Shelly L.] Univ Colorado Boulder, Dept Mech Engn, Boulder, CO USA</t>
  </si>
  <si>
    <t>Portland State University; University of Colorado System; University of Colorado Denver; Children's Hospital Colorado; University of Colorado Anschutz Medical Campus; University of Colorado System; University of Colorado Boulder</t>
  </si>
  <si>
    <t>Westbrook, M (corresponding author), Portland State Univ, OHSU PSU Sch Publ Hlth, Portland, OR 97207 USA.</t>
  </si>
  <si>
    <t>marisaw@pdx.edu</t>
  </si>
  <si>
    <t>Sankhyan, Sumit/KJX-4392-2024</t>
  </si>
  <si>
    <t>Division of Computer and Network Systems10.13039/100000144</t>
  </si>
  <si>
    <t>We would like to thank the Social Justice and Environmental Quality-Denver research team, especially Nicholas Clements, PhD and Emily Evans, and all participants in our study.</t>
  </si>
  <si>
    <t>SEP 30</t>
  </si>
  <si>
    <t>10.3389/fenvs.2024.1433489</t>
  </si>
  <si>
    <t>J1E5C</t>
  </si>
  <si>
    <t>WOS:001334571600001</t>
  </si>
  <si>
    <t>Burdon, MG; Ayling, M; Jamieson, N; Day, J; Medlock, J; Hansford, K; Wint, GRW; Ward, T</t>
  </si>
  <si>
    <t>Burdon, Mark Gideon; Ayling, Maximilian; Jamieson, Nyall; Day, Julie; Medlock, Jolyon; Hansford, Kayleigh; Wint, G. R. William; Ward, Thomas</t>
  </si>
  <si>
    <t>Modelling the distribution of the tick Ixodes ricinus in England and Wales using passive surveillance data from citizen science reports</t>
  </si>
  <si>
    <t>PLOS NEGLECTED TROPICAL DISEASES</t>
  </si>
  <si>
    <t>SPECIES DISTRIBUTION MODELS; IXODIDAE; ACARI; BIAS; UK; PREFERENCES; ACCURACY; MAPS</t>
  </si>
  <si>
    <t>Background Ticks are a significant cause of illness globally. The tick Ixodes ricinus is commonly found across Europe and is a significant vector of Tick-Borne Encephalitis virus (TBEv), Borrelia burgdorferi s.l. (causative agent of Lyme borreliosis), Babesia divergens, Anaplasma phagocytophilum, and several Rickettsia bacteria, among others.Methods The Tick Surveillance Scheme (TSS) administered by the UK Health Security Agency (UKHSA) contains validated reports from the general public of tick encounters over the last twenty years. We modelled the probability of I. ricinus tick presence across England and Wales using the locations of TSS reports from 2013 to 2023 and a combination of biotic and abiotic factors. An ensemble of statistical and machine learning models was trained to classify points as presence (true tick report locations) or background (points generated randomly and by target-group sampling).Results The ensemble model had a continuous Boyce index of 0.99 and area under the receiver-operator curve (ROC AUC) of 0.84 on out-of-sample 2024 data. Variables relating to roe deer (Capreolus capreolus) distribution and land cover type were most important. Most of southern England, as well as other areas with known tick populations such as the New Forest and the Lake District, are modelled as highly probable tick presence areas.Interpretation Unstructured citizen science data was suitable for creating a high-performing species distribution model for I. ricinus after addressing spatial and demographic biases. This model is now being used to inform local public health awareness showing the advantage of passive surveillance through to modelling and public health awareness.</t>
  </si>
  <si>
    <t>[Burdon, Mark Gideon; Ayling, Maximilian; Day, Julie; Medlock, Jolyon; Hansford, Kayleigh; Ward, Thomas] UK Hlth Secur Agcy, Chief Data Officer Grp, London, England; [Jamieson, Nyall] Univ Manchester, Dept Math, Manchester, England; [Wint, G. R. William] Univ Oxford, Dept Biol, Oxford, England</t>
  </si>
  <si>
    <t>UK Health Security Agency (UKHSA); University of Manchester; University of Oxford</t>
  </si>
  <si>
    <t>Burdon, MG (corresponding author), UK Hlth Secur Agcy, Chief Data Officer Grp, London, England.</t>
  </si>
  <si>
    <t>mark.burdon@ukhsa.gov.uk</t>
  </si>
  <si>
    <t>Wint, William/0000-0003-0916-0847; Burdon, Mark Gideon/0009-0001-0354-4332; Jamieson, Nyall/0009-0004-1491-6885</t>
  </si>
  <si>
    <t>1935-2735</t>
  </si>
  <si>
    <t>PLOS NEGLECT TROP D</t>
  </si>
  <si>
    <t>Plos Neglect. Trop. Dis.</t>
  </si>
  <si>
    <t>e0013520</t>
  </si>
  <si>
    <t>10.1371/journal.pntd.0013520</t>
  </si>
  <si>
    <t>8JJ6A</t>
  </si>
  <si>
    <t>WOS:001590073200008</t>
  </si>
  <si>
    <t>Haas, EK; La Sorte, FA; McCaslin, HM; Belotti, MCTD; Horton, KG</t>
  </si>
  <si>
    <t>Haas, Elaina K.; La Sorte, Frank A.; McCaslin, Hanna M.; Belotti, Maria C. T. D.; Horton, Kyle G.</t>
  </si>
  <si>
    <t>The correlation between eBird community science and weather surveillance radar-based estimates of migration phenology</t>
  </si>
  <si>
    <t>GLOBAL ECOLOGY AND BIOGEOGRAPHY</t>
  </si>
  <si>
    <t>bird migration; citizen science; community science; eBird; phenology; radar remote sensing</t>
  </si>
  <si>
    <t>CLIMATE-CHANGE; AVIAN MIGRATION; DISTANCE; BIRDS</t>
  </si>
  <si>
    <t>Aim Measuring avian migration can prove challenging given the spatial scope and the diversity of species involved. No one monitoring technique provides all the pertinent measures needed to capture this macroscale phenomenon - emphasizing the need for data integration. Migration phenology is a key metric characterizing large-scale migration dynamics and has been successfully quantified using weather surveillance radar (WSR) data and community science observations. Separately, both platforms have their limitations and measure different aspects of bird migration. We sought to make a formal comparison of the migration phenology estimates derived from WSR and eBird data - of which we predict a positive correlation. Location Contiguous United States. Time period 2002-2018. Major taxa studied Migratory birds. Methods We estimated spring and autumn migration phenology at 143 WSR stations aggregated over a 17-year period (2002-2018), which we contrast with eBird-based estimates of spring and autumn migration phenology for 293 nocturnally migrating bird species at the 143 WSR stations. We compared phenology metrics derived from all species and WSR stations combined, for species in three taxonomic orders (Anseriformes, Charadriiformes and Passeriformes), and for WSR stations in three North American migration flyways (western, central and eastern). Results We found positive correlations between WSR and eBird-based estimates of migration phenology and differences in the strength of correlations among taxonomic orders and migration flyways. The correlations were stronger during spring migration, for Passeriformes, and generally for WSR stations in the eastern flyway. Autumn migration showed weaker correlation, and in Anseriformes correlations were weakest overall. Lastly, eBird-based estimates slightly preceded those derived from WSR in the spring, but trailed WSR in the autumn, suggesting that the two data sources measure different components of migration phenology. Main conclusions We highlight the complementarity of these two approaches, but also reveal strong taxonomic and geographic differences in the relationships between the platforms.</t>
  </si>
  <si>
    <t>[Haas, Elaina K.; McCaslin, Hanna M.; Belotti, Maria C. T. D.; Horton, Kyle G.] Colorado State Univ, Dept Fish Wildlife &amp; Conservat Biol, Ft Collins, CO 80523 USA; [La Sorte, Frank A.] Cornell Univ, Cornell Lab Ornithol, Ithaca, NY USA</t>
  </si>
  <si>
    <t>Colorado State University System; Colorado State University Fort Collins; Cornell University</t>
  </si>
  <si>
    <t>Horton, KG (corresponding author), Colorado State Univ, Dept Fish Wildlife &amp; Conservat Biol, Ft Collins, CO 80523 USA.</t>
  </si>
  <si>
    <t>kyle.horton@colostate.edu</t>
  </si>
  <si>
    <t>; Belotti, Maria Carolina/GRE-6731-2022; La Sorte, Frank/A-2849-2009</t>
  </si>
  <si>
    <t>McCaslin, Hanna/0000-0002-5366-2310; Belotti, Maria Carolina/0000-0001-5595-8775;</t>
  </si>
  <si>
    <t>National Aeronautics and Space Administration [80NSSC21K1143]; National Science Foundation [1840343, MSB-NES-2017554]; Division Of Graduate Education; Direct For Education and Human Resources [1840343] Funding Source: National Science Foundation</t>
  </si>
  <si>
    <t>National Aeronautics and Space Administration(National Aeronautics &amp; Space Administration (NASA)); National Science Foundation(National Science Foundation (NSF)); Division Of Graduate Education; Direct For Education and Human Resources(National Science Foundation (NSF)NSF - Directorate for STEM Education (EDU))</t>
  </si>
  <si>
    <t>National Aeronautics and Space Administration, Grant/Award Number: 80NSSC21K1143; National Science Foundation, Grant/Award Number: 1840343 and MSB-NES-2017554</t>
  </si>
  <si>
    <t>1466-822X</t>
  </si>
  <si>
    <t>1466-8238</t>
  </si>
  <si>
    <t>GLOBAL ECOL BIOGEOGR</t>
  </si>
  <si>
    <t>Glob. Ecol. Biogeogr.</t>
  </si>
  <si>
    <t>10.1111/geb.13567</t>
  </si>
  <si>
    <t>5E8ID</t>
  </si>
  <si>
    <t>WOS:000823531600001</t>
  </si>
  <si>
    <t>Petrovan, SO; Vale, CG; Sillero, N</t>
  </si>
  <si>
    <t>Petrovan, Silviu O.; Vale, Candida Gomes; Sillero, Neftali</t>
  </si>
  <si>
    <t>Using citizen science in road surveys for large-scale amphibian monitoring: are biased data representative for species distribution?</t>
  </si>
  <si>
    <t>Landscape monitoring; Amphibian conservation; Road survey; Citizen science; Spatial analysis; Toad; Bufo bufo</t>
  </si>
  <si>
    <t>TOAD BUFO-BUFO; MORTALITY LEVELS; ECOLOGY; LIFE; CONSERVATION; DECLINES; BEHAVIOR; REPTILES; IMPACTS; MODELS</t>
  </si>
  <si>
    <t>Road-based citizen science surveys are increasingly used for long-term monitoring of wildlife, including amphibians, over large spatial scales. However, how representative such data are when compared to the actual species distribution remains unclear. Spatial biases in site selection or road network coverage by volunteers could skew results towards more urbanised areas and consequently produce incorrect or partial trend estimations at regional or national scales. Our objective was to compare and verify potential spatial biases of road-based data using distribution datasets of different origins. We used as a case study the common toad (Bufo bufo), a fast-declining species and the main amphibian targeted by conservation action on roads in Europe. We used Maxent models to compare road survey data obtained from the 35 year-long Toads on Roads project in Great Britain with models using national-scale toad distribution records as well as with models using randomly generated points on roads. Distribution models that used data collected by volunteers on roads produced similar results to those obtained from overall species distribution, indicating the lack of selection bias and high spatial coverage of volunteer-collected data on roads. Toads were generally absent from mountainous areas and, despite the high availability of potential recorders, showed nearly complete absence of road-based records in large urban areas. This is probably the first study that comparatively evaluates species distribution models created using datasets of different origin in order to verify the influence of potential spatial bias of data collected by volunteers on roads. Large-scale declines of widespread amphibians have been demonstrated using data collected on roads and our results indicate that such data are representative and certainly comparable to other existing datasets. We show that for countries with high road network coverage, such as Great Britain, road-based data collected by volunteers represent a robust dataset and a critical citizen science contribution to conservation.</t>
  </si>
  <si>
    <t>[Petrovan, Silviu O.] Univ Cambridge, Dept Zool, David Attenborough Bldg, Cambridge CB2 3QZ, England; [Petrovan, Silviu O.] Froglife, 1 Loxley, Peterborough PE4 5BW, England; [Vale, Candida Gomes; Sillero, Neftali] Univ Porto FCUP, Fac Ciencias, CICGE, Observ Astron Prof Manuel de Barros, Alameda Monte da Virgem, P-4430146 Vila Nova De Gaia, Portugal</t>
  </si>
  <si>
    <t>University of Cambridge; Universidade do Porto</t>
  </si>
  <si>
    <t>Petrovan, SO (corresponding author), Univ Cambridge, Dept Zool, David Attenborough Bldg, Cambridge CB2 3QZ, England.;Petrovan, SO (corresponding author), Froglife, 1 Loxley, Peterborough PE4 5BW, England.</t>
  </si>
  <si>
    <t>sop21@cam.ac.uk</t>
  </si>
  <si>
    <t>Gomes Vale, Cândida/AAD-9655-2019; Petrovan, Silviu/ADM-9976-2022; Sillero, Neftali/C-1803-2008</t>
  </si>
  <si>
    <t>Gomes Vale, Cândida/0000-0003-1764-8607; Petrovan, Silviu/0000-0002-3984-2403; Sillero, Neftali/0000-0002-3490-3780</t>
  </si>
  <si>
    <t>10.1007/s10531-020-01956-0</t>
  </si>
  <si>
    <t>KY6BG</t>
  </si>
  <si>
    <t>WOS:000522656400003</t>
  </si>
  <si>
    <t>Roy, HE; Baxter, E; Saunders, A; Pocock, MJO</t>
  </si>
  <si>
    <t>Roy, Helen E.; Baxter, Elizabeth; Saunders, Aoine; Pocock, Michael J. O.</t>
  </si>
  <si>
    <t>Focal Plant Observations as a Standardised Method for Pollinator Monitoring: Opportunities and Limitations for Mass Participation Citizen Science</t>
  </si>
  <si>
    <t>BIOLOGICAL RECORDS CENTER; EMERGING TECHNOLOGIES; ECOLOGICAL RESEARCH; DECLINES; GARDENS; SCALE; TOOL; CONSERVATION; COMMUNITIES; BUMBLEBEES</t>
  </si>
  <si>
    <t>Background Recently there has been increasing focus on monitoring pollinating insects, due to concerns about their declines, and interest in the role of volunteers in monitoring pollinators, particularly bumblebees, via citizen science. Methodology / Principal Findings The Big Bumblebee Discovery was a one-year citizen science project run by a partnership of EDF Energy, the British Science Association and the Centre for Ecology &amp; Hydrology which sought to assess the influence of the landscape at multiple scales on the diversity and abundance of bumblebees. Timed counts of bumblebees (Bombus spp.; identified to six colour groups) visiting focal plants of lavender (Lavendula spp.) were carried out by about 13 000 primary school children (7-11 years old) from over 4000 schools across the UK. 3948 reports were received totalling 26 868 bumblebees. We found that while the wider landscape type had no significant effect on reported bumblebee abundance, the local proximity to flowers had a significant effect (fewer bumblebees where other flowers were reported to be &gt;5m away from the focal plant). However, the rate of mis-identifcation, revealed by photographs uploaded by participants and a photo-based quiz, was high. Conclusions / Significance Our citizen science results support recent research on the importance of local flocal resources on pollinator abundance. Timed counts of insects visiting a lure plant is potentially an effective approach for standardised pollinator monitoring, engaging a large number of participants with a simple protocol. However, the relatively high rate of mis-identifications (compared to reports from previous pollinator citizen science projects) highlights the importance of investing in resources to train volunteers. Also, to be a scientifically valid method for enquiry, citizen science data needs to be sufficiently high quality, so receiving supporting evidence (such as photographs) would allow this to be tested and for records to be verified.</t>
  </si>
  <si>
    <t>[Roy, Helen E.; Pocock, Michael J. O.] Ctr Ecol &amp; Hydrol, Maclean Bldg,Benson Lane, Wallingford OX10 8BB, Oxon, England; [Baxter, Elizabeth; Saunders, Aoine] British Sci Assoc, Wellcome Wolfson Bldg,165 Queens Gate, London SW7 5HD, England</t>
  </si>
  <si>
    <t>UK Centre for Ecology &amp; Hydrology (UKCEH)</t>
  </si>
  <si>
    <t>Roy, HE (corresponding author), Ctr Ecol &amp; Hydrol, Maclean Bldg,Benson Lane, Wallingford OX10 8BB, Oxon, England.</t>
  </si>
  <si>
    <t>Pocock, Michael/A-5632-2012; Roy, Helen/A-1488-2010</t>
  </si>
  <si>
    <t>Pocock, Michael/0000-0003-4375-0445; Baxter, Elizabeth R/0009-0001-7902-5387</t>
  </si>
  <si>
    <t>EDF Energy; Joint Nature Conservation Committee; Natural Environment Research Council; NERC [ceh020009, ceh020002] Funding Source: UKRI; Natural Environment Research Council [ceh020009, ceh020002] Funding Source: researchfish</t>
  </si>
  <si>
    <t>EDF Energy; Joint Nature Conservation Committee; Natural Environment Research Council(UK Research &amp; Innovation (UKRI)Natural Environment Research Council (NERC)); NERC(UK Research &amp; Innovation (UKRI)Natural Environment Research Council (NERC)); Natural Environment Research Council(UK Research &amp; Innovation (UKRI)Natural Environment Research Council (NERC))</t>
  </si>
  <si>
    <t>EDF Energy provided financial support to the British Science Association who subcontracted the Centre for Ecology &amp; Hydrology. The Centre for Ecology &amp; Hydrology led the study design, data collection and analysis, decision to publish and preparation of the manuscript. EDF Energy and the British Science Association played a major role in recruiting participants through their web portals and networks. Additionally educational resources were developed by EDF Energy in consultation with the authors. The authors reviewed all the resources prior to publication. Inclusion of additional insect flower visitors beyond bumblebees, such as the honeybee, Apis mellifera, and stripey hoverflies, was considered but the design of the log book constrained the number of fields. The infrastructure of the EDF Energy web portal The Pod was used to disseminate the educational resources and for on-line data collection. The British Science Association are represented within the authorship in recognition of their contributions throughout the study. One of the aims of the study was to submit a manuscript for peer-review and this was disclosed within the subcontract to the Centre for Ecology &amp; Hydrology. HER and MJOP through the Biological Records Centre receive support from the Joint Nature Conservation Committee and the Natural Environment Research Council.</t>
  </si>
  <si>
    <t>MAR 17</t>
  </si>
  <si>
    <t>e0150794</t>
  </si>
  <si>
    <t>10.1371/journal.pone.0150794</t>
  </si>
  <si>
    <t>DH1YG</t>
  </si>
  <si>
    <t>WOS:000372580300027</t>
  </si>
  <si>
    <t>Contribution to Sustainable Education: Co-Creation Citizen Science Project About Monitoring Species Distribution and Abundance on Rocky Shores</t>
  </si>
  <si>
    <t>citizen science; co-creation; sustainable education; elementary students</t>
  </si>
  <si>
    <t>Citizen science is not only a participatory means of contributing to scientific knowledge but also an effective approach to addressing a wide range of societal challenges. Integrating citizen science with sustainability entails leveraging public engagement in scientific research to promote sustainable practices and advance the United Nations 2030 Agenda for Sustainable Development Goals (SDGs). The degree of public participation can influence the learning outcomes achieved. This study investigated the benefits and limitations of a co-creation citizen science approach implemented in a school context for monitoring species distribution on rocky shores, aligned with SDGs 4, 13, and 14. A mixed-methods design was applied, combining questionnaires administered to students (n = 100); participant observations of students, teachers, and researchers; and the analysis of observations submitted by one class (C2) to the iNaturalist platform. Students recorded 21 valid observations representing 13 different taxa, and developed skills such as critical thinking, problem-solving, collaboration, and interpersonal communication. They also recognised the potential of co-creation as a means of addressing scientific questions. However, teachers reported constraints in implementing the project, notably the breadth of the school curriculum and the lack of local support. This study reinforces the potential of co-creation citizen science projects to foster sustainable education.</t>
  </si>
  <si>
    <t>[Neves, Ana Teresa; Boaventura, Diana] Ctr Invest &amp; Estudos Joao de Deus, Escola Super Educ Joao de Deus, P-1269094 Lisbon, Portugal; [Boaventura, Diana] Univ Lisbon, Fac Ciencias, ARNET Aquat Res Network, MARE Marine &amp; Environm Sci Ctr, P-1749016 Lisbon, Portugal; [Galvao, Cecilia] Univ Lisbon, Inst Educ, P-1649013 Lisbon, Portugal; [Galvao, Cecilia] Univ Lisbon, Fac Med, ISAMB Inst Saude Ambiental, Ave Prof Egas Moniz, P-1649028 Lisbon, Portugal</t>
  </si>
  <si>
    <t>Universidade de Lisboa; Universidade de Lisboa; Instituto Superior de Ciencias da Saude Egas Moniz; Universidade de Lisboa</t>
  </si>
  <si>
    <t>Neves, AT (corresponding author), Ctr Invest &amp; Estudos Joao de Deus, Escola Super Educ Joao de Deus, P-1269094 Lisbon, Portugal.</t>
  </si>
  <si>
    <t>teresa.neves@escolasjoaodeus.pt; d.boaventura@escolasjoaodeus.pt; cgalvao@ie.ulisboa.pt</t>
  </si>
  <si>
    <t>Boaventura, Diana/I-7191-2012</t>
  </si>
  <si>
    <t>Boaventura, Diana/0000-0002-3658-2925; Galvão, Cecília/0000-0002-0347-4872; Ferreira das Neves, Ana Teresa/0000-0001-5676-9482</t>
  </si>
  <si>
    <t>Fundao para a Cincia e a Tecnologia (FCT) [UID/04292/2023, LA/P/0069/2020, SFRH/BD/138527/2018]</t>
  </si>
  <si>
    <t>Fundao para a Cincia e a Tecnologia (FCT)(Fundacao para a Ciencia e a Tecnologia (FCT))</t>
  </si>
  <si>
    <t>This research was supported by Fundac &amp; atilde;o para a Ciencia e a Tecnologia (FCT) through project UID/04292/2023 awarded to MARE and project LA/P/0069/2020 granted to the Associate Laboratory ARNET. Additional support was provided by FCT under the Doctoral Grant SFRH/BD/138527/2018.</t>
  </si>
  <si>
    <t>OCT 16</t>
  </si>
  <si>
    <t>10.3390/su17209198</t>
  </si>
  <si>
    <t>9BN2Y</t>
  </si>
  <si>
    <t>WOS:001602408300001</t>
  </si>
  <si>
    <t>Lopes, MD; Marques, BR; Petrucio, MM; Leite, NK</t>
  </si>
  <si>
    <t>Lopes, Michelle Das Neves; Marques, Bruno Rafael; Petrucio, Mauricio Melo; Leite, Nei Kavaguichi</t>
  </si>
  <si>
    <t>PARTICIPATORY MONITORING OF WATER QUALITY IN A COASTAL LAGOON: INTEGRATING CITIZEN SCIENCE AND ENVIRONMENTAL EDUCATION THROUGH DIGITAL MEDIA</t>
  </si>
  <si>
    <t>GEOSABERES</t>
  </si>
  <si>
    <t>Water resources; Water quality; Conservation Unit; Educommunication</t>
  </si>
  <si>
    <t>The participatory monitoring of water quality in a coastal lagoon, conducted by public school students and made accessible to the community through a digital application with a QR code, represents an innovative strategy that integrates citizen science and educommunication. Over four months, students actively engaged in the collection and analysis of limnological parameters, linking school curriculum with scientific practice and enhancing the understanding of local ecology. The results demonstrate that this approach strengthens community engagement and environmental awareness, fostering behavioral changes aimed at the sustainable management of water resources. Disseminating the findings through digital media expanded the reach of environmental information and encouraged social participation in territorial governance, particularly within protected areas. This initiative contributes to the development of environmentally conscious citizens, promotes participatory management of conservation units, and reinforces urban planning and climate resilience.</t>
  </si>
  <si>
    <t>[Lopes, Michelle Das Neves; Marques, Bruno Rafael; Petrucio, Mauricio Melo; Leite, Nei Kavaguichi] Univ Fed Santa Catarina UFSC, Florianopolis, SC, Brazil</t>
  </si>
  <si>
    <t>Universidade Federal de Santa Catarina (UFSC)</t>
  </si>
  <si>
    <t>Lopes, MD (corresponding author), Univ Fed Santa Catarina UFSC, Florianopolis, SC, Brazil.</t>
  </si>
  <si>
    <t>michellenlopes@gmail.com; bruno.rm@discente.ufma.br; mpetrucio@gmail.com; nei.leite@ufsc.br</t>
  </si>
  <si>
    <t>MARQUES, BRUNO RAFAEL/ORJ-8954-2025; LEITE, NEI/C-6156-2019</t>
  </si>
  <si>
    <t>UNIV FEDERAL CEARA, GEOGRAPHY POSGRADUATE PROGRAM</t>
  </si>
  <si>
    <t>CEARA</t>
  </si>
  <si>
    <t>CAMPUS DO PICI, BLOCK 911, FORTALEZA, CEARA, 60440-900, BRAZIL</t>
  </si>
  <si>
    <t>2178-0463</t>
  </si>
  <si>
    <t>10.26895/geosaberes.v16i0.1382</t>
  </si>
  <si>
    <t>A0234</t>
  </si>
  <si>
    <t>WOS:001619104700001</t>
  </si>
  <si>
    <t>Zhang, JL; Chen, SQ; Cheng, C; Liu, Y; Jennerjahn, TC</t>
  </si>
  <si>
    <t>Zhang, Jialin; Chen, Shiquan; Cheng, Cheng; Liu, Yan; Jennerjahn, Tim C.</t>
  </si>
  <si>
    <t>Citizen science to support coastal research and management: Insights from a seagrass monitoring case study in Hainan, China</t>
  </si>
  <si>
    <t>Citizen science; Seagrass conservation; Environmental education; Public participation</t>
  </si>
  <si>
    <t>CONSERVATION; MARINE; CHALLENGES; SCIENTISTS; VOLUNTEER; DEBRIS; TOOL</t>
  </si>
  <si>
    <t>Citizen science has an active role in coastal and marine ecosystem monitoring, including seagrass beds. However, as yet the use of citizen science in the marine environment is limited. Moreover, there are very few studies analyzing and evaluating existing successful case studies, and the need for such work to fill vast information gaps is arguably great. This study evaluates a seagrass citizen science monitoring case study conducted on the Chinese island of Hainan from three perspectives: public participation, scientific impact, and social-ecological/economic impact. It also analyzes and assesses the role of civil society organizations in the implementation of citizen science projects for the first time. Our results challenge the dominant view of citizen science as a two-party relationship between academic researchers and volunteers. The evaluation shows that the impact of the proj-ect was limited in terms of the scientific and social/ecological dimensions. Yet, the results indicate that both, researchers and civil society, benefit from taking part in citizen science initiatives, as it provides a bridge to promote the collaboration between academic institutions and civil society organizations. Finally, drawing upon the lessons learned in this case study we outline general critical features of citizen science projects that support marine conservation practice and policy.</t>
  </si>
  <si>
    <t>[Zhang, Jialin; Jennerjahn, Tim C.] Leibniz Ctr Trop Marine Res ZMT, D-28359 Bremen, Germany; [Chen, Shiquan] Hainan Acad Ocean &amp; Fishery Sci, Haikou 571126, Peoples R China; [Cheng, Cheng] Hainan Acad Mangrove, Hainan Acad Forestry, Haikou 571100, Peoples R China; [Liu, Yan] Hainan Squirrel Sch, Haikou 570208, Peoples R China; [Jennerjahn, Tim C.] Univ Bremen, Fac Geosci, D-28359 Bremen, Germany; [Chen, Shiquan] Minist Nat Resources, Key Lab Marine Ecol Conservat &amp; Restorat, Xiamen 361005, Peoples R China</t>
  </si>
  <si>
    <t>Leibniz Association; Leibniz Zentrum fur Marine Tropenforschung (ZMT); University of Bremen; Ministry of Natural Resources of the People's Republic of China</t>
  </si>
  <si>
    <t>Zhang, JL (corresponding author), Leibniz Ctr Trop Marine Res ZMT, D-28359 Bremen, Germany.;Chen, SQ (corresponding author), Hainan Acad Ocean &amp; Fishery Sci, Haikou 571126, Peoples R China.;Chen, SQ (corresponding author), Minist Nat Resources, Key Lab Marine Ecol Conservat &amp; Restorat, Xiamen 361005, Peoples R China.</t>
  </si>
  <si>
    <t>jialin.zhang@leibniz-zmt.de; chensq@hnhky.cn; cc401@163.com; songshuxuetang@126.com; tim.jennerjahn@leibniz-zmt.de</t>
  </si>
  <si>
    <t>Jennerjahn, Tim/AAE-9146-2020; chen, Shiquan/HIK-3968-2022</t>
  </si>
  <si>
    <t>Jennerjahn, Tim/0000-0003-1022-5126; chen, Shiquan/0000-0001-9599-2265; Zhang, Jialin/0009-0000-6850-3454</t>
  </si>
  <si>
    <t>German Federal Ministry of Education and Research [01DO17018]; National Natural Science Foundation of China [42166006]; Hainan Provincial Basic and Applied Basic Research Fund for High-Level Talents in Natural Science [421RC662]; Zhilan Foundation [2020100331B]; Fund of Key Laboratory of Marine Ecological Conservation and Restoration, Ministry of Natural Resources [EPR2022005]</t>
  </si>
  <si>
    <t>German Federal Ministry of Education and Research(Federal Ministry of Education &amp; Research (BMBF)); National Natural Science Foundation of China(National Natural Science Foundation of China (NSFC)); Hainan Provincial Basic and Applied Basic Research Fund for High-Level Talents in Natural Science; Zhilan Foundation(ACEV Foundation); Fund of Key Laboratory of Marine Ecological Conservation and Restoration, Ministry of Natural Resources</t>
  </si>
  <si>
    <t>We thank our numerous volunteers, whose contributions provided the basis for the successful implementation of this project. The insightful comments of two anonymous reviewers helped to improve the quality of this article. This work was supported by the German Federal Ministry of Education and Research (Grant No. 01DO17018), the National Natural Science Foundation of China (Grant No. 42166006), the Hainan Provincial Basic and Applied Basic Research Fund for High-Level Talents in Natural Science (Grant No. 421RC662), the Zhilan Foundation (Grant No. 2020100331B), and the Fund of Key Laboratory of Marine Ecological Conservation and Restoration, Ministry of Natural Resources (Grant No. EPR2022005).</t>
  </si>
  <si>
    <t>JAN 1</t>
  </si>
  <si>
    <t>10.1016/j.ocecoaman.2022.106403</t>
  </si>
  <si>
    <t>6C9OE</t>
  </si>
  <si>
    <t>WOS:000882333000001</t>
  </si>
  <si>
    <t>Biggs, J; Ewald, N; Valentini, A; Gaboriaud, C; Dejean, T; Griffiths, RA; Foster, J; Wilkinson, JW; Arnell, A; Brotherton, P; Williams, P; Dunn, F</t>
  </si>
  <si>
    <t>Biggs, Jeremy; Ewald, Naomi; Valentini, Alice; Gaboriaud, Coline; Dejean, Tony; Griffiths, Richard A.; Foster, Jim; Wilkinson, John W.; Arnell, Andy; Brotherton, Peter; Williams, Penny; Dunn, Francesca</t>
  </si>
  <si>
    <t>Using eDNA to develop a national citizen science-based monitoring programme for the great crested newt (Triturus cristatus)</t>
  </si>
  <si>
    <t>Environmental DNA; Citizen science; Freshwater; Biodiversity conservation; Triturus cristatus; qPCR</t>
  </si>
  <si>
    <t>ENVIRONMENTAL DNA; ANCIENT DNA; BIODIVERSITY; CONSERVATION; LIMITATIONS; VOLUNTEERS; ADVANTAGES; OCCUPANCY; ABUNDANCE; DITCHES</t>
  </si>
  <si>
    <t>The use of environmental DNA (eDNA) is rapidly emerging as a potentially valuable survey technique for rare or hard to survey freshwater organisms. For the great crested newt (Triturus cristatus) in the UK, the substantial cost and manpower requirements of traditional survey methods have hampered attempts to assess the status of the species. We tested whether eDNA could provide the basis for a national citizen science-based monitoring programme for great crested newts by (i) comparing the effectiveness of eDNA monitoring with torch counts, bottle trapping and egg searches and (ii) assessing the ability of volunteers to collect eDNA samples throughout the newt's UK range. In 35 ponds visited four times through the breeding season, eDNA detected newts on 139 out of 140 visits, a 99.3% detection rate. Bottle traps, torch counts and egg searches were significantly less effective, detecting newts 76%, 75% and 44% of the time. eDNA was less successful at predicting newt abundance being positively, but weakly, correlated with counts of the number of newts. Volunteers successfully collected eDNA samples across the UK with 219 of 239 sites (91.3%) correctly identified as supporting newts. 8.7% of sites generated false negatives, either because of very small newt populations or practical difficulties in sample collection. There were no false positives. Overall, we conclude that eDNA is a highly effective survey method and could be used as the basis for a national great crested newt monitoring programme. (C) 2014 Elsevier Ltd. All rights reserved.</t>
  </si>
  <si>
    <t>[Biggs, Jeremy; Ewald, Naomi; Williams, Penny; Dunn, Francesca] Freshwater Habitats Trust, First Floor,Bury Knowle House,North Pl, Oxford 0X3 9HY, England; [Valentini, Alice; Gaboriaud, Coline; Dejean, Tony] Spygen, F-73375 Le Bourget Du Lac, France; [Griffiths, Richard A.] Univ Kent, Sch Anthropol &amp; Conservat, Durrell Inst Conservat &amp; Ecol, Canterbury CT2 7NR, Kent, England; [Foster, Jim; Wilkinson, John W.; Arnell, Andy] Amphibian &amp; Reptile Conservat, Bournemouth BH1 4AP, Dorset, England; [Brotherton, Peter] Nat England, Peterborough PE1 1NG, England</t>
  </si>
  <si>
    <t>University of Kent</t>
  </si>
  <si>
    <t>Biggs, J (corresponding author), Freshwater Habitats Trust, First Floor,Bury Knowle House,North Pl, Oxford 0X3 9HY, England.</t>
  </si>
  <si>
    <t>jbiggs@freshwaterhabitats.org.uk</t>
  </si>
  <si>
    <t>Biggs, Juliet/D-4599-2011; valentini, alice/L-3970-2013</t>
  </si>
  <si>
    <t>valentini, alice/0000-0001-5829-5479</t>
  </si>
  <si>
    <t>Department for Environment, Food AMP; Rural Affairs (Defra); Joint Nature Conservation Committee; Natural England; Scottish Natural Heritage [WC1076]</t>
  </si>
  <si>
    <t>Department for Environment, Food AMP; Rural Affairs (Defra)(Department for Environment, Food &amp; Rural Affairs (DEFRA)); Joint Nature Conservation Committee; Natural England; Scottish Natural Heritage</t>
  </si>
  <si>
    <t>This work was funded by the Department for Environment, Food &amp; Rural Affairs (Defra), the Joint Nature Conservation Committee, Natural England and Scottish Natural Heritage under research contract WC1076, with in-kind support from Natural Resources Wales. We would like to thank the many landowners who facilitated access to their sites, and particularly the many people and groups who volunteered time and resources to collect eDNA samples. This included volunteers associated with the NARRS and PondNet projects and the team in Wales co-ordinated by Matt Ellis of Natural Resources Wales who generated an excellent dataset for the detailed methodological component of the project. The project greatly benefitted from the advice and support provided by the project steering group led by Natasha Chick (Defra) and comprising Matt Ashton (Defra), Pete Brotherton (Natural England), Paul Edgar (Natural England), John McKinnel (Scottish Natural Heritage), Katherine Woods (Natural England) and Anna Robinson (JNCC). Our thanks also to Barbara Zweifel for delivering eDNA samples to France for analysis. We thank an anonymous referee, Trevor Beebee and Caren Goldberg for helpful comments which improved the paper.</t>
  </si>
  <si>
    <t>10.1016/j.biocon.2014.11.029</t>
  </si>
  <si>
    <t>CB8KO</t>
  </si>
  <si>
    <t>WOS:000349878700003</t>
  </si>
  <si>
    <t>Goldshtein, E; Soroker, V; Mandelik, Y; Sadeh, A; Haberman, A; Ezra, N; Cohen, Y</t>
  </si>
  <si>
    <t>Goldshtein, Eitan; Soroker, Victoria; Mandelik, Yael; Sadeh, Asaf; Haberman, Ami; Ezra, Nadav; Cohen, Yafit</t>
  </si>
  <si>
    <t>Analyzing spatiotemporal species spread by three declustering methods utilizing monitoring data based on national programs and citizen science</t>
  </si>
  <si>
    <t>Rhynchophorus ferrugineus; Invasion dynamics; Multiplicatively Weighted Buffer-Thiessen; Polygons; Grid; Kernel density estimation; Biodiversity monitoring</t>
  </si>
  <si>
    <t>GYPSY-MOTH LEPIDOPTERA; HOME-RANGE; LYMANTRIIDAE; POPULATIONS; ESTIMATORS; SIMULATION; COLEOPTERA; DISPERSAL; SELECTION; ACCURACY</t>
  </si>
  <si>
    <t>Systematic and dynamic monitoring of species is often performed at preferential locations. Thus, while models of spatial distributions assume evenly distributed spatial sampling, sampling designs are often clustered, resulting in biased estimates. Therefore, spatial declustering methods should be used to reduce bias, for example when quantifying the spread of invasive species. However, little is known about the relative efficiency of such methods. In this study, the spatiotemporal spread of a species was estimated from synthetic data and from field-collected data, using three alternative declustering methods. We compared two grid-based methods that involve data depletion, and a polygon area weighting method (Multiplicatively Weighted Buffer-Thiessen Polygons; MWBTP), in which constrained weights account for spatial redundancy without any loss of data. We applied the effective range radius method to estimate spread rate from range areas in different time steps. The spread rate was determined as a linear regression slope between the effective range radius (root range area/pi) and time. Range areas were produced using 95% isopleth of kernel density estimation, with either fixed or adaptive bandwidths. Directional spread was quantified using the displacement of the population's weighted mean centers over time, and the direction of spread was determined using their standard deviational ellipse. We simulated spatially clustered sampling data, and compared the spread rates based on each of the three declustering methods, relative to that measured under an evenly distributed sampling. MWTBP best estimated the spread rate using adaptive-bandwidth KDE (-2.2% relative difference from the even distribution), whereas the clustered distribution produced a -34.4% relative difference. The grid-based methods produced relative differences of -19.6% and -28.5%. Our field data span two years from an Israeli national monitoring program of the invasive red palm weevil, Rhynchophorus ferrugineus, in which weevil traps were distributed in clusters. The grid-based methods showed small relative differences of up to 2% in spread rate, compared to uncorrected estimates, with MWBTP resulting in the greatest difference (-7% relative difference). The spread direction as evaluated by MWBTP deflected 18.3 degrees from that of the uncorrected method and best reflected the actual spread direction. In conclusion, MWBTP appears to best overcome clustering, and yields superior or similar results to those of the other, more commonly-used methods. Databases from field monitoring programs are accumulating at accelerating rates, commonly with spatial clustering. Thus, we suggest further development and application of declustering methods on such spatial data to reduce biases in ecological and agricultural research and practice.</t>
  </si>
  <si>
    <t>[Goldshtein, Eitan; Cohen, Yafit] Agr Res Org, Inst Agr Engn, Volcani Inst, Dept Sensing Informat &amp; Mechanizat Engn, Rishon Leziyyon, Israel; [Goldshtein, Eitan; Mandelik, Yael] Hebrew Univ Jerusalem, Robert H Smith Fac Agr Food &amp; Environm, Dept Entomol, Rehovot, Israel; [Soroker, Victoria] Agr Res Org, Inst Plant Protect, Volcani Inst, Dept Entomol, Rishon Leziyyon, Israel; [Sadeh, Asaf] Agr Res Org, Volcani Inst, Newe Yaar Res Ctr, Dept Nat Resources, Ramat Yishay, Israel; [Haberman, Ami; Ezra, Nadav] Minist Agr &amp; Rural Dev, Plant Protect &amp; Inspect Serv, Rishon Leziyyon, Israel</t>
  </si>
  <si>
    <t>Volcani Institute of Agricultural Research; Hebrew University of Jerusalem; Volcani Institute of Agricultural Research; Volcani Institute of Agricultural Research</t>
  </si>
  <si>
    <t>Goldshtein, E (corresponding author), Agr Res Org, Inst Agr Engn, Volcani Inst, Dept Sensing Informat &amp; Mechanizat Engn, Rishon Leziyyon, Israel.</t>
  </si>
  <si>
    <t>eitan@volcani.agri.gov.il</t>
  </si>
  <si>
    <t>; Mandelik, Yael/HZI-4596-2023; Sadeh, Asaf/A-3552-2010</t>
  </si>
  <si>
    <t>Goldshtein, Eitan/0000-0003-1450-5491;</t>
  </si>
  <si>
    <t>EU-Project [131- 1627-10]; Israeli Ministry of Agriculture; [FP7 KBBE 2011-5- 289566]</t>
  </si>
  <si>
    <t>EU-Project(European Union (EU)); Israeli Ministry of Agriculture;</t>
  </si>
  <si>
    <t>This research was supported by EU -Project No. FP7 KBBE 2011-5- 289566 Grant Palm Protect. This project also received funding from the Chief Scientist of the Israeli Ministry of Agriculture, Grant No. 131- 1627-10. This paper is a contribution of the Agricultural Research Organization-Volcani Center, Israel, No. 767/22.</t>
  </si>
  <si>
    <t>10.1016/j.ecoinf.2022.101916</t>
  </si>
  <si>
    <t>6X8FB</t>
  </si>
  <si>
    <t>WOS:000896642200005</t>
  </si>
  <si>
    <t>Pescott, OL; Walker, KJ; Pocock, MJO; Jitlal, M; Outhwaite, CL; Cheffings, CM; Harris, F; Roy, DB</t>
  </si>
  <si>
    <t>Pescott, Oliver L.; Walker, Kevin J.; Pocock, Michael J. O.; Jitlal, Mark; Outhwaite, Charlotte L.; Cheffings, Christine M.; Harris, Felicity; Roy, David B.</t>
  </si>
  <si>
    <t>Ecological monitoring with citizen science: the design and implementation of schemes for recording plants in Britain and Ireland</t>
  </si>
  <si>
    <t>atlas; biological recording; botany; long-term monitoring; participatory monitoring; surveillance monitoring; volunteer surveying</t>
  </si>
  <si>
    <t>GLOBAL BIODIVERSITY INDICATORS; NITROGEN DEPOSITION; CONSERVATION; BRITISH; CLIMATE; TOOL; PROBABILITY; BUTTERFLIES; MANAGEMENT; FREQUENCY</t>
  </si>
  <si>
    <t>Interest in citizen science has been increasing rapidly, although the reviews available to date have not clearly outlined the links between the long-established practice of recording plant species' distributions for local and national atlases, or other recording projects, and the gradual development of more structured monitoring schemes that also rely on volunteer effort. We provide a review of volunteer-based plant monitoring in Britain and Ireland, with a particular focus on the contributions of expert volunteers working with biological recording schemes and natural history societies; in particular, we highlight projects and practices that have improved the quality of data collected. Although the monitoring of plant distributions at larger scales has led to numerous insights into floristic change and its causes, these activities have also led to the recognition that knowledge of species' abundances at finer-scales often provides a more powerful means of detecting and interpreting change. In the UK, this has led to the development of a new, abundance-based National Plant Monitoring Scheme'. We outline this new structured scheme, and review some of the design considerations that have been made during its development. New monitoring projects require a clear justification, and the launch of a new scheme is also an opportune moment to review whether some basic assumptions about the collection of monitoring data can withstand scrutiny. A distinction is often made between monitoring that is focused on answering particular, focused questions, and that which is more generally seeking to detect changes; for example, in species' distributions or abundances. Therefore, we also review the justification for such general surveillance' approaches to the monitoring of biodiversity, and place this in the context of volunteer-based initiatives. We conclude that data collected by biological recorders working within atlas or monitoring scheme frameworks will continue to produce datasets that are highly valued by governments, scientists, and the volunteers themselves.</t>
  </si>
  <si>
    <t>[Pescott, Oliver L.; Pocock, Michael J. O.; Jitlal, Mark; Outhwaite, Charlotte L.; Roy, David B.] Ctr Ecol &amp; Hydrol, Biol Records Ctr, Wallingford OX10 8BB, Oxon, England; [Walker, Kevin J.] Bot Soc Britain &amp; Ireland, Harrogate HG1 1SS, England; [Cheffings, Christine M.] Joint Nat Conservat Comm, Peterborough PE1 1JY, Cambs, England; [Harris, Felicity] Plantlife, Salisbury SP1 1DX, Wilts, England</t>
  </si>
  <si>
    <t>Pescott, OL (corresponding author), Ctr Ecol &amp; Hydrol, Biol Records Ctr, Maclean Bldg,Benson Lane, Wallingford OX10 8BB, Oxon, England.</t>
  </si>
  <si>
    <t>olipes@ceh.ac.uk</t>
  </si>
  <si>
    <t>Walker, Kevin/KGK-8288-2024; Roy, David/A-6619-2009; Pocock, Michael/A-5632-2012; Pescott, Oliver/O-4321-2019</t>
  </si>
  <si>
    <t>Pocock, Michael/0000-0003-4375-0445; Pescott, Oliver/0000-0002-0685-8046; Outhwaite, Charlotte/0000-0001-9997-6780</t>
  </si>
  <si>
    <t>Joint Nature Conservation Committee; Natural Environment Research Council [NEC04932]; NERC [ceh020004] Funding Source: UKRI; Natural Environment Research Council [ceh020004] Funding Source: researchfish</t>
  </si>
  <si>
    <t>Joint Nature Conservation Committee; Natural Environment Research Council(UK Research &amp; Innovation (UKRI)Natural Environment Research Council (NERC)); NERC(UK Research &amp; Innovation (UKRI)Natural Environment Research Council (NERC)); Natural Environment Research Council(UK Research &amp; Innovation (UKRI)Natural Environment Research Council (NERC))</t>
  </si>
  <si>
    <t>We thank Chris D. Preston for many helpful comments on the text. We also thank Stuart Newson and one anonymous reviewer for comments that improved the paper. We are indebted to the following individuals who contributed to the development of the National Plant Monitoring Scheme: Adam Butler, David Elston, David Noble, Ian Strachan, Iain Diack, Louise Marsh, Lynn Heeley, John Redhead, Peter Henrys, Quentin Groom, Richard Jefferson, Stephen Freeman, Steve Buckland, Steve Langton, Stuart Smith, Sue Southway, Susie Jarvis, and Trevor Dines. The Biological Record Centre receives support from the Joint Nature Conservation Committee and the Natural Environment Research Council (via National Capability funding to the Centre for Ecology and Hydrology, project NEC04932).</t>
  </si>
  <si>
    <t>10.1111/bij.12581</t>
  </si>
  <si>
    <t>WOS:000356368400004</t>
  </si>
  <si>
    <t>Ditmer, MA; Iannarilli, F; Tri, AN; Garshelis, DL; Carter, NH</t>
  </si>
  <si>
    <t>Ditmer, Mark A.; Iannarilli, Fabiola; Tri, Andrew N.; Garshelis, David L.; Carter, Neil H.</t>
  </si>
  <si>
    <t>Artificial night light helps account for observer bias in citizen science monitoring of an expanding large mammal population</t>
  </si>
  <si>
    <t>JOURNAL OF ANIMAL ECOLOGY</t>
  </si>
  <si>
    <t>bears; human-wildlife interactions; occupancy model; range expansion; spatial bias; species monitoring</t>
  </si>
  <si>
    <t>AMERICAN BLACK BEARS; N-MIXTURE MODELS; ECOLOGICAL RESEARCH; URSUS-AMERICANUS; RANGE SHIFTS; TOOL; CARNIVORES; LANDSCAPE; ABUNDANCE; CLIMATE</t>
  </si>
  <si>
    <t>1. The integration of citizen scientists into ecological research is transforming how, where, and when data are collected, and expanding the potential scales of ecological studies. Citizen-science projects can provide numerous benefits for participants while educating and connecting professionals with lay audiences, potentially increasing the acceptance of conservation and management actions. However, for all the benefits, collection of citizen-science data is often biased towards areas that are easily accessible (e.g. developments and roadways), and thus data are usually affected by issues typical of opportunistic surveys (e.g. uneven sampling effort). These areas are usually illuminated by artificial light at night (ALAN), a dynamic sensory stimulus that alters the perceptual world for both humans and wildlife. 2. Our goal was to test whether satellite-based measures of ALAN could improve our understanding of the detection process of citizen-scientist-reported sightings of a large mammal. 3. We collected observations of American black bears Ursus americanus (n = 1,315) outside their primary range in Minnesota, USA, as part of a study to gauge population expansion. Participants from the public provided sighting locations of bears on a website. We used an occupancy modelling framework to determine how well ALAN accounted for observer metrics compared to other commonly used metrics (e.g. housing density). 4. Citizen scientists reported 17% of bear sightings were under artificially lit conditions and monthly ALAN estimates did the best job accounting for spatial bias in detection of all observations, based on AIC values and effect sizes ((beta) over cap = 0.81, 0.71-0.90 95% CI). Bear detection increased with elevated illuminance; relative abundance was positively associated with natural cover, proximity to primary bear range and lower road density. Although the highest counts of bear sightings occurred in the highly illuminated suburbs of the Minneapolis-St. Paul metropolitan region, we estimated substantially higher bear abundance in another region with plentiful natural cover and low ALAN (up to similar to 375% increased predicted relative abundance) where observations were sparse. 5. We demonstrate the importance of considering ALAN radiance when analysing citizen-scientist-collected data, and we highlight the ways that ALAN data provide a dynamic snapshot of human activity.</t>
  </si>
  <si>
    <t>[Ditmer, Mark A.; Carter, Neil H.] Univ Michigan, Sch Environm &amp; Sustainabil, Ann Arbor, MI 48109 USA; [Iannarilli, Fabiola] Univ Minnesota, Dept Fisheries Wildlife &amp; Conservat Biol, St Paul, MN 55108 USA; [Tri, Andrew N.; Garshelis, David L.] Minnesota Dept Nat Resources, Grand Rapids, MN USA</t>
  </si>
  <si>
    <t>University of Michigan System; University of Michigan; University of Minnesota System; University of Minnesota Twin Cities; Minnesota Department of Natural Resources</t>
  </si>
  <si>
    <t>Ditmer, MA (corresponding author), Univ Michigan, Sch Environm &amp; Sustainabil, Ann Arbor, MI 48109 USA.</t>
  </si>
  <si>
    <t>mark.ditmer@gmail.com</t>
  </si>
  <si>
    <t>; Iannarilli, Fabiola/GSI-7874-2022</t>
  </si>
  <si>
    <t>Garshelis, David/0000-0003-2705-129X; Iannarilli, Fabiola/0000-0002-7018-3557; Tri, Anew/0000-0002-2345-940X; Carter, Neil/0000-0002-4399-6384</t>
  </si>
  <si>
    <t>National Aeronautics and Space Administration [NNX17AG36G]</t>
  </si>
  <si>
    <t>National Aeronautics and Space Administration(National Aeronautics &amp; Space Administration (NASA))</t>
  </si>
  <si>
    <t>National Aeronautics and Space Administration, Grant/Award Number: NNX17AG36G</t>
  </si>
  <si>
    <t>0021-8790</t>
  </si>
  <si>
    <t>1365-2656</t>
  </si>
  <si>
    <t>J ANIM ECOL</t>
  </si>
  <si>
    <t>J. Anim. Ecol.</t>
  </si>
  <si>
    <t>10.1111/1365-2656.13338</t>
  </si>
  <si>
    <t>QB9OB</t>
  </si>
  <si>
    <t>WOS:000575019700001</t>
  </si>
  <si>
    <t>Jakositz, S; Ghasemi, R; McGreavy, B; Wang, HY; Greenwood, S; Mo, WW</t>
  </si>
  <si>
    <t>Jakositz, Sarah; Ghasemi, Roozbeh; McGreavy, Bridie; Wang, Haiying; Greenwood, Scott; Mo, Weiwei</t>
  </si>
  <si>
    <t>Tap-Water Lead Monitoring through Citizen Science: Influence of Socioeconomics and Participation on Environmental Literacy, Behavior, and Communication</t>
  </si>
  <si>
    <t>JOURNAL OF ENVIRONMENTAL ENGINEERING</t>
  </si>
  <si>
    <t>Crowdsourcing; Drinking water quality; Citizen science; Socioeconomics; Knowledge; Action; Communication</t>
  </si>
  <si>
    <t>KNOWLEDGE; PROGRAM; STATE; TOOL</t>
  </si>
  <si>
    <t>Citizen science has been increasingly applied in environmental monitoring projects as a way to address large-scale social-environmental problems, including a lack of awareness of such problems as well as the capacity for using science to inform decision making. While studies have found that citizen science can help improve environmental literacy and engage participants, knowledge about the extent of such changes in environmental literacy and behaviors as well as how these changes are influenced by participants' socioeconomic characteristics remains limited. In response, we have developed a contest-based citizen science study focused on drinking water quality data collection and education. We sought to understand how socioeconomic characteristics affect participant knowledge in the context of drinking water quality and lead contamination, willingness to take preventative actions to improve health protection, and frequency of communication about water quality issues with those around them. Comparison of pre- and post-surveys showed statistically significant increases in participants' likelihood to communicate about drinking water. With respect to knowledge, this project showed success in improving scientific literacy relating to key lead information and provided self-assessed educational benefits to those who participated. This project demonstrates that citizen science methods could be used to actively engage and inform participants in water quality monitoring efforts, creating a more scientifically literate and active public.</t>
  </si>
  <si>
    <t>[Jakositz, Sarah] CDM Smith Inc, 670 North Commercial St,Suite 208, Manchester, NH 03101 USA; [Ghasemi, Roozbeh; Mo, Weiwei] Univ New Hampshire, Dept Civil &amp; Environm Engn, 35 Colovos Rd, Durham, NH 03824 USA; [McGreavy, Bridie] Univ Maine, Dept Commun &amp; Journalism, 438 Dunn Hall, Orono, ME 04469 USA; [Wang, Haiying] Univ Connecticut, Dept Stat, 215 Glenbrook Rd, Storrs, CT 06269 USA; [Greenwood, Scott] Seacoast Sch Technol, 40 Linden St, Exeter, NH 03833 USA</t>
  </si>
  <si>
    <t>University System Of New Hampshire; University of New Hampshire; University of Maine System; University of Maine Orono; University of Connecticut</t>
  </si>
  <si>
    <t>Mo, WW (corresponding author), Univ New Hampshire, Dept Civil &amp; Environm Engn, 35 Colovos Rd, Durham, NH 03824 USA.</t>
  </si>
  <si>
    <t>jakositzsa@cdmsmith.com; roozbeh.ghaserni@unh.edu; bridie.mcgreavy@maine.edu; haiying.wang@uconn.edu; sgreenwood@sau16.org; weiwei.mo@unh.edu</t>
  </si>
  <si>
    <t>Mo, Weiwei/ABC-6506-2020</t>
  </si>
  <si>
    <t>Mo, Weiwei/0000-0002-1893-0797</t>
  </si>
  <si>
    <t>National Science Foundation under an EAGER Award [1743997]; New Hampshire Department of Environmental Services; Directorate For Engineering; Div Of Chem, Bioeng, Env, &amp; Transp Sys [1743997] Funding Source: National Science Foundation</t>
  </si>
  <si>
    <t>National Science Foundation under an EAGER Award; New Hampshire Department of Environmental Services; Directorate For Engineering; Div Of Chem, Bioeng, Env, &amp; Transp Sys(National Science Foundation (NSF)NSF - Directorate for Engineering (ENG))</t>
  </si>
  <si>
    <t>We would like to acknowledge the support of the National Science Foundation under an EAGER Award (#1743997). Any opinions, findings, and conclusions or recommendations expressed in this material are those of the authors and do not necessarily reflect the views of the National Science Foundation. We would also like to thank Mr. Ian Rohrbacher and the New Hampshire Department of Environmental Services for their support of this project.</t>
  </si>
  <si>
    <t>0733-9372</t>
  </si>
  <si>
    <t>1943-7870</t>
  </si>
  <si>
    <t>J ENVIRON ENG</t>
  </si>
  <si>
    <t>J. Environ. Eng.-ASCE</t>
  </si>
  <si>
    <t>10.1061/(ASCE)EE.1943-7870.0002055</t>
  </si>
  <si>
    <t>Engineering, Environmental; Engineering, Civil; Environmental Sciences</t>
  </si>
  <si>
    <t>3U3LD</t>
  </si>
  <si>
    <t>WOS:000840873500002</t>
  </si>
  <si>
    <t>Leerhoi, F; Rytter, M; Lillemark, MR; Randeris, B; Rix, C; Olesen, J; Olsen, MT; Moller, PR; Lundholm, N; Knudsen, SW; Tottrup, AP</t>
  </si>
  <si>
    <t>Leerhoi, Frederik; Rytter, Maria; Lillemark, Marie Rathcke; Randeris, Brian; Rix, Christian; Olesen, Jorgen; Olsen, Morten Tange; Moller, Peter Rask; Lundholm, Nina; Knudsen, Steen Wilhelm; Tottrup, Anders P.</t>
  </si>
  <si>
    <t>Exploring the potential of extreme citizen science with Danish high school students using environmental DNA for marine monitoring</t>
  </si>
  <si>
    <t>extreme citizen science; co-creation; environmental DNA; marine species; high school</t>
  </si>
  <si>
    <t>EDNA; WATER</t>
  </si>
  <si>
    <t>Citizen science involves non-professionals assisting with scientific research, contributing data, and conducting experiments under professional guidance. In this paper, we describe the citizen science project DNA &amp; life, based at the Natural History Museum of Denmark, which actively engages high school students in both fieldwork and advanced laboratory analyses by collecting and analyzing eDNA samples from marine environments across Denmark. The analysis is performed via species-specific real-time PCR and in a case study we present data gathered in the project from 2017-2023 with focus on the potential of eDNA detecting in use for species monitoring. The results include seasonal occurrence of Mnemiopsis leidyi and national distributions of selected species of particular ecological interest Perca fluviatilis, Anguilla anguilla, Neogobius melanostomus and Alexandrium ostenfeldii. In addition to the eDNA case study, we present a new way of conducting citizen science and eDNA analysis, as a development of the established DNA &amp; life project. Local DNA laboratories are created to shorten the path from sampling site to laboratory facility, creating the possibility for Danish high schools to participate in a new version of the project. In close collaboration with the academic staff of the DNA &amp; life project both teachers and students help develop facilities, protocols and laboratory analyses in an extreme citizen science and co-creation approach, where the participants are involved in a higher level of laboratory work and data analysis. Allowing high school students to perform intricate molecular lab analyzes through an extreme citizen science approach has demonstrated encouraging outcomes and potential for data of high quality in terms of sampling and analyzing eDNA with the purpose of species monitoring and conservation.</t>
  </si>
  <si>
    <t>[Leerhoi, Frederik; Rytter, Maria; Lillemark, Marie Rathcke; Olesen, Jorgen; Moller, Peter Rask; Lundholm, Nina; Knudsen, Steen Wilhelm; Tottrup, Anders P.] Univ Copenhagen, Nat Hist Museum Denmark, Copenhagen, Denmark; [Randeris, Brian] Silkeborg High Sch, Silkeborg, Denmark; [Randeris, Brian; Rix, Christian] Soc Danish Biologist, Odense, Denmark; [Rix, Christian] Rodkilde High Sch, Vejle, Denmark; [Olsen, Morten Tange] Univ Copenhagen, Globe Inst, Copenhagen, Denmark; [Moller, Peter Rask] Univ Tromso UiT Arctic Univ Norway, Norwegian Coll Fishery Sci, Tromso, Norway; [Knudsen, Steen Wilhelm] Norsk Inst Vandforskning NIVA Denmark Water Res, Copenhagen, Denmark</t>
  </si>
  <si>
    <t>University of Copenhagen; University of Copenhagen; UiT The Arctic University of Tromso</t>
  </si>
  <si>
    <t>Leerhoi, F (corresponding author), Univ Copenhagen, Nat Hist Museum Denmark, Copenhagen, Denmark.</t>
  </si>
  <si>
    <t>frederik.leerhoei@snm.ku.dk</t>
  </si>
  <si>
    <t>Knudsen, Steen/C-1072-2015; Olsen, Morten Tange/J-4783-2013; Tøttrup, Anders/N-3836-2013; Lundholm, Nina/AAY-6249-2020</t>
  </si>
  <si>
    <t>Olsen, Morten Tange/0000-0001-6716-6345; Lillemark, Marie Rathcke/0009-0006-8882-8399; Rytter, Maria/0009-0001-7125-8004; Lundholm, Nina/0000-0002-2035-1997</t>
  </si>
  <si>
    <t>Novo Nordisk Foundation [J.nr.NNF21OC0072554]</t>
  </si>
  <si>
    <t>Novo Nordisk Foundation(Novo Nordisk Foundation)</t>
  </si>
  <si>
    <t>We would like to thank all the high school students and teachers for their willingness to take part in the project and contribute with labor in the field and in the laboratories. The authors would like to thank Anne Hjortlund Hansen and Emil Lau Holmstrup for help with operational tasks in the laboratory, and Daniel Geneser and Birgit Kristine Hougaard for engagement as laboratory managers at Hj &amp; oslash;rring Gymnasium and Herning Gymnasium respectively. The project was not able to succeed without the major support from the Society of Danish Biologists (Foreningen af Danske Biologer).r The author(s) declare that financial support was received for the research, authorship, and/or publication of this article. The authors declare that this the extreme citizen science development of the project DNA &amp; life received funding from the Novo Nordisk Foundation (Grant J.nr.NNF21OC0072554). The funder was not involved in the study design, collection, analysis, interpretation of data, the writing of this article or the decision to submit it for publication.</t>
  </si>
  <si>
    <t>10.3389/fmars.2024.1347298</t>
  </si>
  <si>
    <t>LL0B4</t>
  </si>
  <si>
    <t>WOS:001186826800001</t>
  </si>
  <si>
    <t>Tubridy, F; Mölter, A; Lennon, M; Pilla, F</t>
  </si>
  <si>
    <t>Tubridy, Fiadh; Molter, Anna; Lennon, Mick; Pilla, Francesco</t>
  </si>
  <si>
    <t>Citizen science and environmental justice: exploring contradictory outcomes through a case study of air quality monitoring in Dublin</t>
  </si>
  <si>
    <t>LOCAL ENVIRONMENT</t>
  </si>
  <si>
    <t>Citizen science; air pollution; environmental justice; political ecology</t>
  </si>
  <si>
    <t>POLITICAL ECOLOGY; POLLUTION; URBAN; POLICY; GOVERNANCE; CHALLENGES; KNOWLEDGE; SCALE</t>
  </si>
  <si>
    <t>Citizen science is advocated as a response to a broad range of contemporary societal and ecological challenges. However, there are widely varying models of citizen science which may either challenge or reinforce existing knowledge paradigms and associated power dynamics. This paper explores different approaches to citizen science in the context of air quality monitoring in terms of their implications for environmental justice. This is achieved through a case study of air quality management in Dublin which focuses on the role of citizen science in this context. The evidence shows that the dominant interpretation of citizen science in Dublin is that it provides a means to promote awareness and behaviour change rather than to generate knowledge and inform new regulations or policies. This is linked to an overall context of technocratic governance and the exclusion of non-experts from decision-making. It is further closely linked to neoliberal governance imperatives to individualise responsibility and promote market-based solutions to environmental challenges. Last, the evidence highlights that this model of citizen science risks compounding inequalities by transferring responsibility and blame for air pollution to those who have limited resources to address it. Overall, the paper highlights the need for critical analysis of the implications of citizen science in different instances and for alternative models of citizen science whereby communities would contribute to setting objectives and determining how their data is used.</t>
  </si>
  <si>
    <t>[Tubridy, Fiadh] Maynooth Univ, Dept Geog, Maynooth, Kildare, Ireland; [Tubridy, Fiadh; Molter, Anna; Lennon, Mick; Pilla, Francesco] Univ Coll Dublin, Sch Architecture Planning &amp; Environm Policy, Dublin, Ireland</t>
  </si>
  <si>
    <t>Maynooth University; University College Dublin</t>
  </si>
  <si>
    <t>Tubridy, F (corresponding author), Maynooth Univ, Dept Geog, Maynooth, Kildare, Ireland.</t>
  </si>
  <si>
    <t>tubridyd@tcd.ie</t>
  </si>
  <si>
    <t>Mölter, Anna/N-6003-2014; Lennon, Mick/AAH-5714-2019</t>
  </si>
  <si>
    <t>Mölter, Anna/0000-0002-0824-4478; Lennon, Mick/0000-0001-8613-092X; Tubridy, Fiadh/0000-0002-1934-6883; Pilla, Francesco/0000-0002-1535-1239</t>
  </si>
  <si>
    <t>European Commission [872743]</t>
  </si>
  <si>
    <t>This work was supported by the European Commission's Horizon 2020 programme under grant agreement 872743.</t>
  </si>
  <si>
    <t>1354-9839</t>
  </si>
  <si>
    <t>1469-6711</t>
  </si>
  <si>
    <t>LOCAL ENVIRON</t>
  </si>
  <si>
    <t>Local Environ.</t>
  </si>
  <si>
    <t>MAY 4</t>
  </si>
  <si>
    <t>10.1080/13549839.2022.2068143</t>
  </si>
  <si>
    <t>Green &amp; Sustainable Science &amp; Technology; Environmental Studies; Geography; Regional &amp; Urban Planning; Urban Studies</t>
  </si>
  <si>
    <t>Science &amp; Technology - Other Topics; Environmental Sciences &amp; Ecology; Geography; Public Administration; Urban Studies</t>
  </si>
  <si>
    <t>1C2BN</t>
  </si>
  <si>
    <t>WOS:000788398200001</t>
  </si>
  <si>
    <t>Sanderson, C; Braby, MF; Bond, S</t>
  </si>
  <si>
    <t>Sanderson, Chris; Braby, Michael F.; Bond, Suzi</t>
  </si>
  <si>
    <t>Butterflies Australia: a national citizen science database for monitoring changes in the distribution and abundance of Australian butterflies</t>
  </si>
  <si>
    <t>AUSTRAL ENTOMOLOGY</t>
  </si>
  <si>
    <t>Atlas of Living Australia; BioBlitz; biodiversity informatics; butterfly conservation; eButterfly; invertebrate conservation; Lepidoptera; phone app</t>
  </si>
  <si>
    <t>FRAGMENTED URBAN LANDSCAPE; PLEXIPPUS L LEPIDOPTERA; DAY-FLYING MOTHS; SPATIAL-DISTRIBUTION; CONSERVATION STATUS; INVERTEBRATE CONSERVATION; OCYBADISTES-KNIGHTORUM; WESTERN-AUSTRALIA; NYMPHALIDAE; DIVERSITY</t>
  </si>
  <si>
    <t>Conservation biology is a field of science that is heavily biased against insects and allied invertebrates, largely due to a data deficiency feedback loop that maintains a cycle of ignorance and inaction. Because many invertebrate groups are, and remain, extremely data poor, it is frequently difficult to conduct even the most basic conservation actions, such as status evaluation, listing, recovery and monitoring of threatened species. Thus, declines and extinctions of invertebrates are frequently undetected and poorly documented. To address this data deficiency, we have developed a new national database - Butterflies Australia - for one insect taxon that integrates citizen science (data collectors) with global, standardised monitoring protocols and emerging tools in technology and biodiversity informatics. The database is created from a platform, which consists of a phone app and website, that offers the potential to rapidly increase data availability on the occurrence of Australian butterflies at a far greater scale than was previously possible, as well as to monitor trends in their distribution and abundance over time. We discuss the attributes and importance of successful citizen science projects and quantitative methods for monitoring butterflies, both from an Australian perspective and in an international context, and then outline the operational aspects of the Butterflies Australia platform. A review of survey methods that have been used for monitoring or inventorying butterflies in Australia over the past 50 years revealed a diverse array of sampling techniques, with little standardisation between studies and wide variation in space (sampling unit) and time (sampling effort). Transect counts, in particular, have rarely followed the international guidelines recommended for standardised global butterfly monitoring. Finally, we discuss the benefits of our new citizen science tool for butterflies and potentially other invertebrates. We envisage that our platform will engender increased community awareness, improved quantity and quality of data collection, better conservation policy and planning, as well as enhanced resourcing and research for the conservation management of butterflies.</t>
  </si>
  <si>
    <t>[Sanderson, Chris; Braby, Michael F.] Australian Natl Univ, Res Sch Biol, Div Ecol &amp; Evolut, Acton, ACT 2601, Australia; [Braby, Michael F.; Bond, Suzi] Australian Natl Insect Collect, GPO Box 1700, Canberra, ACT 2601, Australia; [Bond, Suzi] Australian Natl Univ, Fenner Sch Environm &amp; Soc, Acton, ACT 2601, Australia</t>
  </si>
  <si>
    <t>Australian National University; Commonwealth Scientific &amp; Industrial Research Organisation (CSIRO); Australian National University</t>
  </si>
  <si>
    <t>Braby, MF (corresponding author), Australian Natl Univ, Res Sch Biol, Div Ecol &amp; Evolut, Acton, ACT 2601, Australia.;Braby, MF (corresponding author), Australian Natl Insect Collect, GPO Box 1700, Canberra, ACT 2601, Australia.</t>
  </si>
  <si>
    <t>michael.braby@anu.edu.au</t>
  </si>
  <si>
    <t>Sanderson, Chris/G-3712-2016</t>
  </si>
  <si>
    <t>Sanderson, Chris/0009-0008-8300-8265</t>
  </si>
  <si>
    <t>Department of Industry, Innovation and Science [CSG56074]</t>
  </si>
  <si>
    <t>Department of Industry, Innovation and Science(Australian GovernmentDepartment of Industry, Innovation and Science)</t>
  </si>
  <si>
    <t>We are most grateful to Michelle Neil (ACSA) for her ongoing advice and support in navigating the citizen science world and for assistance with social media communications, Peter Brenton (ALA) for advice on platform design and data accessibility and Tony Dilger (Geometry Pty Ltd) for software design of the phone app and website. Casey Fulton, Megan Barnes and Donald Hobern also contributed to the early design of the project. We thank Gary Taylor, Matt Williams, Michelle Neil, Myron Zalucki and two anonymous referees for critically reviewing themanuscript, and Phil Bell, Andrea Canzano, Bryan Haywood and MattWilliams for clarifying their sampling protocols and/or sharing their unpublished survey data. The moderation team (Jared Archibald, Ed Petrie, Mark Hopkinson, David Britton, Russell Mayo, Tony Moore, Fabian Douglas, Phil Bell, Simon Grove, Catherine Byrne, Mike Moore, MattWilliams and Andy Williams) are thanked for their enthusiastic involvement and verifying butterfly records. Finally, we thank Katrina (wife of C. S.) for her support and endless patience in what has been an intense but rewarding past few years. The Department of Industry, Innovation and Science provided generous funding (Citizen Science Grant number CSG56074 Butterflies Australia: a national database of butterfly distributions).</t>
  </si>
  <si>
    <t>2052-1758</t>
  </si>
  <si>
    <t>2052-174X</t>
  </si>
  <si>
    <t>AUSTRAL ENTOMOL</t>
  </si>
  <si>
    <t>Austral Entomol.</t>
  </si>
  <si>
    <t>10.1111/aen.12513</t>
  </si>
  <si>
    <t>QQ2BZ</t>
  </si>
  <si>
    <t>WOS:000607588600001</t>
  </si>
  <si>
    <t>McDonald, PS; Grason, E; Adams, J; Litle, K</t>
  </si>
  <si>
    <t>McDonald, P. Sean; Grason, Emily; Adams, Jeffrey; Litle, Kate</t>
  </si>
  <si>
    <t>OF NEEDLES AND HAYSTACKS: HABITAT MAPPING AND CITIZEN SCIENCE TO MONITOR FOR EUROPEAN GREEN CRAB IN WASHINGTON STATE</t>
  </si>
  <si>
    <t>[McDonald, P. Sean] Univ Washington, Sch Aquat &amp; Fishery Sci, Program Environm, Seattle, WA 98195 USA; [Grason, Emily] Univ Washington, Dept Biol, Seattle, WA 98195 USA; [Adams, Jeffrey; Litle, Kate] Univ Washington, Washington Sea Grant, Seattle, WA 98195 USA</t>
  </si>
  <si>
    <t>University of Washington; University of Washington Seattle; University of Washington; University of Washington Seattle; University of Washington; University of Washington Seattle</t>
  </si>
  <si>
    <t>CQ2DV</t>
  </si>
  <si>
    <t>WOS:000360410500217</t>
  </si>
  <si>
    <t>Lindermann, L; Grabener, S; Hellwig, N; Stahl, J; Dieker, P</t>
  </si>
  <si>
    <t>Lindermann, Lara; Grabener, Swantje; Hellwig, Niels; Stahl, Johanna; Dieker, Petra</t>
  </si>
  <si>
    <t>Citizen Science-Based Monitoring of Cavity-Nesting Wild Bees and Wasps - Benefits for Volunteers, Insects, and Ecological Science</t>
  </si>
  <si>
    <t>Trap nests; nesting aids; non-lethal; agricultural landscapes; monitoring; Hymenoptera</t>
  </si>
  <si>
    <t>MOTIVATIONS; CONSERVATION; QUALITY</t>
  </si>
  <si>
    <t>Citizen science approaches are promising for raising awareness about the sensitivity of pollinators to environmental changes and simultaneously gathering data about their biology. Questions remain, however, about citizens' ability to gather accurate data. Here, we present a citizen science monitoring approach of cavity-nesting wild bees and wasps in agricultural landscapes across Germany. By using nesting observation blocks (NOBs), which consist of individual wooden boards screwed together, volunteers record the colonisation and development of cavity-nesting Hymenoptera. To do this, they open the NOBs monthly and photograph each board individually. We tested if volunteers can be trained to accurately identify taxa from photographs by offering identification courses and an online quiz. For that purpose, twelve volunteers without taxonomic knowledge identified and counted larvae and cocoons of wild bees and wasps in 4,203 occupied cavities: 92.4% were correctly identified, 4.8% were incorrectly identified, and 2.8% were unidentifiable by experts. These results indicated that volunteers unfamiliar with these taxonomic groups successfully gained a high level of knowledge within one season supported by identification trainings. Using Wald chi-square tests, successful identification was mainly affected by the variability of the taxon. In view of increasing public demand for habitat restoration to halt and counteract declining pollinator populations, the proposed citizen science monitoring approach offers an opportunity for every interested citizen, regardless of their background knowledge, to engage with wild bees and wasps, and gain knowledge about their ecology.</t>
  </si>
  <si>
    <t>[Lindermann, Lara; Grabener, Swantje; Stahl, Johanna] Thuenen Inst, Braunschweig, Germany; [Hellwig, Niels] Anhalt Univ Appl Sci, Thuenen Inst, Bernburg, Germany; [Dieker, Petra] Thuenen Inst, Natl Monitoring Ctr Biodivers, Braunschweig, Germany</t>
  </si>
  <si>
    <t>Johann Heinrich von Thunen Institute; Johann Heinrich von Thunen Institute</t>
  </si>
  <si>
    <t>Lindermann, L (corresponding author), Thuenen Inst Biodivers, Braunschweig, Germany.</t>
  </si>
  <si>
    <t>lara.lindermann@thuenen.de</t>
  </si>
  <si>
    <t>Hellwig, Niels/K-1322-2019; Grabener, Swantje/OEN-9642-2025</t>
  </si>
  <si>
    <t>Hellwig, Niels/0000-0003-4517-1746; Grabener, Swantje/0000-0003-4748-8157; Dieker, Petra/0000-0002-7767-5183</t>
  </si>
  <si>
    <t>German Federal Ministry of Food and Agriculture; German Research Foundation (Deutsche Forschungsgemeinschaft) [DFG FIP 16/1]</t>
  </si>
  <si>
    <t>German Federal Ministry of Food and Agriculture; German Research Foundation (Deutsche Forschungsgemeinschaft)(German Research Foundation (DFG))</t>
  </si>
  <si>
    <t>The presented study is part of the joint project Monitoring of biodiversity in agricultural landscapes (MonViA) that has been funded by the German Federal Ministry of Food and Agriculture. Niels Hellwig acknowledges additional support by the German Research Foundation (Deutsche Forschungsgemeinschaft, DFG FIP 16/1) .</t>
  </si>
  <si>
    <t>10.5334/cstp.632</t>
  </si>
  <si>
    <t>7IT1X</t>
  </si>
  <si>
    <t>WOS:001571994600005</t>
  </si>
  <si>
    <t>Hatt, DC; Iporac, LAR; Arita, JT; Bally, NK; Collado-Vides, L</t>
  </si>
  <si>
    <t>Hatt, Danielle C.; Iporac, Lowell Andrew R.; Arita, Julianna T.; Bally, Natalie K.; Collado-Vides, Ligia</t>
  </si>
  <si>
    <t>Assessing the interconnectivity across complex dimensions of monitoring pelagic species of Sargassum and the role of citizen science</t>
  </si>
  <si>
    <t>HARMFUL ALGAE</t>
  </si>
  <si>
    <t>Community-based monitoring; Citizen science; Remote sensing; Satellite imagery; Aerial imagery; Drones; Field estimations</t>
  </si>
  <si>
    <t>PHAEOPHYCEAE; NUTRIENT; COAST</t>
  </si>
  <si>
    <t>The mass accumulation of pelagic species of the genus Sargassum (referred to as sargassum) on coastlines is a pressing socio-environmental issue that spans the tropical Atlantic region. Since the unprecedented increase in biomass in 2011, innovative monitoring approaches have emerged to track sargassum across varying spatial and temporal scales, including satellite imagery, aerial imagery, citizen science, and traditional in situ evaluations of biomass. This study systematically reviewed peer-reviewed literature (2011-2024), gray literature, and open science sources to assess the methodologies used to monitor sargassum. Conversations with select experts involved in established monitoring programs, often tailored to end users such as government agencies or local communities, provided additional insight into the multidimensional nature of monitoring strategies. We found that while satellite imagery is commonly paired with in situ biomass evaluations in the literature, citizen science is emerging as a scalable, accessible tool to fill spatial and temporal gaps, despite limited representation in scientific publications. Aerial imagery is frequently mentioned as a promising supplement to both satellite and citizen science efforts, but its practical use remains limited. Field-based estimations remain the most direct method to quantify biomass but are constrained by spatial scale, funding, personnel, and feasibility for long-term monitoring. This review highlights the need for improved collaboration and data sharing across programs and scales, and creating platforms to return information to users. Strengthening connections among all involved in the design, participation, and use of community-based monitoring products, including a stronger relationship and clear benefits, will be essential to provide continuity and improve management strategies for this evolving environmental phenomenon.</t>
  </si>
  <si>
    <t>[Hatt, Danielle C.; Collado-Vides, Ligia] Florida Int Univ, Inst Environm, Dept Biol Sci, Miami, FL 33199 USA; [Iporac, Lowell Andrew R.] Manhattan Univ, Dept Biol &amp; Chem Sci, Bronx, NY 10471 USA; [Iporac, Lowell Andrew R.] Wildlife Conservat Soc, Dept Educ, Bronx Zoo, Bronx, NY 10460 USA; [Arita, Julianna T.] Inst Brasileiro Informacao Ciencia &amp; Tecnol, SAUS Quadra 5-Lote 6,Bloco H, BR-70070912 Brasilia, DF, Brazil; [Bally, Natalie K.] Univ Florida, Coll Agr &amp; Life Sci, Gainesville, FL 32603 USA</t>
  </si>
  <si>
    <t>State University System of Florida; Florida International University; Wildlife Conservation Society; State University System of Florida; University of Florida</t>
  </si>
  <si>
    <t>Hatt, DC (corresponding author), Florida Int Univ, Inst Environm, Dept Biol Sci, Miami, FL 33199 USA.</t>
  </si>
  <si>
    <t>dhatt002@fiu.edu</t>
  </si>
  <si>
    <t>Hatt, Danielle/0000-0002-9311-4095; Bally, Natalie/0000-0002-6276-1257; Collado Vides, Ligia/0000-0002-8842-8321; Iporac, Lowell Anew/0000-0001-6919-3937; Arita, Julianna/0009-0009-4180-8595</t>
  </si>
  <si>
    <t>LGL Ecological Research; National Science Foundation [HRD-1547798, HRD-2111661]; Florida International University, Centers of Research Excellence in Science and Technology (CREST) Program</t>
  </si>
  <si>
    <t>LGL Ecological Research; National Science Foundation(National Science Foundation (NSF)); Florida International University, Centers of Research Excellence in Science and Technology (CREST) Program</t>
  </si>
  <si>
    <t>The authors would like to thank the individuals who kindly gave their time and experience during the informal conversations: B. Van Tussenbroek from the Autonomous University of Mexico (UNAM) , E. Vazquez-Delfin from CINVESTAV and UNAM, V. Dominguez Almela from Seaweed School and Community Network, F. Elmer from Seafields, D. Burkholder from Nova Southeastern University, C. Jimenez-Mariani from Sargassum Monitoring, N. Putman and R.T. Beyea from LGL Ecological Research, J. Olseaga from the University of Miami, and via email, C. Hu from the University of South Florida. All individuals agreed to have their name and institution mentioned within this study. We acknowledge that the paper reflects our interpretation of the experiences of these key personnel, derived from conversations, without specifying individual comments. This material is based upon work supported by the National Science Foundation under Grant No. HRD-1547798 and Grant No. HRD-2111661. These NSF Grants were awarded to Florida International University as part of the Centers of Research Excellence in Science and Technology (CREST) Program. This is contribution #2030 from the Institute of Environment at Florida International University.</t>
  </si>
  <si>
    <t>1568-9883</t>
  </si>
  <si>
    <t>1878-1470</t>
  </si>
  <si>
    <t>Harmful Algae</t>
  </si>
  <si>
    <t>10.1016/j.hal.2025.102939</t>
  </si>
  <si>
    <t>7AX4Q</t>
  </si>
  <si>
    <t>WOS:001566683600001</t>
  </si>
  <si>
    <t>Oliver, AE; Newbold, LK; Gweon, HS; Read, DS; Woodcock, BA; Pywell, RF</t>
  </si>
  <si>
    <t>Oliver, Anna E.; Newbold, Lindsay K.; Gweon, Hyun S.; Read, Daniel S.; Woodcock, Ben A.; Pywell, Richard F.</t>
  </si>
  <si>
    <t>Integration of DNA extraction, metabarcoding and an informatics pipeline to underpin a national citizen science honey monitoring scheme</t>
  </si>
  <si>
    <t>METHODSX</t>
  </si>
  <si>
    <t>Amplicon sequence variants (ASV); Illumina generated PhiX control library; ITS2; Internal transcribed spacer 2; MiSeq platform; Naive bayesian classifier; Vacuum filtration</t>
  </si>
  <si>
    <t>POLLEN; STRATEGY</t>
  </si>
  <si>
    <t>Worldwide honeybees (Apis mellifera L.) are one of the most widely kept domesticated animals, supporting domestic and commercial livelihoods through the production of honey and wax, as well as in the delivery of pollination services to crops. Quantifying which plant species are foraged upon by honeybees provides insights into their nutritional status as well as patterns of landscape scale habitat utilization. Here we outline a rapid and reproducible methodology for identifying environmental DNA (eDNA) originating principally from pollen grains suspended within honey. The process is based on a DNA extraction incorporating vacuum filtration prior to universal eukaryotic internal transcribed spacer 2 region (ITS2) amplicon generation, sequencing and identification. To provide a pre-cursor to sequence phylotyping, we outline systems for error-corrected processing amplicon sequence variant abundance tables that removes chimeras. This methodology underpins the new UK National Honey Monitoring Scheme. We compare the efficacy and speed of centrifugation and filtration systems for removing pollen from honey samples as a precursor to plant DNA barcoding. We introduce the 'HONEYPI' informatics pipeline, an open access resource implemented in python 2.7, to ensure long-term reproducibility during the process of amplicon sequence variant classification. Crown Copyright (C) 2021 Published by Elsevier B.V.</t>
  </si>
  <si>
    <t>[Oliver, Anna E.; Newbold, Lindsay K.; Read, Daniel S.; Woodcock, Ben A.; Pywell, Richard F.] UK Ctr Ecol &amp; Hydrol, Wallingford OX10 8BB, Oxon, England; [Gweon, Hyun S.] Univ Reading, Sch Biol Sci, Reading RG6 6UR, Berks, England</t>
  </si>
  <si>
    <t>UK Centre for Ecology &amp; Hydrology (UKCEH); University of Reading</t>
  </si>
  <si>
    <t>Oliver, AE (corresponding author), UK Ctr Ecol &amp; Hydrol, Wallingford OX10 8BB, Oxon, England.</t>
  </si>
  <si>
    <t>aela@ceh.ac.uk</t>
  </si>
  <si>
    <t>Woodcock, Benjamin/F-9199-2010; Newbold, Lindsay/E-6733-2012; Oliver, Anna/D-7830-2019; Read, Daniel/B-5446-2008</t>
  </si>
  <si>
    <t>Woodcock, Benjamin/0000-0003-0300-9951; Newbold, Lindsay/0000-0001-8895-1406; Gweon, Hyun Soon/0000-0002-6218-6301; Oliver, Anna/0000-0003-4923-277X; Read, Daniel/0000-0001-8546-5154</t>
  </si>
  <si>
    <t>Natural Environment Research Council (NERC) [NE/N018125/1 LTS-M ASSIST]; Biotechnology and Biological Sciences Research Council (BBSRC) [NE/N018125/1 LTS-M ASSIST]; Natural Environment Research Council [NE/N018125/1, NE/R016429/1] Funding Source: researchfish</t>
  </si>
  <si>
    <t>Natural Environment Research Council (NERC)(UK Research &amp; Innovation (UKRI)Natural Environment Research Council (NERC)); Biotechnology and Biological Sciences Research Council (BBSRC)(UK Research &amp; Innovation (UKRI)Biotechnology and Biological Sciences Research Council (BBSRC)); Natural Environment Research Council(UK Research &amp; Innovation (UKRI)Natural Environment Research Council (NERC))</t>
  </si>
  <si>
    <t>This research was funded by the Natural Environment Research Council (NERC) and the Biotechnology and Biological Sciences Research Council (BBSRC) under research program NE/N018125/1 LTS-M ASSIST - Achieving Sustainable Agricultural Systems ( www.assist.ceh.ac.uk) . We are indebted to Peter Martin, Emily Abbott (Hive and Keeper) , Pam Hunter (BBKA) , Ged Marshall (BFA) and others for their advice and support in testing this methodology.</t>
  </si>
  <si>
    <t>2215-0161</t>
  </si>
  <si>
    <t>MethodsX</t>
  </si>
  <si>
    <t>10.1016/j.mex.2021.101303</t>
  </si>
  <si>
    <t>WG7NN</t>
  </si>
  <si>
    <t>WOS:000707181600003</t>
  </si>
  <si>
    <t>Dumas, P; Fiat, S; Durbano, A; Peignon, C; Mou-Tham, G; Ham, J; Gereva, S; Kaku, R; Chateau, O; Wantiez, L; N'Yeurt, AD; Adjeroud, M</t>
  </si>
  <si>
    <t>Dumas, Pascal; Fiat, Sylvie; Durbano, Amaury; Peignon, Christophe; Mou-Tham, Gerard; Ham, Jayven; Gereva, Sompert; Kaku, Rocky; Chateau, Olivier; Wantiez, Laurent; N'Yeurt, Antoine De Ramon; Adjeroud, Mehdi</t>
  </si>
  <si>
    <t>Citizen Science, a promising tool for detecting and monitoring outbreaks of the crown-of-thorns starfish Acanthaster spp.</t>
  </si>
  <si>
    <t>GREAT-BARRIER-REEF; INVASIONS; MARINE</t>
  </si>
  <si>
    <t>Monitoring potentially devastating coral-eating crown-of-thorns starfish (COTS) populations at scales relevant to management is a challenging task. Here, we investigated a citizen science approach to detect COTS outbreaks and prioritize management responses. Between 2014 and 2018, 38 000 COTS were recorded through 641 online observation reports submitted across New Caledonia, Vanuatu and Fiji by private stakeholders (51%), NGOs (22%), business operator (11%), research/government agencies (16%). COTS were observed in multiple areas, including in remote/inhabited reefs where they had never been reported. A three-level classification was developed to discriminate risk areas and propose operational guidelines to streamline management actions. About two-thirds of reports had low abundances (&lt;10 starfish sighted) and could be addressed with low priority. Verification surveys at 65 reef sites confirmed outbreaks in half of the cases, along with high peak densities (7 000 ind.ha(-1)). Combining professional and non-professional observers increased the detection range (+27%) and the number of COTS detections (+129%). Citizen reports were eventually followed by removal campaigns organized within diverse institutional frameworks. While citizen monitoring has intrinsic limitations, we advocate that it constitutes a complementary and promising approach to support the ongoing management efforts in all countries affected by COTS.</t>
  </si>
  <si>
    <t>[Dumas, Pascal; Fiat, Sylvie; Durbano, Amaury; Peignon, Christophe; Mou-Tham, Gerard] IRD, UMR 9220, ENTROPIE, BP A5, Noumea, New Caledonia; [Dumas, Pascal; Ham, Jayven; Gereva, Sompert; Kaku, Rocky] Fisheries Dept Vanuatu, PMB 9045, Port Vila, Vanuatu; [Dumas, Pascal; Adjeroud, Mehdi] Lab Excellence Corail, 58 Ave Paul Alduy, F-66860 Perpignan, France; [Chateau, Olivier] Aquarium Lagons Noumea, 61 Promenade Roger Laroque, Noumea 98800, New Caledonia; [Wantiez, Laurent] Univ Nouvelle Caledonie, BP R4, Noumea 98851, New Caledonia; [N'Yeurt, Antoine De Ramon] Univ South Pacific, Pacific Ctr Environm &amp; Sustainable Dev, Suva, Fiji; [Adjeroud, Mehdi] IRD, UMR 9220, ENTROPIE, UPVD 52 Ave Paul Alduy, F-66860 Perpignan, France</t>
  </si>
  <si>
    <t>Institut de Recherche pour le Developpement (IRD); Universite Nouvelle Caledonie; University of the South Pacific; Institut de Recherche pour le Developpement (IRD); Centre National de la Recherche Scientifique (CNRS); CNRS - Institute of Ecology &amp; Environment (INEE)</t>
  </si>
  <si>
    <t>Dumas, P (corresponding author), IRD, UMR 9220, ENTROPIE, BP A5, Noumea, New Caledonia.;Dumas, P (corresponding author), Fisheries Dept Vanuatu, PMB 9045, Port Vila, Vanuatu.;Dumas, P (corresponding author), Lab Excellence Corail, 58 Ave Paul Alduy, F-66860 Perpignan, France.</t>
  </si>
  <si>
    <t>pascal-paul.dumas@ird.fr</t>
  </si>
  <si>
    <t>Adjeroud, Mehdi/J-6411-2016; De Ramon N'Yeurt, Antoine/AAY-3704-2020; Fiat, Sylvie/JXL-4282-2024; Wantiez, Laurent/L-3343-2013</t>
  </si>
  <si>
    <t>De Ramon N'Yeurt, Antoine/0000-0002-9337-150X; Fiat, Sylvie/0000-0002-7999-5906; Dumas, Pascal/0000-0001-7369-8989; Wantiez, Laurent/0000-0001-5024-2057</t>
  </si>
  <si>
    <t>JAN 14</t>
  </si>
  <si>
    <t>10.1038/s41598-019-57251-8</t>
  </si>
  <si>
    <t>MO2LW</t>
  </si>
  <si>
    <t>WOS:000551365200002</t>
  </si>
  <si>
    <t>Luna, A; Rausell-Moreno, A</t>
  </si>
  <si>
    <t>Luna, Alvaro; Rausell-Moreno, Armand</t>
  </si>
  <si>
    <t>Unveiling the urban colonization of the Asian water monitor (Varanus salvator) across its distribution range using citizen science</t>
  </si>
  <si>
    <t>Citizen science; City; Lizard; Reptile ecology; Southeast Asia; Urban ecology; Species distribution</t>
  </si>
  <si>
    <t>REPTILIA SQUAMATA VARANIDAE; BIODIVERSITY; DIVERSITY; GREEN; GBIF; BIAS; HERPETOFAUNA; LAURENTI; LIZARDS; IMPROVE</t>
  </si>
  <si>
    <t>Background. This study aims to investigate the urban colonization of the Asian water monitor (Varanus salvator) across its entire range of distribution, addressing the paucity of research on this species in urban ecosystems. The research spans the geographic range of the Asian water monitor, focusing on urbanized areas where the species accumulates more observations (Bangkok, Colombo, Jakarta, Kuala Lumpur Methods. We conducted a systematic review to comprehensively assess the current knowledge of the species' presence in cities. Additionally, citizen science data from repositories like GBIF (Global Biodiversity Information facility) were utilized to analyze the distribution patterns of V. salvator in urban environments. To elucidate urban distribution and correct collection biases, observations were weighted by sampling effort, using as a proxy all squamate occurrences available from 2010-2023, including Results. Despite the widespread presence of the Asian water monitor in numerous cities within its distribution range, the available studies on the topic appear to be scarce. Existing research primarily consists of descriptive reports on diet and behavior. Our findings indicate that V. salvator predominantly colonizes green patches in urban areas, such as parks and small gardens. Larger cities exhibit higher records, potentially due to both permanent populations and increased citizen science reporting. Conclusions. The Asian water monitor, as the largest lizard with established populations in cities, remains scarcely studied on a broader scale. However, the urban design of each city seems relevant to understand the distribution patterns within each context. Our study highlights the need for further research to explore the ecological and human dimensions associated with the species' presence in urban environments.</t>
  </si>
  <si>
    <t>[Luna, Alvaro] Univ Europea Madrid, Biosci Dept, Madrid, Spain; [Rausell-Moreno, Armand] MNCN CSIC, Natl Museum Nat Sci, Dept Biogeog &amp; Global Change, Madrid, Spain</t>
  </si>
  <si>
    <t>European University of Madrid; Consejo Superior de Investigaciones Cientificas (CSIC)</t>
  </si>
  <si>
    <t>Luna, A (corresponding author), Univ Europea Madrid, Biosci Dept, Madrid, Spain.</t>
  </si>
  <si>
    <t>alvaro.luna@universidadeuropea.es</t>
  </si>
  <si>
    <t>Rausell-Moreno, Armand/KJL-3514-2024</t>
  </si>
  <si>
    <t>Rausell-Moreno, Armand/0000-0002-5651-1462</t>
  </si>
  <si>
    <t>e17357</t>
  </si>
  <si>
    <t>10.7717/peerj.17357</t>
  </si>
  <si>
    <t>D9D4N</t>
  </si>
  <si>
    <t>WOS:001299112500008</t>
  </si>
  <si>
    <t>Babiso, WZ; Ayano, KK; Haile, AT; Keche, DD; Acharya, K; Werner, D</t>
  </si>
  <si>
    <t>Babiso, Wudinesh Zawuga; Ayano, Kinfe Kassa; Haile, Alemseged Tamiru; Keche, Demissie Dawana; Acharya, Kishor; Werner, David</t>
  </si>
  <si>
    <t>Citizen Science for Water Quality Monitoring in the Meki River, Ethiopia: Quality Assurance and Comparison with Conventional Methods</t>
  </si>
  <si>
    <t>citizen science; validation; irrigation; LaMotte color strips; water quality</t>
  </si>
  <si>
    <t>GROUNDWATER QUALITY; PARAMETERS</t>
  </si>
  <si>
    <t>A lack of water quality information for many water bodies around the world makes it difficult to identify global change and discover early signs of myriad threats to freshwater resources. This problem is widely seen in Ethiopia due to absence of regular monitoring. Citizen science has a great potential to fill these gaps in water quality data, but there is concern about the accuracy of data collected by citizen scientists. Moreover, there is a gap to engage citizen scientists in water quality monitoring, and there is still insufficient awareness of how citizen scientists can become part of a collaborative scheme. This study aimed to evaluate the accuracy of water quality collected by citizen scientists and characterize the water quality of the Meki River with the involvement of citizen scientists. The suitability of the river water for irrigation was evaluated using a combination of citizen science and conventional water quality data collection methods. Water temperature, turbidity, ammonia, phosphate, nitrate, nitrite, total alkalinity, total hardness, and pH were analyzed by both citizen scientists and in a conventional laboratory. The citizen scientists' data, expressed as percent of synthetic standard solution concentrations, indicated good agreement for selected water quality parameters: 123.8 +/- 24.7% for PO43-, 115.6 +/- 6.3% for NO3-, 105.8 +/- 7.4% for pH, and 133.3 +/- 23.6% for NH4+. Thus, citizen scientists can monitor and collect water quality data accurately. From the results, the Meki River water can be used for irrigation, but pollution sources should be controlled to reduce further quality deterioration as the population increases.</t>
  </si>
  <si>
    <t>[Babiso, Wudinesh Zawuga; Ayano, Kinfe Kassa] Arba Minch Univ, Arba Minch Water Technol Inst AWTI, Dept Water Supply &amp; Environm Engn, POB 21, Arba Minch, Ethiopia; [Haile, Alemseged Tamiru] Int Water Management Inst IWMI, POB 5689, Addis Ababa 5689, Ethiopia; [Keche, Demissie Dawana] Arba Minch Univ, Arba Minch Water Technol Inst AWTI, Water Resources Res Ctr, POB 21, Arba Minch, Ethiopia; [Acharya, Kishor; Werner, David] Newcastle Univ, Sch Engn, Newcastle Upon Tyne NE1 7RU, England</t>
  </si>
  <si>
    <t>Arba Minch University; CGIAR; International Water Management Institute (IWMI); Arba Minch University; Newcastle University - UK</t>
  </si>
  <si>
    <t>Babiso, WZ (corresponding author), Arba Minch Univ, Arba Minch Water Technol Inst AWTI, Dept Water Supply &amp; Environm Engn, POB 21, Arba Minch, Ethiopia.</t>
  </si>
  <si>
    <t>21wzawuga@gmail.com</t>
  </si>
  <si>
    <t>Werner, David/0000-0002-6741-1256</t>
  </si>
  <si>
    <t>10.3390/w15020238</t>
  </si>
  <si>
    <t>8A7AB</t>
  </si>
  <si>
    <t>WOS:000916386700001</t>
  </si>
  <si>
    <t>Caputo, B; Manica, M; Filipponi, F; Blangiardo, M; Cobre, P; Delucchi, L; De Marco, CM; Iesu, L; Morano, P; Petrella, V; Salvemini, M; Bianchi, C; della Torre, A</t>
  </si>
  <si>
    <t>Caputo, Beniamino; Manica, Mattia; Filipponi, Federico; Blangiardo, Marta; Cobre, Pietro; Delucchi, Luca; De Marco, Carlo Maria; Iesu, Luca; Morano, Paola; Petrella, Valeria; Salvemini, Marco; Bianchi, Cesare; della Torre, Alessandra</t>
  </si>
  <si>
    <t>ZanzaMapp: A Scalable Citizen Science Tool to Monitor Perception of Mosquito Abundance and Nuisance in Italy and Beyond</t>
  </si>
  <si>
    <t>citizen science; mosquito; nuisance; biting activity; tiger mosquito; Aedes albopictus</t>
  </si>
  <si>
    <t>AEDES-ALBOPICTUS; CHIKUNGUNYA; OUTBREAK; MODEL</t>
  </si>
  <si>
    <t>Mosquitoes represent a considerable nuisance and are actual/potential vectors of human diseases in Europe. Costly and labour-intensive entomological monitoring is needed to correct planning of interventions aimed at reducing nuisance and the risk of pathogen transmission. The widespread availability of mobile phones and of massive Internet connections opens the way to the contribution of citizen in complementing entomological monitoring. ZanzaMapp is the first mobile mosquito application for smartphones specifically designed to assess citizens' perception of mosquito abundance and nuisance in Italy. Differently from other applications targeting mosquitoes, ZanzaMapp prioritizes the number of records over their scientific authentication by requesting users to answer four simple questions on perceived mosquito presence/abundance/nuisance and geo-localizing the records. The paper analyses 36,867 ZanzaMapp records sent by 13,669 devices from 2016 to 2018 and discusses the results with reference to either citizens' exploitation and appreciation of the app and to the consistency of the results obtained with the known biology of main mosquito species in Italy. In addition, we provide a first small-scale validation of ZanzaMapp data as predictors of Aedes albopictus biting females and examples of spatial analyses and maps which could be exploited by public institutions and administrations involved in mosquito and mosquito-borne pathogen monitoring and control.</t>
  </si>
  <si>
    <t>[Caputo, Beniamino; Manica, Mattia; Cobre, Pietro; De Marco, Carlo Maria; della Torre, Alessandra] Sapienza Univ Rome, Lab Affiliated Ist Pasteur Italia Fdn Cenci Bolog, Dept Publ Hlth &amp; Infect Dis, I-00185 Rome, Italy; [Manica, Mattia; Delucchi, Luca] Fdn Edmund Mach, Res &amp; Innovat Ctr, Dept Biodivers &amp; Mol Ecol, I-38010 San Michele All Adige, Italy; [Filipponi, Federico] Inst Environm Protect &amp; Res ISPRA, Via Vitaliano Brancati 48, I-00144 Rome, Italy; [Blangiardo, Marta] Imperial Coll London, Fac Med, MRC Ctr Environm &amp; Hlth, Sch Publ Hlth,Dept Epidemiol &amp; Biostat, London W2 1PG, England; [Iesu, Luca; Petrella, Valeria; Salvemini, Marco] Univ Naples Federico II, Dept Biol, I-80126 Naples, Italy; [Morano, Paola; Bianchi, Cesare] GH Srl, Via Petralia Sottana 11, I-00132 Rome, Italy</t>
  </si>
  <si>
    <t>Sapienza University Rome; Fondazione Edmund Mach; Italian Institute for Environmental Protection &amp; Research (ISPRA); Imperial College London; University of Naples Federico II</t>
  </si>
  <si>
    <t>della Torre, A (corresponding author), Sapienza Univ Rome, Lab Affiliated Ist Pasteur Italia Fdn Cenci Bolog, Dept Publ Hlth &amp; Infect Dis, I-00185 Rome, Italy.</t>
  </si>
  <si>
    <t>beniamino.caputo@uniroma1.it; mattia.manica@protonmail.ch; federico.filipponi@gmail.com; m.blangiardo@imperial.ac.uk; pietrocobre@gmail.com; luca.delucchi@fmach.it; carl00092@gmail.com; dr.l.iesu@gmail.com; paolamorano72@gmail.com; valeria.petrella@unina.it; marco.salvemini@unina.it; cesare@cesarebianchi.com; alessandra.dellatorre@uniroma1.it</t>
  </si>
  <si>
    <t>SALVEMINI, Marco/AAJ-5560-2021; Delucchi, Luca/B-4719-2012; Bianchi, Cesare/C-3475-2008; Caputo, Beniamino/I-2880-2015; Filipponi, Federico/AAG-2947-2019</t>
  </si>
  <si>
    <t>SALVEMINI, Marco/0000-0003-2297-9267; Delucchi, Luca/0000-0002-0493-3516; DE MARCO, CARLO MARIA/0000-0002-8657-3832; MANICA, MATTIA/0000-0003-3709-1199; DELLA TORRE, Alessana/0000-0001-7054-0027; Filipponi, Federico/0000-0002-1419-3734</t>
  </si>
  <si>
    <t>Sapienza University; Medical Research Council [MR/S019669/1] Funding Source: researchfish; MRC [MR/S019669/1] Funding Source: UKRI</t>
  </si>
  <si>
    <t>Sapienza University(Sapienza University Rome); Medical Research Council(UK Research &amp; Innovation (UKRI)Medical Research Council UK (MRC)); MRC(UK Research &amp; Innovation (UKRI)Medical Research Council UK (MRC))</t>
  </si>
  <si>
    <t>The work was partially supported by Progetti Medi Ateneo 2017 of Sapienza University.</t>
  </si>
  <si>
    <t>10.3390/ijerph17217872</t>
  </si>
  <si>
    <t>OQ7BM</t>
  </si>
  <si>
    <t>WOS:000588934000001</t>
  </si>
  <si>
    <t>Watkins, L; Bonter, DN; Sullivan, PJ; Walter, MT</t>
  </si>
  <si>
    <t>Watkins, Lisa; Bonter, David N.; Sullivan, Patrick J.; Walter, M. Todd</t>
  </si>
  <si>
    <t>Methods for monitoring urban street litter: a comparison of municipal audits and an app-based citizen science approach</t>
  </si>
  <si>
    <t>ENVIRONMENTAL SCIENCE-ADVANCES</t>
  </si>
  <si>
    <t>MICROPLASTICS</t>
  </si>
  <si>
    <t>Street litter and the plastic pollution associated with it is an economic and environmental health issue in municipalities worldwide. Most municipal litter data are derived from costly audits, performed by consultants at sparse intervals. Mobile phone apps have been developed to allow citizen scientists to participate in collecting litter data. Both municipal audits and citizen science datasets may be useful not only for informing municipal management decisions but also for increasing scientific understanding of litter dynamics in urban environments. In this analysis, we compare the spatial patterns and composition of litter in Vancouver, Canada, measured through professional municipal audits and with Litterati, a widely used citizen science app. While reported litter composition was consistent across methods, regression analysis shows that spatially, Litterati submissions were more highly correlated with human population patterns than with correlates of litter. We provide method recommendations to improve the utility of resulting data, such that these non-traditional, underutilized datasets may be more fully incorporated into scientific inquiry on litter. Non-traditional methods, including citizen (or participatory) science and professional litter audits can provide high quality data for understanding street litter and associated plastic pollution.</t>
  </si>
  <si>
    <t>[Watkins, Lisa; Walter, M. Todd] Cornell Univ, Dept Biol &amp; Environm Engn, Ithaca, NY 14850 USA; [Bonter, David N.] Cornell Lab Ornithol, Ithaca, NY USA; [Sullivan, Patrick J.] Cornell Univ, Dept Nat Resources &amp; Environm, Ithaca, NY USA; [Watkins, Lisa] Washington Sea Grant, Seattle, WA 98105 USA</t>
  </si>
  <si>
    <t>Cornell University; Cornell University; Cornell University</t>
  </si>
  <si>
    <t>Watkins, L (corresponding author), Cornell Univ, Dept Biol &amp; Environm Engn, Ithaca, NY 14850 USA.;Watkins, L (corresponding author), Washington Sea Grant, Seattle, WA 98105 USA.</t>
  </si>
  <si>
    <t>watkinsl@uw.edu</t>
  </si>
  <si>
    <t>Bonter, David/H-1313-2013</t>
  </si>
  <si>
    <t>National Science Foundation Graduate Research Fellowship Program [2017228528]; National Science Foundation Graduate Research Fellowship</t>
  </si>
  <si>
    <t>National Science Foundation Graduate Research Fellowship Program(National Science Foundation (NSF)); National Science Foundation Graduate Research Fellowship(National Science Foundation (NSF))</t>
  </si>
  <si>
    <t>The authors are grateful to Dick Ayers at Litterati and Patrick Chauo at the City of Vancouver for sharing access to their datasets, as well as insights into the respective methods and applications. Lisa Watkins was supported by the National Science Foundation Graduate Research Fellowship under Grant No. 2017228528.</t>
  </si>
  <si>
    <t>ROYAL SOC CHEMISTRY</t>
  </si>
  <si>
    <t>THOMAS GRAHAM HOUSE, SCIENCE PARK, MILTON RD, CAMBRIDGE CB4 0WF, CAMBS, ENGLAND</t>
  </si>
  <si>
    <t>2754-7000</t>
  </si>
  <si>
    <t>ENVIRON SCI-ADV</t>
  </si>
  <si>
    <t>Environ. Sci.-Adv.</t>
  </si>
  <si>
    <t>10.1039/d4va00008k</t>
  </si>
  <si>
    <t>SW3P7</t>
  </si>
  <si>
    <t>WOS:001219702000001</t>
  </si>
  <si>
    <t>Gili, F; Bertolino, S; Rolando, A</t>
  </si>
  <si>
    <t>Gili, Fabrizio; Bertolino, Sandro; Rolando, Antonio</t>
  </si>
  <si>
    <t>Using mobile device built-in microphones to monitor bats: a new opportunity for large-scale participatory science initiatives</t>
  </si>
  <si>
    <t>Acoustic monitoring; Bats; Citizen science; Low-cost methods; Monitoring programmes; Smartphones</t>
  </si>
  <si>
    <t>ECHOLOCATION CALLS; SOCIAL CALLS; AUTOMATED IDENTIFICATION; CITIZEN SCIENCE; CHIROPTERA</t>
  </si>
  <si>
    <t>Citizen science has become a crucial tool in biodiversity monitoring, often facilitated by the diffusion of mobile devices, such as smartphones and tablets. High costs of professional equipment often limit large-scale monitoring, particularly in bat monitoring programmes based on acoustic surveys. Here we present the potential of using mobile devices for bat monitoring, allowing for large-scale, volunteer-based monitoring programmes. We initially compared mobile devices' performance with a professional bat detector for recording low-frequency bat calls. We then conducted a citizen science pilot study to test the method's feasibility in a real-world setting, recording echolocation and social calls of nine European bat species. We found high similarity in spectrogram quality (0.74 +/- 0.09 for Samsung, 0.90 +/- 0.01 for Huawei, 0.86 +/- 0.09 for Xiaomi, 0.69 +/- 0.09 for Apple) and average peak frequency (differences of 0.2 +/- 0.5 kHz for Samsung, 0.1 +/- 0.7 kHz for Huawei, 0.5 +/- 1.0 kHz for Xiaomi, 0.1 +/- 0.8 kHz for Apple) between calls recorded by mobile devices and professional bat detectors. The number of recorded bat calls per sampling session was also similar. However, differences in sound quality and effectiveness among mobile device brands were found. iOS devices outperformed professional detectors at recording bat calls at increasing distances. The citizen science pilot study tested 35 mobile device models, all of which effectively recorded bats. This study suggests that mobile devices could be an accessible, no-cost tool for large-scale bat monitoring. Incorporating mobile devices into existing monitoring networks or creating new dedicated programmes could not only enhance data collection, but also boost public knowledge and awareness about bats, ultimately promoting informed decision-making and better conservation strategies.</t>
  </si>
  <si>
    <t>[Gili, Fabrizio; Bertolino, Sandro; Rolando, Antonio] Univ Turin, Dept Life Sci &amp; Syst Biol, Via Acad Albertina 13, I-10123 Turin, Italy</t>
  </si>
  <si>
    <t>University of Turin</t>
  </si>
  <si>
    <t>Gili, F (corresponding author), Univ Turin, Dept Life Sci &amp; Syst Biol, Via Acad Albertina 13, I-10123 Turin, Italy.</t>
  </si>
  <si>
    <t>fabrizio.gili@unito.it</t>
  </si>
  <si>
    <t>Gili, Fabrizio/HTN-1367-2023; Bertolino, Sano/V-5508-2019</t>
  </si>
  <si>
    <t>Gili, Fabrizio/0000-0002-1817-0193; Bertolino, Sano/0000-0002-1063-8281; ROLANDO, Antonio/0000-0002-3432-1780</t>
  </si>
  <si>
    <t>Universita degli Studi di Torino</t>
  </si>
  <si>
    <t>Open access funding provided by Universita degli Studi di Torino within the CRUI-CARE Agreement. The authors declare that no funds, grants, or other support were received during the preparation of this manuscript.</t>
  </si>
  <si>
    <t>10.1007/s10531-024-02818-9</t>
  </si>
  <si>
    <t>OC7M4</t>
  </si>
  <si>
    <t>WOS:001186166500002</t>
  </si>
  <si>
    <t>Poh, KC; Evans, JR; Skvarla, MJ; Machtinger, ET</t>
  </si>
  <si>
    <t>Poh, Karen C.; Evans, Jesse R.; Skvarla, Michael J.; Machtinger, Erika T.</t>
  </si>
  <si>
    <t>All for One Health and One Health for All: Considerations for Successful Citizen Science Projects Conducting Vector Surveillance from Animal Hosts</t>
  </si>
  <si>
    <t>citizen science; active surveillance; passive surveillance; vector surveillance; vector-borne disease; domestic animals; wildlife; United States; Canada</t>
  </si>
  <si>
    <t>WHITE-TAILED DEER; IXODES-SCAPULARIS ACARI; KEDS DIPTERA HIPPOBOSCIDAE; AMBLYOMMA-AMERICANUM ACARI; GULF-COAST TICK; BORRELIA-BURGDORFERI; DAMMINI ACARI; LYME-DISEASE; ODOCOILEUS-VIRGINIANUS; PASSIVE SURVEILLANCE</t>
  </si>
  <si>
    <t>Simple Summary Vector-borne diseases are often zoonotic and so a One Health approach must be employed in order to investigate and control them. Therefore, surveillance of arthropod vectors and pathogens among animal populations should complement human disease surveillance. Since traditional surveillance methods to collect arthropod vectors and conduct pathogen testing from animals can be challenging, data collection can be supplemented with citizen science approaches, where the general public is actively involved in collecting animals and/or samples. In this review, we discuss considerations for researchers to create a successful vector surveillance program using citizen science approaches with different stakeholders who own, have interests in, or work with animals. Many vector-borne diseases that affect humans are zoonotic, often involving some animal host amplifying the pathogen and infecting an arthropod vector, followed by pathogen spillover into the human population via the bite of the infected vector. As urbanization, globalization, travel, and trade continue to increase, so does the risk posed by vector-borne diseases and spillover events. With the introduction of new vectors and potential pathogens as well as range expansions of native vectors, it is vital to conduct vector and vector-borne disease surveillance. Traditional surveillance methods can be time-consuming and labor-intensive, especially when surveillance involves sampling from animals. In order to monitor for potential vector-borne disease threats, researchers have turned to the public to help with data collection. To address vector-borne disease and animal conservation needs, we conducted a literature review of studies from the United States and Canada utilizing citizen science efforts to collect arthropods of public health and veterinary interest from animals. We identified common stakeholder groups, the types of surveillance that are common with each group, and the literature gaps on understudied vectors and populations. From this review, we synthesized considerations for future research projects involving citizen scientist collection of arthropods that affect humans and animals.</t>
  </si>
  <si>
    <t>[Poh, Karen C.; Evans, Jesse R.; Skvarla, Michael J.; Machtinger, Erika T.] Penn State Univ, Dept Entomol, University Pk, PA 16802 USA; [Poh, Karen C.] USDA ARS, Anim Dis Res Unit, Pullman, WA 99164 USA</t>
  </si>
  <si>
    <t>Pennsylvania Commonwealth System of Higher Education (PCSHE); Pennsylvania State University; Pennsylvania State University - University Park; United States Department of Agriculture (USDA)</t>
  </si>
  <si>
    <t>Poh, KC (corresponding author), Penn State Univ, Dept Entomol, University Pk, PA 16802 USA.;Poh, KC (corresponding author), USDA ARS, Anim Dis Res Unit, Pullman, WA 99164 USA.</t>
  </si>
  <si>
    <t>karen.poh227@gmail.com; jesserayevans@psu.edu; mxs1578@psu.edu; etm10@psu.edu</t>
  </si>
  <si>
    <t>Evans, Jesse/ODK-4287-2025</t>
  </si>
  <si>
    <t>Poh, Karen/0000-0002-1608-6879</t>
  </si>
  <si>
    <t>10.3390/insects13060492</t>
  </si>
  <si>
    <t>2M0FN</t>
  </si>
  <si>
    <t>WOS:000817387000001</t>
  </si>
  <si>
    <t>Linares, O; Carranza, J; Soliño, M; Delibes-Mateos, M; Ferreras, P; Descalzo, E; Martínez-Jauregui, M</t>
  </si>
  <si>
    <t>Linares, Olmo; Carranza, Juan; Solino, Mario; Delibes-Mateos, Miguel; Ferreras, Pablo; Descalzo, Esther; Martinez-Jauregui, Maria</t>
  </si>
  <si>
    <t>Citizen science to monitor the distribution of the Egyptian mongoose in southern Spain: who provide the most reliable information?</t>
  </si>
  <si>
    <t>Herpestes ichneumon; Hunters; Landowners; Stakeholders; Wildlife rangers; Community-based monitoring; Wildlife monitoring network</t>
  </si>
  <si>
    <t>HERPESTES-ICHNEUMON; MANAGEMENT; OCCUPANCY; CONFLICTS</t>
  </si>
  <si>
    <t>The Egyptian mongoose (Herpestes ichneumonL.) is a medium-size carnivore widely distributed in Africa and in a small part of southern Europe, the Iberian Peninsula, where mongoose populations have recently expanded. The mongoose is relatively easily detectable because of its diurnal habits and because it is the only species of Herpestidae occurring in the Iberian Peninsula. Therefore, its distribution could be monitored through citizen science. In this sense, information provided by stakeholders that make frequent use of natural environments, including hunters, landowners, or wildlife rangers, would be potentially very valuable. Nevertheless, the accuracy of the information provided by these stakeholders as regards mongoose occurrence has never been tested. To do so, we compared mongoose occurrences gathered through field transects (i.e., 2-km walking surveys in which direct observations and indirect signs were recorded) carried out in 218 Andalusian municipalities during 2010-2015 with those obtained through questionnaires conducted in 2016 to hunters (n = 251), landowners (n = 116), and wildlife rangers (n = 133). We did not find any significant difference between mongoose distribution estimated by the reference method (i.e., field surveys) and by questionnaire to wildlife rangers. In contrast, mongoose occurrences reported by hunters and landowners were significantly correlated among them, but not with those collected in field transects (nor with those provided by the rangers). This suggests that a participatory network for monitoring mongoose distribution could rely on the information provided by wildlife rangers. Previous studies showed that hunters can provide useful information from less accessible areas like private estates where official data are not collected. In this sense, our results suggest that further effort is needed to incorporate hunters and landowners in a participatory network to monitor mongoose distribution, and this could include collaborative actions to promote their involvement in addition to increasing their skills in mongoose detection.</t>
  </si>
  <si>
    <t>[Linares, Olmo; Carranza, Juan] Univ Cordoba, Wildlife Res Unit UIRCP, Campus Rabanales Colonia San Jose,Ctra Nacl 4-A, Cordoba 14071, Spain; [Solino, Mario] Univ Complutense Madrid, Dept Econ Anal, Campus Somosaguas, Madrid 28223, Spain; [Solino, Mario] Univ Complutense Madrid, ICEI, Campus Somosaguas, Madrid 28223, Spain; [Delibes-Mateos, Miguel] CSIC, Inst Estudios Sociales Avanzados IESA, Cordoba 14004, Spain; [Ferreras, Pablo; Descalzo, Esther] CSIC UCLM JCCM, Inst Invest Recursos Cineget IREC, Ronda de Toledo 12, Ciudad Real 13071, Spain; [Martinez-Jauregui, Maria] Natl Inst Agr &amp; Food Res &amp; Technol INIA, Forest Res Ctr CIFOR, Ctra de La Coruna Km 7-5, Madrid 28040, Spain; [Martinez-Jauregui, Maria] Univ Valladolid, Sustainable Forest Management Res Inst, Avda Madrid 57, Palencia 34004, Spain; [Martinez-Jauregui, Maria] INIA, Avda Madrid 57, Palencia 34004, Spain</t>
  </si>
  <si>
    <t>Universidad de Cordoba; Complutense University of Madrid; Complutense University of Madrid; Consejo Superior de Investigaciones Cientificas (CSIC); Universidad de Castilla-La Mancha; Consejo Superior de Investigaciones Cientificas (CSIC); CSIC - Instituto de Investigacion en Recursos Cinegeticos (IREC); Instituto Nacional Investigacion Tecnologia Agraria Alimentaria (INIA); Universidad de Valladolid; Universidad de Valladolid</t>
  </si>
  <si>
    <t>Linares, O (corresponding author), Univ Cordoba, Wildlife Res Unit UIRCP, Campus Rabanales Colonia San Jose,Ctra Nacl 4-A, Cordoba 14071, Spain.</t>
  </si>
  <si>
    <t>b02lieso@uco.es</t>
  </si>
  <si>
    <t>Martinez-Jauregui, María/B-3339-2011; Carranza, Juan/E-4472-2010; Ferreras, Pablo/A-6017-2009; Soliño, Mario/A-5648-2012; LINARES, OLMO/MIU-4608-2025; Delibes-Mateos, Miguel/F-8733-2014</t>
  </si>
  <si>
    <t>Martinez-Jauregui, María/0000-0002-7590-822X; Carranza, Juan/0000-0002-0368-7173; Ferreras, Pablo/0000-0002-1116-6706; Soliño, Mario/0000-0001-7065-7348; LINARES, OLMO/0000-0002-9826-7920; Delibes-Mateos, Miguel/0000-0002-3823-5935; Descalzo, Esther/0000-0002-0809-4422</t>
  </si>
  <si>
    <t>[INIACON15-189]; [RTI2018-096348-RC21]; [SBPLY/17/180501/000184]</t>
  </si>
  <si>
    <t>; ;</t>
  </si>
  <si>
    <t>This study is framed within the projects INIACON15-189, RTI2018-096348-RC21, and SBPLY/17/180501/000184.</t>
  </si>
  <si>
    <t>JUL 16</t>
  </si>
  <si>
    <t>10.1007/s10344-020-01408-8</t>
  </si>
  <si>
    <t>MP7ZU</t>
  </si>
  <si>
    <t>WOS:000552420600001</t>
  </si>
  <si>
    <t>Araújo, JL; Morais, C; Paiva, JC</t>
  </si>
  <si>
    <t>Araujo, Jose Luis; Morais, Carla; Paiva, Joao Carlos</t>
  </si>
  <si>
    <t>STUDENTS' ATTITUDES TOWARDS SCIENCE: THE CONTRIBUTION OF A CITIZEN SCIENCE PROJECT FOR MONITORING COASTAL WATER QUALITY AND (MICRO)PLASTICS</t>
  </si>
  <si>
    <t>JOURNAL OF BALTIC SCIENCE EDUCATION</t>
  </si>
  <si>
    <t>attitudes towards science scale; attitudinal changes; citizen science; science education; water quality monitoring</t>
  </si>
  <si>
    <t>SCIENTIFIC LITERACY; CHEMISTRY; MICROPLASTICS; VALIDATION; INSTRUMENT; GENDER</t>
  </si>
  <si>
    <t>The promotion of positive attitudes towards science is an important goal of science education. This research aimed to identify students' attitudes towards science and whether their participation within a citizen science project has contributed to positive attitudinal changes. So, an attitudinal scale was developed, validated, and applied (as a pre and post-test) to 574 students aged between 12 and 14 years old. Positive attitudes towards science were recorded from the outset among children of both groups. Students' participation within the experimental group enhanced relevant positive attitudinal changes at the level of the critical analysis dimension, related to the perception of skills development such as questioning or critical thinking. Furthermore, positive attitudinal changes were achieved within the affinity dimension, related to perceived self-efficacy and appreciation of science and science classes. Positive attitudinal changes towards science among students indicate that citizen science contributes to enhance affective and attitudinal domains of their scientific literacy.</t>
  </si>
  <si>
    <t>[Araujo, Jose Luis; Morais, Carla; Paiva, Joao Carlos] Univ Porto, Fac Sci, Dept Chem &amp; Biochem, CIQUP,Sci Teaching Unit, Rua Campo Alegre S-N, P-4169007 Porto, Portugal</t>
  </si>
  <si>
    <t>Universidade do Porto</t>
  </si>
  <si>
    <t>Araújo, JL (corresponding author), Univ Porto, Fac Sci, Dept Chem &amp; Biochem, CIQUP,Sci Teaching Unit, Rua Campo Alegre S-N, P-4169007 Porto, Portugal.</t>
  </si>
  <si>
    <t>jose.araujo@fc.up.pt; cmorais@fc.up.pt; jcpaiva@fc.up.pt</t>
  </si>
  <si>
    <t>Paiva, João/B-7543-2016; Araújo, José Luís/AGZ-3191-2022; Morais, Carla/M-4813-2013</t>
  </si>
  <si>
    <t>Paiva, João/0000-0002-1377-0085; Araújo, José Luís/0000-0002-0617-2407; Morais, Carla/0000-0002-2136-0019</t>
  </si>
  <si>
    <t>Fundacao para a Ciencia e Tecnologia [Foundation for Science and Technology] (FCT, Lisbon) [SFRH/BD/132482/2017, UIDB/00081/2020]; Fundação para a Ciência e a Tecnologia [UIDB/00081/2020, SFRH/BD/132482/2017] Funding Source: FCT</t>
  </si>
  <si>
    <t>Fundacao para a Ciencia e Tecnologia [Foundation for Science and Technology] (FCT, Lisbon); Fundação para a Ciência e a Tecnologia(Fundacao para a Ciencia e a Tecnologia (FCT))</t>
  </si>
  <si>
    <t>This work was supported by the Fundacao para a Ciencia e Tecnologia [Foundation for Science and Technology] (FCT, Lisbon) under Grant SFRH/BD/132482/2017 and under the framework of project UIDB/00081/2020. The authors gratefully acknowledge the teachers and students who took part in this project and greatly contributed to its success.</t>
  </si>
  <si>
    <t>SCI METHODICAL CTR-SCI EDUCOLOGICA</t>
  </si>
  <si>
    <t>SIAULIAI</t>
  </si>
  <si>
    <t>DONELAICIO ST 29, SIAULIAI, LT-78115, LITHUANIA</t>
  </si>
  <si>
    <t>1648-3898</t>
  </si>
  <si>
    <t>J BALT SCI EDUC</t>
  </si>
  <si>
    <t>J. Balt. Sci. Educ.</t>
  </si>
  <si>
    <t>10.33225/jbse/21.20.881</t>
  </si>
  <si>
    <t>XP4AD</t>
  </si>
  <si>
    <t>WOS:000730808300003</t>
  </si>
  <si>
    <t>López-Bosch, D; Fernández-Llamazares, A; Torrent, L; López-Baucells, A</t>
  </si>
  <si>
    <t>Lopez-Bosch, David; Fernandez-Llamazares, Alvaro; Torrent, Laura; Lopez-Baucells, Adria</t>
  </si>
  <si>
    <t>How do social media posts enhance public interest in a citizen science project? Insights from the Bat Monitoring Programme</t>
  </si>
  <si>
    <t>Chiroptera; Engagement; Conservation; Volunteering; Digital media</t>
  </si>
  <si>
    <t>TWITTER; NETWORKS</t>
  </si>
  <si>
    <t>Citizen science has become an essential tool to gather vast amounts of environmental data worldwide. While the power of social media for marketing campaigns is well documented, few studies have focused on optimizing its content in the context of citizen science. Using the Bat Monitoring Programme (BMP) as a model system and based on a 1-year-long dataset, this article investigates how social media content impacts website traffic and different metrics. Social media was an critical tool for attracting new users to the project website, gathering more than 30% of the new users during the study period. Posts including infographics and images of people performed better than bat photos, obtaining twice as many retweets, shares and saves. Our results highlight that infographics and images of people engaging in the project seem to outperform bat images, thus emphasizing social platforms' promotion of flashy informative visuals and the social influence of other people's image engagement. Twitter and Instagram's higher performances were correlated with a higher number of new user visits to the BMP website. Our study exemplifies how quick and robust analyses of public engagement and behavior on social media may offer a comprehensive understanding of the project's audience, potentially aiding researchers and citizen science project coordinators in optimizing their use of social media and should be widely encouraged.</t>
  </si>
  <si>
    <t>[Lopez-Bosch, David; Fernandez-Llamazares, Alvaro] Univ Autonoma Barcelona, Dept Anim Biol Plant Biol &amp; Ecol BABVE, Barcelona, Spain; [Lopez-Bosch, David; Torrent, Laura; Lopez-Baucells, Adria] Nat Sci Museum Granollers, BiBio Res Grp, Barcelona, Spain; [Lopez-Bosch, David] Univ Autonoma Barcelona, CREAF, Barcelona, Spain; [Fernandez-Llamazares, Alvaro] Univ Autonoma Barcelona, Inst Environm Sci &amp; Technol ICTA, Barcelona, Spain</t>
  </si>
  <si>
    <t>Autonomous University of Barcelona; Centro de Investigacion Ecologica y Aplicaciones Forestales (CREAF-CERCA); Autonomous University of Barcelona; University of Barcelona; Autonomous University of Barcelona</t>
  </si>
  <si>
    <t>López-Bosch, D (corresponding author), Univ Autonoma Barcelona, Dept Anim Biol Plant Biol &amp; Ecol BABVE, Barcelona, Spain.;López-Bosch, D (corresponding author), Nat Sci Museum Granollers, BiBio Res Grp, Barcelona, Spain.;López-Bosch, D (corresponding author), Univ Autonoma Barcelona, CREAF, Barcelona, Spain.</t>
  </si>
  <si>
    <t>david.lopezb@autonoma.cat</t>
  </si>
  <si>
    <t>López-Bosch, David/AFC-9753-2022; Fernández-Llamazares, Álvaro/ABA-6096-2021; Torrent, Laura/T-9146-2019; López Baucells, Adrià/H-6562-2019</t>
  </si>
  <si>
    <t>López-Bosch, David/0000-0002-6185-4902; Fernández-Llamazares, Álvaro/0000-0002-7813-0222; Torrent, Laura/0000-0001-5036-6359;</t>
  </si>
  <si>
    <t>Universitat Autonoma de Barcelona; Government of Catalonia [ARD264/23/000001]; Barcelona Provincial Council [2023/0005732]</t>
  </si>
  <si>
    <t>Universitat Autonoma de Barcelona; Government of Catalonia(Generalitat de Catalunya); Barcelona Provincial Council</t>
  </si>
  <si>
    <t>Open Access Funding provided by Universitat Autonoma de Barcelona.The present study is part of the Bat Monitoring Programme project, which has been funded by the Government of Catalonia (grant number ARD264/23/000001) and the Barcelona Provincial Council (grant number 2023/0005732).</t>
  </si>
  <si>
    <t>JUN 7</t>
  </si>
  <si>
    <t>10.1007/s10344-025-01930-7</t>
  </si>
  <si>
    <t>3MF2A</t>
  </si>
  <si>
    <t>WOS:001503679600001</t>
  </si>
  <si>
    <t>Ben Lamine, E; Di Franco, A; Romdhane, MS; Francour, P</t>
  </si>
  <si>
    <t>Ben Lamine, Emna; Di Franco, Antonio; Romdhane, Mohamed Salah; Francour, Patrice</t>
  </si>
  <si>
    <t>Can citizen science contribute to fish assemblages monitoring in understudied areas? The case study of Tunisian marine protected areas</t>
  </si>
  <si>
    <t>ESTUARINE COASTAL AND SHELF SCIENCE</t>
  </si>
  <si>
    <t>Citizen science; Monitoring; Fish; Tunisia; MPA</t>
  </si>
  <si>
    <t>EASTERN MEDITERRANEAN SEA; VISUAL CENSUS; COASTAL FISH; CONSERVATION; ENGAGEMENT; SCIENTISTS; COMMUNITY; SCANDOLA; CORSICA; FUTURE</t>
  </si>
  <si>
    <t>Resource monitoring is a key issue in ecosystem management especially for marine protected areas (MPAs), where information on the composition and structure of fish assemblages is crucial to design a sound management plan. Data on fish assemblage are usually collected using Underwater Visual Censuses (UVC). However, fish assemblages monitoring in MPAs usually calls for considerable resources in terms of costs, time and technical/scientific skills. Financial resources and trained scientific divers may, however, not be available in certain geographical areas, that are thus understudied. Therefore, involving citizen volunteer divers in fish assemblage monitoring and adopting easy-to-use underwater visual census methods could be an effective way to collect crucial data. Citizen science can be used only if it can provide information that is consistent with that collected using standard scientific monitoring. Here, we aim to: 1) compare the consistency of results from a Standard scientific UVC (S-UVC) and an Easy-to-use UVC (E-UVC) method in assessing fish assemblage spatial variability, and 2) test the consistency of data collected by Scientific Divers (SD) and Scientifically Trained Volunteer divers (STV), using E-UVC. We used, in two consecutive years, three Tunisian future Marine Protected Areas (MPAs) and adjacent areas as case studies. E-UVC and S-UVC data were consistent in highlighting the same spatial patterns for the three MPAs (between MPAs and, inside and outside each one). No significant difference was recorded between data collected by SD or STV. Our results suggest that E-UVC can provide information representing simplified proxies for describing fish assemblages and can therefore be a valuable tool for fish monitoring by citizen divers in understudied areas. This evidence could foster citizen science as an effective tool to raise environmental awareness and involve stakeholders in resource management. (C) 2017 Elsevier Ltd. All rights reserved.</t>
  </si>
  <si>
    <t>[Ben Lamine, Emna; Romdhane, Mohamed Salah] Natl Agronom Inst Tunisia, UR Ecosyst &amp; Aquat Resources, 43 Ave Charles Nicolle, Tunis 1082, Tunisia; [Ben Lamine, Emna; Di Franco, Antonio; Francour, Patrice] Univ Cote DAzur, CNRS, FRE ECOMERS 3729, Parc Valrose 28,Ave Valrose, F-06108 Nice, France</t>
  </si>
  <si>
    <t>Centre National de la Recherche Scientifique (CNRS); Universite Cote d'Azur</t>
  </si>
  <si>
    <t>Ben Lamine, E (corresponding author), Natl Agronom Inst Tunisia, UR Ecosyst &amp; Aquat Resources, 43 Ave Charles Nicolle, Tunis 1082, Tunisia.</t>
  </si>
  <si>
    <t>emna.lamine@gmail.com</t>
  </si>
  <si>
    <t>Romdhane, Mohamed Salah/GTB-5864-2022; Di Franco, Antonio/A-8796-2010; Ben Lamine, Emna/J-5544-2019</t>
  </si>
  <si>
    <t>Di Franco, Antonio/0000-0003-3411-7015; Ben Lamine, Emna/0000-0002-9386-0186; Francour, Patrice/0000-0002-8489-1319</t>
  </si>
  <si>
    <t>Specially Protected Areas Regional Activity Centre (SPA/RAC-UNEP/MAP) (EU); Specially Protected Areas Regional Activity Centre (SPA/RAC-UNEP/MAP) (AECID); Specially Protected Areas Regional Activity Centre (SPA/RAC-UNEP/MAP) (FFEM); Agence de Protection et d'Amenagement du Littoral (APAL); local NGO Abysse Plongee (Tunisia); Agence de l'Eau Rhone Mediterranee Corse (France)</t>
  </si>
  <si>
    <t>This paper is part of the Ph.D. thesis of Emna Ben Lamine. This work has received a financial support from the Specially Protected Areas Regional Activity Centre (SPA/RAC-UNEP/MAP) in the framework of the MedMPAnet project (funded by EU, AECID and FFEM), from the Agence de Protection et d'Amenagement du Littoral (APAL), from the local NGO Abysse Plongee (Tunisia) and from the Agence de l'Eau Rhone Mediterranee Corse (France).</t>
  </si>
  <si>
    <t>0272-7714</t>
  </si>
  <si>
    <t>1096-0015</t>
  </si>
  <si>
    <t>ESTUAR COAST SHELF S</t>
  </si>
  <si>
    <t>Estuar. Coast. Shelf Sci.</t>
  </si>
  <si>
    <t>JAN 5</t>
  </si>
  <si>
    <t>10.1016/j.ecss.2017.11.031</t>
  </si>
  <si>
    <t>FV1GE</t>
  </si>
  <si>
    <t>WOS:000424308600037</t>
  </si>
  <si>
    <t>Corbau, C; Lazarou, A; Bajt, O; Marijic, VF; Simcic, T; Coltorti, M; Pignoni, E; Simeoni, U</t>
  </si>
  <si>
    <t>Corbau, Corinne; Lazarou, Alexandre; Bajt, Oliver; Filipovic Marijic, Vlatka; Simcic, Tatjana; Coltorti, Massimo; Pignoni, Elisa; Simeoni, Umberto</t>
  </si>
  <si>
    <t>Citizen Science for Monitoring Plastic Pollution from Source to Sea: A Systematic Review of Methodologies, Best Practices, and Challenges</t>
  </si>
  <si>
    <t>public engagement; plastic pollution data quality; environmental monitoring; policy integration</t>
  </si>
  <si>
    <t>MARINE LITTER; ANTHROPOGENIC LITTER; WATERSHED-SCALE; MICROPLASTICS; DEBRIS; BEACHES; REVEAL; TREATY; IMPACT; TOOL</t>
  </si>
  <si>
    <t>Citizen science provides a valuable approach for tracking plastic pollution; however, its effectiveness is often limited by methodological inconsistencies, concerns about data quality, and a persistent gap between data collection and policy implementation. This systematic review addresses the key question: What constitutes a comprehensive set of best practices for addressing these issues and enhancing the scientific and societal impact of citizen science in monitoring plastic pollution from source to sea? Analyzing 84 studies, from beach cleanups to microplastic sampling, this review synthesizes best practices and identifies remaining gaps. It presents a structured framework designed to enhance data quality and volunteer participation. Key challenges include the 'microplastic analytical bottleneck,' the 'digital divide,' and notable geographical and demographic disparities that hinder the integration of policies. While citizen science is effective for large-scale data collection, its main challenge is translating data into actionable policies. The main contribution of this review is a series of practical recommendations aimed at improving methodological consistency, ensuring fair volunteer participation, and facilitating the transition from citizen data to evidence-based environmental management, thereby enhancing the effectiveness and impact of citizen science.</t>
  </si>
  <si>
    <t>[Corbau, Corinne; Coltorti, Massimo; Pignoni, Elisa] UNIFE, Dipartimento Sci Ambiente &amp; Prevenz, Via Saragat 1, I-44121 Ferrara, Italy; [Lazarou, Alexandre] Zanassi &amp; Partners, Via GB Amici 29, I-41124 Modena, Italy; [Bajt, Oliver; Simcic, Tatjana] Natl Inst Biol, Vecna Pot 121, Ljubljana SI-1000, Slovenia; [Filipovic Marijic, Vlatka] Rudjer Boskovic Inst, Bijenicka 54, Zagreb 10000, Croatia; [Simeoni, Umberto] Consorzio Univ Ric Socioeconom &amp; Ambiente, Via Sistina 121, I-00187 Rome, Italy</t>
  </si>
  <si>
    <t>National Institute of Biology - Slovenia; Rudjer Boskovic Institute</t>
  </si>
  <si>
    <t>Corbau, C (corresponding author), UNIFE, Dipartimento Sci Ambiente &amp; Prevenz, Via Saragat 1, I-44121 Ferrara, Italy.</t>
  </si>
  <si>
    <t>cbc@unife.it; alexandros.lazarou@gmail.com; oliver.bajt@nib.si; vfilip@irb.hr; tatjana.simcic@nib.si; clt@unife.it; pgnlse@unife.it; g23@unife.it</t>
  </si>
  <si>
    <t>Filipovic Marijic, Vlatka/AAE-5365-2021; Corbau, Corinne/GXG-6338-2022</t>
  </si>
  <si>
    <t>Filipovic Marijic, Vlatka/0000-0003-0581-6511; Coltorti, Massimo/0000-0002-7481-8097; Corbau, Corinne/0000-0002-9210-9745; Pignoni, Elisa/0009-0003-4095-8272; Simcic, Tatjana/0000-0001-6540-926X</t>
  </si>
  <si>
    <t>IPA-ADRION [00140]</t>
  </si>
  <si>
    <t>IPA-ADRION</t>
  </si>
  <si>
    <t>This paper was supported by the IPA-ADRION Project 00140 AdriPLAST project, funded under the Interreg IPA ADRION 2021-2027 Programme, under Priority 2: Supporting a greener and climate resilient Adriatic-Ionian region, Specific Objective SO 2.3: Enhancing protection and preservation of nature, biodiversity and green infrastructure, including reducing pollution.</t>
  </si>
  <si>
    <t>10.3390/w17182668</t>
  </si>
  <si>
    <t>7TX4B</t>
  </si>
  <si>
    <t>WOS:001579567500001</t>
  </si>
  <si>
    <t>Ibrahim, ST; Patel, J; Katapally, TR</t>
  </si>
  <si>
    <t>Ibrahim, Sheriff Tolulope; Patel, Jamin; Katapally, Tarun Reddy</t>
  </si>
  <si>
    <t>Digital citizen science for ethical monitoring of youth physical activity frequency: Comparing mobile ecological prospective assessments and retrospective recall</t>
  </si>
  <si>
    <t>SOCIAL COGNITIVE THEORY; SEDENTARY BEHAVIOR; MENTAL-HEALTH; SCHOOL; CHILDREN; TIME; ASSOCIATION; TRAJECTORIES; ADOLESCENCE; RELIABILITY</t>
  </si>
  <si>
    <t>Physical inactivity is a leading risk factor for mortality worldwide. Understanding youth patterns of moderate-to-vigorous physical activity (MVPA) is essential for addressing non-communicable diseases. Digital citizen science approaches, using citizen-owned smartphones for data collection, offer an ethical and innovative method for monitoring MVPA. This study compares the frequency of MVPA reported by youth using retrospective surveys and mobile ecological prospective momentary assessments (mEPAs) to explore the potential of digital citizen science for physical activity (PA) surveillance. Youth (N = 808) were recruited from Saskatchewan, Canada, between August and December 2018. Sixty-eight participants (ages 13-21) provided complete data on retrospective surveys (International Physical Activity Questionnaire, Simple Physical Activity Questionnaire, Global Physical Activity Questionnaire) and prospective mEPAs. Wilcoxon signed-rank tests compared retrospective and prospective MVPA frequencies, while negative binomial regression analysis examined associations between contextual factors and MVPA. Significant differences were found in the frequency of MVPA reported via retrospective surveys versus mEPAs (p &lt; 0.000). Prospective MVPA was associated with family and friend support, having drug-free friends, part-time employment, and school distance, while retrospective MVPA frequency was associated with school and strength training. Digital citizen science, utilizing mEPAs, can provide more accurate and timely data on youth MVPA. With increasing smartphone access and digital literacy, mEPAs represent a promising method for developing effective and personalized MVPA recommendations for youth. However, these findings should be interpreted with caution, as the sample represents a small subset of youth, limiting generalizability to other youth populations.</t>
  </si>
  <si>
    <t>[Ibrahim, Sheriff Tolulope; Patel, Jamin; Katapally, Tarun Reddy] Western Univ, Fac Hlth Sci, Sch Hlth Studies, DEPtH Lab, London, ON, Canada; [Patel, Jamin; Katapally, Tarun Reddy] Western Univ, Schulich Sch Med &amp; Dent, Dept Epidemiol &amp; Biostat, London, ON, Canada; [Katapally, Tarun Reddy] Lawson Hlth Res Inst, Childrens Hlth Res Inst, London, ON, Canada</t>
  </si>
  <si>
    <t>Katapally, TR (corresponding author), Western Univ, Fac Hlth Sci, Sch Hlth Studies, DEPtH Lab, London, ON, Canada.;Katapally, TR (corresponding author), Western Univ, Schulich Sch Med &amp; Dent, Dept Epidemiol &amp; Biostat, London, ON, Canada.;Katapally, TR (corresponding author), Lawson Hlth Res Inst, Childrens Hlth Res Inst, London, ON, Canada.</t>
  </si>
  <si>
    <t>KATAPALLY, TARUN REDDY/0000-0001-5765-1435</t>
  </si>
  <si>
    <t>Canada Excellence Research Chairs, Government of Canada; Canadian Institute of Health Research</t>
  </si>
  <si>
    <t>Canada Excellence Research Chairs, Government of Canada; Canadian Institute of Health Research(Canadian Institutes of Health Research (CIHR))</t>
  </si>
  <si>
    <t>The authors acknowledge the entire Digital Epidemiology and Population Health Laboratory team (DEPtH) for their unwavering support, as well as the Canadian Institute of Health Research for their support to the DEPtH Lab and the Smart Platform.</t>
  </si>
  <si>
    <t>e0000840</t>
  </si>
  <si>
    <t>10.1371/journal.pdig.0000840</t>
  </si>
  <si>
    <t>2EJ1V</t>
  </si>
  <si>
    <t>WOS:001480645500001</t>
  </si>
  <si>
    <t>Granroth-Wilding, H; Primmer, C; Lindqvist, M; Poutanen, J; Thalmann, O; Aspi, J; Harmoinen, J; Kojola, I; Laaksonen, T</t>
  </si>
  <si>
    <t>Granroth-Wilding, Hanna; Primmer, Craig; Lindqvist, Meri; Poutanen, Jenni; Thalmann, Olaf; Aspi, Jouni; Harmoinen, Jenni; Kojola, Ilpo; Laaksonen, Toni</t>
  </si>
  <si>
    <t>Non-invasive genetic monitoring involving citizen science enables reconstruction of current pack dynamics in a re-establishing wolf population</t>
  </si>
  <si>
    <t>BMC ECOLOGY</t>
  </si>
  <si>
    <t>Evidence-based conservation; Human-wildlife conflict; Predator; Stakeholder involvement; Wildlife management</t>
  </si>
  <si>
    <t>GENOTYPING ERROR; LARGE CARNIVORES; CANIS-LUPUS; R-PACKAGE; DISPERSAL; CONSERVATION; YELLOWSTONE; INFERENCE; RECOVERY; BEHAVIOR</t>
  </si>
  <si>
    <t>Background: Carnivores are re-establishing in many human-populated areas, where their presence is often contentious. Reaching consensus on management decisions is often hampered by a dispute over the size of the local carnivore population. Understanding the reproductive dynamics and individual movements of the carnivores can provide support for management decisions, but individual-level information can be difficult to obtain from elusive, wideranging species. Non-invasive genetic sampling can yield such information, but makes subsequent reconstruction of population history challenging due to incomplete population coverage and error-prone data. Here, we combine a collaborative, volunteer-based sampling scheme with Bayesian pedigree reconstruction to describe the pack dynamics of an establishing grey wolf (Canis lupus) population in south-west Finland, where wolf breeding was recorded in 2006 for the first time in over a century. Results: Using DNA extracted mainly from faeces collected since 2008, we identified 81 individual wolves and assigned credible full parentages to 70 of these and partial parentages to a further 9, revealing 7 breeding pairs. Individuals used a range of strategies to obtain breeding opportunities, including dispersal to established or new packs, long-distance migration and inheriting breeding roles. Gene flow occurred between all packs but inbreeding events were rare. Conclusions: These findings demonstrate that characterizing ongoing pack dynamics can provide detailed, locally-relevant insight into the ecology of contentious species such as the wolf. Involving various stakeholders in data collection makes these results more likely to be accepted as unbiased and hence reliable grounds for management decisions.</t>
  </si>
  <si>
    <t>[Granroth-Wilding, Hanna; Primmer, Craig; Lindqvist, Meri; Poutanen, Jenni; Thalmann, Olaf; Laaksonen, Toni] Univ Turku, Dept Biol, Turku, Finland; [Granroth-Wilding, Hanna] Univ Helsinki, Dept Biosci, Ecol &amp; Evolut Div, Helsinki, Finland; [Primmer, Craig; Lindqvist, Meri] Univ Helsinki, Dept Biosci, Helsinki, Finland; [Primmer, Craig; Lindqvist, Meri] Univ Helsinki, Inst Biotechnol, Helsinki, Finland; [Thalmann, Olaf] Poznan Univ Med Sci, Dept Pediat Gastroenterol &amp; Metab Dis, Poznan, Poland; [Aspi, Jouni; Harmoinen, Jenni] Univ Oulu, Ecol &amp; Genet Res Unit, Oulu, Finland; [Kojola, Ilpo] Nat Resources Inst Luke, Rovaniemi, Finland</t>
  </si>
  <si>
    <t>University of Turku; University of Helsinki; University of Helsinki; University of Helsinki; Poznan University of Medical Sciences; University of Oulu; Natural Resources Institute Finland (Luke)</t>
  </si>
  <si>
    <t>Granroth-Wilding, H (corresponding author), Univ Turku, Dept Biol, Turku, Finland.</t>
  </si>
  <si>
    <t>hanna@granroth-wilding.co.uk</t>
  </si>
  <si>
    <t>; Aspi, Jouni/B-3087-2012; Harmoinen, Jenni/G-8982-2019; Primmer, Craig/B-8179-2008; Laaksonen, Toni/B-4241-2014</t>
  </si>
  <si>
    <t>Thalmann, Olaf/0000-0003-1700-0130; Aspi, Jouni/0000-0002-2451-3201; Harmoinen, Jenni/0000-0001-5402-7127; Primmer, Craig/0000-0002-3687-8435; Poutanen, Jenni/0000-0003-0687-1627; Laaksonen, Toni/0000-0001-9035-7131</t>
  </si>
  <si>
    <t>Varsinais-Suomen maakuntaliitto; University of Turku; Marie Curie Intra European Fellowship within the 7th European Community Framework Program; Finnish Ministry for Agriculture and Forestry; Natural Resources Institute Finland (Luke)</t>
  </si>
  <si>
    <t>Varsinais-Suomen maakuntaliitto; University of Turku; Marie Curie Intra European Fellowship within the 7th European Community Framework Program(European Union (EU)); Finnish Ministry for Agriculture and Forestry; Natural Resources Institute Finland (Luke)</t>
  </si>
  <si>
    <t>Funding for the initial stages of the laboratory work was awarded by Varsinais-Suomen maakuntaliitto and for the pedigree analysis from the University of Turku strategic research funds. OT was funded by a Marie Curie Intra European Fellowship within the 7th European Community Framework Program. We thank the Finnish Ministry for Agriculture and Forestry and the Natural Resources Institute Finland (Luke) for their support.</t>
  </si>
  <si>
    <t>1472-6785</t>
  </si>
  <si>
    <t>BMC ECOL</t>
  </si>
  <si>
    <t>BMC Ecol.</t>
  </si>
  <si>
    <t>DEC 19</t>
  </si>
  <si>
    <t>10.1186/s12898-017-0154-8</t>
  </si>
  <si>
    <t>FR1RN</t>
  </si>
  <si>
    <t>WOS:000418844900004</t>
  </si>
  <si>
    <t>Charvát, K; Smejkal, J; Horák, P; Kollerová, M; Horáková, S; Renault, P</t>
  </si>
  <si>
    <t>Charvat, Karel; Smejkal, Jaroslav; Horak, Petr; Kollerova, Marketa; Horakova, Sarka; Renault, Pierre</t>
  </si>
  <si>
    <t>Citizen Science for Soil Monitoring and Protection in Europe: Insights from the PREPSOIL Project Under the European Soil Mission</t>
  </si>
  <si>
    <t>citizen science; soil monitoring; soil health; volunteer engagement; data validation; remote sensing; biodiversity; policy integration; open data; community stewardship</t>
  </si>
  <si>
    <t>Citizen science (CS) is increasingly recognized as a complementary approach for addressing soil health challenges-including erosion, pollution, nutrient imbalances, and biodiversity loss-by harnessing public participation to broaden spatial and temporal data collection. This review synthesizes findings from the following: (i) a systematic analysis of peer-reviewed literature and grey sources, (ii) a database of 96 CS initiatives compiled by the European PREPSOIL project, and (iii) questionnaire surveys and workshops conducted in five Living Labs across Europe. Our analysis indicates that volunteer-driven monitoring can enhance the volume and granularity of soil data, providing critical insights into parameters such as organic carbon content, nutrient levels, and pollutant concentrations. However, persistent challenges remain, including inconsistencies in data validation, volunteer attrition, and concerns regarding digital literacy and data privacy. Despite these challenges, ongoing efforts to standardize protocols, integrate remote sensing and sensor-based validation methods, and employ feedback mechanisms improve data reliability and participant engagement. We conclude that sustained capacity-building, transparent data governance, and stakeholder collaboration, from local communities to governmental bodies, are essential for fully realizing the potential of citizen science in soil conservation. This work is framed within the context of the European Soil Mission, and CS is demonstrated to meaningfully support sustainable land management and evidence-based policymaking by aligning public-generated observations with established scientific frameworks.</t>
  </si>
  <si>
    <t>[Charvat, Karel; Smejkal, Jaroslav] Lesprojekt Sluzby Sro LESP, Martinov 197, Zaryby 27713, Czech Republic; [Horak, Petr; Horakova, Sarka] WirelessInfo WRLS, Cholinska 1048-19, Litovel 78401, Czech Republic; [Kollerova, Marketa] Czech Ctr Sci &amp; Soc CCSS, Radlicka 663-28, Prague 15000, Czech Republic; [Renault, Pierre] UAR CODIR Unite Appui Rech Coordinat &amp; Direct, 147 Rue Univ, F-75338 Paris 07, France; [Renault, Pierre] INRAE, Unite Mixte Rech Environm Mediterraneen &amp; Modelisa, UMR EMMAH, 228 Route Aerodrome, F-84000 Avignon, France</t>
  </si>
  <si>
    <t>INRAE</t>
  </si>
  <si>
    <t>Charvát, K (corresponding author), Lesprojekt Sluzby Sro LESP, Martinov 197, Zaryby 27713, Czech Republic.</t>
  </si>
  <si>
    <t>charvat@lesprojekt.cz; smejkal@lesprojekt.cz; horak@wirelessinfo.cz; kolleratka@gmail.com; horakova@wirelessinfo.cz; pierre.renault@inrae.fr</t>
  </si>
  <si>
    <t>Charvat, Karel/AAA-3926-2019</t>
  </si>
  <si>
    <t>Charvat, Karel/0000-0001-7678-8437; Renault, Pierre/0000-0002-1890-1865</t>
  </si>
  <si>
    <t>PREPSOIL-Preparing the European Mission towards healthy soils [101070045, 101136910]; EU; Horizon Europe - Pillar II [101070045] Funding Source: Horizon Europe - Pillar II</t>
  </si>
  <si>
    <t>PREPSOIL-Preparing the European Mission towards healthy soils; EU(European Union (EU)); Horizon Europe - Pillar II(European Union (EU)Horizon Europe - Pillar II)</t>
  </si>
  <si>
    <t>This work is also supported by the following EU projects: PREPSOIL-Preparing the European Mission towards healthy soils (Grant agreement ID: 101070045); PoliRuralPlus-Fostering Sustainable, Balanced, Equitable, Place-based and Inclusive Development of Rural-Urban Communities' Using Specific Spatial Enhanced Attractiveness Mapping ToolBox (Grant agreement ID: 101136910).</t>
  </si>
  <si>
    <t>MAY 30</t>
  </si>
  <si>
    <t>10.3390/su17115042</t>
  </si>
  <si>
    <t>3PY1V</t>
  </si>
  <si>
    <t>Green Accepted, gold</t>
  </si>
  <si>
    <t>WOS:001506214200001</t>
  </si>
  <si>
    <t>Venkatesh, B; Velkennedy, R</t>
  </si>
  <si>
    <t>Venkatesh, Baskaran; Velkennedy, R.</t>
  </si>
  <si>
    <t>Formulation of citizen science approach for monitoring Sustainable Development Goal 6: Clean water and sanitation for an Indian city</t>
  </si>
  <si>
    <t>SUSTAINABLE DEVELOPMENT</t>
  </si>
  <si>
    <t>citizen science; clean water; community volunteers; local participation; sanitation; Sustainable Development Goal; Tirunelveli</t>
  </si>
  <si>
    <t>SDG; POLITICS; PERFORMANCE; CHALLENGES; IMPACT</t>
  </si>
  <si>
    <t>The United Nations acknowledges that action in one of the 17 Sustainable Development Goals (SDGs) will impact outcomes in others and that development should interact the social, economic, and environmental sustainability. Many countries have prioritized goals and targets based on their current progress and the prosperity of their people. This article focused on SDG 6: Clean water and sanitation, especially the first two (6.1 and 6.2) out of eight targets. The author has considered SDG 6, a critical goal to focus on and achieve in Tirunelveli city municipal corporation. The study area is situated in the Tirunelveli district of Tamil Nadu, India's southernmost state. Citizen science (CS), also known as community science, has emerged as an effective method of collecting data and supporting a wide range of indicators from the SDG targets. The objective of this article is to utilize the benefit of the CS approach for monitoring the targets 6.1 and 6.2 pertained to drinking water and sanitation facilities respectively in the study area. The activities suggested for this SDG 6 CS project were framing the core question, identification of citizen scientists, data analysis, and action plan. College students, ward councilors, and community volunteers, referred to as three categories of citizen scientists, will collect household data for all 55 wards in the study area. The value of the collected data to various government agencies and monitoring organizations is also discussed.</t>
  </si>
  <si>
    <t>[Venkatesh, Baskaran] Govt Coll Engn, Dept Civil Engn, Tirunelveli 627007, India; [Venkatesh, Baskaran; Velkennedy, R.] Thiagarajar Coll Engn, Dept Civil Engn, Madurai, Tamil Nadu, India</t>
  </si>
  <si>
    <t>Thiagarajar College of Engineering</t>
  </si>
  <si>
    <t>Venkatesh, B (corresponding author), Govt Coll Engn, Dept Civil Engn, Tirunelveli 627007, India.</t>
  </si>
  <si>
    <t>venkatesh@gcetly.ac.in</t>
  </si>
  <si>
    <t>Baskaran, Venkatesh/GQO-8830-2022; R, Velkennedy/AAQ-7727-2020</t>
  </si>
  <si>
    <t>Baskaran, Venkatesh/0000-0002-8765-0019; R, Velkennedy/0000-0001-6536-8779</t>
  </si>
  <si>
    <t>0968-0802</t>
  </si>
  <si>
    <t>1099-1719</t>
  </si>
  <si>
    <t>SUSTAIN DEV</t>
  </si>
  <si>
    <t>Sustain. Dev.</t>
  </si>
  <si>
    <t>10.1002/sd.2373</t>
  </si>
  <si>
    <t>Development Studies; Green &amp; Sustainable Science &amp; Technology; Regional &amp; Urban Planning</t>
  </si>
  <si>
    <t>Development Studies; Science &amp; Technology - Other Topics; Public Administration</t>
  </si>
  <si>
    <t>8M4PD</t>
  </si>
  <si>
    <t>WOS:000851499700001</t>
  </si>
  <si>
    <t>Tsybulsky, D</t>
  </si>
  <si>
    <t>Tsybulsky, Dina</t>
  </si>
  <si>
    <t>Self-Reported Reasons for Participating in Pro-environmental Citizen Science Activities: A Case Study of Butterfly Monitoring in Israel</t>
  </si>
  <si>
    <t>FRONTIERS IN EDUCATION</t>
  </si>
  <si>
    <t>citizen science; pro-environmental behavior; environmental education; conservation-related projects; butterfly monitoring</t>
  </si>
  <si>
    <t>VOLUNTEERS; MOTIVATIONS; DEMOCRACY</t>
  </si>
  <si>
    <t>The current study examines the common characteristics of citizen science volunteers and the reasons that lead them to participate in pro-environmental conservation-related activities, specifically in monitoring butterflies. The research was conducted as a case study and involved the use of qualitative and quantitative methods for gathering and analyzing the data. Findings indicate a complex system of self-reported reasons, mostly internal, reflecting participants' desire to contribute to society, meet with other people, and increase their range of knowledge on the topic. Furthermore, findings indicated that there are shared characteristics among the profiles of citizen science volunteers, which included growing up in a rural setting and encountering significant figures and/or events that led to their love of nature, their strong and deep sense of commitment and concern for nature, and their desire to take active steps to preserve it.</t>
  </si>
  <si>
    <t>[Tsybulsky, Dina] Technion Israel Inst Technol, Fac Educ Sci &amp; Technol, Haifa, Israel</t>
  </si>
  <si>
    <t>Technion Israel Institute of Technology</t>
  </si>
  <si>
    <t>Tsybulsky, D (corresponding author), Technion Israel Inst Technol, Fac Educ Sci &amp; Technol, Haifa, Israel.</t>
  </si>
  <si>
    <t>dinatsy@technion.ac.il</t>
  </si>
  <si>
    <t>Tsybulsky, Dina/Y-2476-2018</t>
  </si>
  <si>
    <t>Tsybulsky, Dina/0000-0002-2434-8509</t>
  </si>
  <si>
    <t>Technion - Israel Institute of Technology; Seminar Kibbutzim College</t>
  </si>
  <si>
    <t>This study was supported in part by Seminar Kibbutzim College and Technion - Israel Institute of Technology. The author is grateful to Yael Avdav, the research assistant, for her valuable contribution to this study. The author would also like to thank Ramat Hanadiv staff and especially Dr. Racheli Schwartz-Tzachor for their collaboration.</t>
  </si>
  <si>
    <t>2504-284X</t>
  </si>
  <si>
    <t>FRONT EDUC</t>
  </si>
  <si>
    <t>Front. Educ.</t>
  </si>
  <si>
    <t>JUL 10</t>
  </si>
  <si>
    <t>10.3389/feduc.2020.00116</t>
  </si>
  <si>
    <t>TW9SW</t>
  </si>
  <si>
    <t>WOS:000682731000001</t>
  </si>
  <si>
    <t>Higgins, CI; Williams, J; Leibovici, DG; Simonis, I; Davis, MJ; Muldoon, C; van Genuchten, P; O'Grady, M</t>
  </si>
  <si>
    <t>Higgins, Christopher, I; Williams, Jamie; Leibovici, Didier G.; Simonis, Ingo; Davis, Mason J.; Muldoon, Conor; van Genuchten, Paul; O'Grady, Michael</t>
  </si>
  <si>
    <t>Citizen OBservatory WEB (COBWEB): A Generic Infrastructure Platform to Facilitate the Collection of Citizen Science Data for Environmental Monitoring</t>
  </si>
  <si>
    <t>INTERNATIONAL JOURNAL OF SPATIAL DATA INFRASTRUCTURES RESEARCH</t>
  </si>
  <si>
    <t>citizen science; crowdsourcing; Open Geospatial Consortium; environmental governance; spatial data infrastructure; sensors; access control; privacy</t>
  </si>
  <si>
    <t>COBWEB has used the UNESCO World Network of Biosphere Reserves as a testbed for researching and developing a generic crowdsourcing infrastructure platform for environmental monitoring. A major challenge is dealing with what is necessarily a complex problem requiring sophisticated solutions balanced with the need to present sometimes unsophisticated users with comprehensible and useable software. The components of the COBWEB platform are at different Technology Readiness Levels. This short paper outlines the overall solution and points to quality assurance, standardisation and semantic interoperability as key areas requiring further attention.</t>
  </si>
  <si>
    <t>[Higgins, Christopher, I] Univ Edinburgh, EDINA, Edinburgh, Midlothian, Scotland; [Williams, Jamie] Environm Syst Ltd, Aberystwyth, Dyfed, Wales; [Leibovici, Didier G.] Univ Nottingham, Nottingham Geospatial Inst, Nottingham, England; [Simonis, Ingo] Open Geospatial Consortium, Wayland, MA USA; [Davis, Mason J.] Welsh Govt, Cardiff, S Glam, Wales; [Muldoon, Conor; van Genuchten, Paul] GeoCat, Bennekom, Netherlands; [O'Grady, Michael] Univ Coll Dublin, Dublin, Ireland</t>
  </si>
  <si>
    <t>University of Edinburgh; University of Nottingham; University College Dublin</t>
  </si>
  <si>
    <t>Higgins, CI (corresponding author), Univ Edinburgh, EDINA, Edinburgh, Midlothian, Scotland.</t>
  </si>
  <si>
    <t>chris.higgins@ed.ac.uk</t>
  </si>
  <si>
    <t>European Union's Seventh Programme for research, technological development and demonstration [308513]; Academy of Finland (AKA) [308513] Funding Source: Academy of Finland (AKA)</t>
  </si>
  <si>
    <t>European Union's Seventh Programme for research, technological development and demonstration(European Union (EU)); Academy of Finland (AKA)(Research Council of Finland)</t>
  </si>
  <si>
    <t>This project has received funding from the European Union's Seventh Programme for research, technological development and demonstration under grant agreement No 308513.</t>
  </si>
  <si>
    <t>EUROPEAN COMMISSION, JOINT RESEARCH CENTRE</t>
  </si>
  <si>
    <t>ISPRA</t>
  </si>
  <si>
    <t>VIA FERMI 1, ISPRA, VA 21020, ITALY</t>
  </si>
  <si>
    <t>1725-0463</t>
  </si>
  <si>
    <t>INT J SPAT DATA INFR</t>
  </si>
  <si>
    <t>Int. J. Spat. Data Infrastruct. Res.</t>
  </si>
  <si>
    <t>10.2902/1725-0463.2018.13.art8</t>
  </si>
  <si>
    <t>GF8IW</t>
  </si>
  <si>
    <t>WOS:000432215200007</t>
  </si>
  <si>
    <t>Lye, GC; Osborne, JL; Park, KJ; Goulson, D</t>
  </si>
  <si>
    <t>Lye, Gillian C.; Osborne, Juliet L.; Park, Kirsty J.; Goulson, Dave</t>
  </si>
  <si>
    <t>Using citizen science to monitor Bombus populations in the UK: nesting ecology and relative abundance in the urban environment</t>
  </si>
  <si>
    <t>JOURNAL OF INSECT CONSERVATION</t>
  </si>
  <si>
    <t>Bombus spp.; Conservation; Nest ecology; Public outreach; Species decline</t>
  </si>
  <si>
    <t>BUMBLE BEES; HYMENOPTERA; APIDAE; CONSERVATION; ECOSYSTEMS; HABITATS; DECLINE; SITES; HIVES; TOOL</t>
  </si>
  <si>
    <t>Citizen science can provide a valuable tool for collecting large quantities of ecological data over a larger geographic area than would otherwise be possible. Here, data were collected on 1,022 bumblebee nests by means of a public survey in which participants were asked to record attributes of bumblebee nests discovered in their gardens. All commonly reported species appeared to be generalist in their nest site selection and though species-specific differences in nest site choice were evident, there was a high degree of overlap in nesting habitat between most species. There was little evidence supporting the hypothesis that bumblebees tend to nest in the same site in consecutive years. A comparison of the contributions made by different species to the total nests reported in this and previous similar surveys suggests that the common bumblebee species Bombus pascuorum may have declined over the past 20 years relative to other species, comprising similar to 21% of colonies discovered in a survey conducted in 1989-1991, but just 8-9% of colonies in 2007-2009. This was accompanied by a reduction in the proportion of nests on the ground surface (the preferred position of this species). This is the first quantitative evidence of potential declines in the one of the UK's 'big six' common bumblebee species.</t>
  </si>
  <si>
    <t>[Lye, Gillian C.; Park, Kirsty J.; Goulson, Dave] Univ Stirling, Sch Biol &amp; Environm Sci, Stirling FK9 4LA, Scotland; [Osborne, Juliet L.] Rothamsted Res, Dept Plant &amp; Invertebrate Ecol, Harpenden AL5 2JQ, Herts, England</t>
  </si>
  <si>
    <t>University of Stirling; UK Research &amp; Innovation (UKRI); Biotechnology and Biological Sciences Research Council (BBSRC); Rothamsted Research</t>
  </si>
  <si>
    <t>Lye, GC (corresponding author), Univ Stirling, Sch Biol &amp; Environm Sci, Stirling FK9 4LA, Scotland.</t>
  </si>
  <si>
    <t>gillian.lye@gmail.com</t>
  </si>
  <si>
    <t>Goulson, Dave/A-2462-2010; Osborne, Juliet/I-6776-2012</t>
  </si>
  <si>
    <t>Goulson, Dave/0000-0003-4421-2876; Park, Kirsty/0000-0001-6080-7197</t>
  </si>
  <si>
    <t>Natural Environment Research Council; Game and Wildlife Conservation Trust; BBSRC [BB/E001491/1, BB/J014753/1] Funding Source: UKRI; Biotechnology and Biological Sciences Research Council [BB/J014753/1, BB/E001491/1] Funding Source: researchfish</t>
  </si>
  <si>
    <t>Natural Environment Research Council(UK Research &amp; Innovation (UKRI)Natural Environment Research Council (NERC)); Game and Wildlife Conservation Trust; BBSRC(UK Research &amp; Innovation (UKRI)Biotechnology and Biological Sciences Research Council (BBSRC)); Biotechnology and Biological Sciences Research Council(UK Research &amp; Innovation (UKRI)Biotechnology and Biological Sciences Research Council (BBSRC))</t>
  </si>
  <si>
    <t>We would like to thank all members of the public who took part in the survey for their time, enthusiasm and cooperation. We would also like to thank staff and volunteers at the Bumblebee Conservation Trust for help with the advertisement and processing of nest surveys. Finally, we would like to thank the Natural Environment Research Council and the Game and Wildlife Conservation Trust for financial support.</t>
  </si>
  <si>
    <t>1366-638X</t>
  </si>
  <si>
    <t>1572-9753</t>
  </si>
  <si>
    <t>J INSECT CONSERV</t>
  </si>
  <si>
    <t>J. Insect Conserv.</t>
  </si>
  <si>
    <t>10.1007/s10841-011-9450-3</t>
  </si>
  <si>
    <t>005BS</t>
  </si>
  <si>
    <t>WOS:000308725900004</t>
  </si>
  <si>
    <t>Lugo, D; Suárez, D; Martín, S; Afonso, OM; Martín, A; Ruiz, C</t>
  </si>
  <si>
    <t>Lugo, David; Suarez, Daniel; Martin, Sonia; Afonso, Oscar Martin; Martin, Alicia; Ruiz, Carlos</t>
  </si>
  <si>
    <t>First record of Leptoglossus occidentalis Heidemann, 1910 (Hemiptera, Coreidae) in the Canary Islands, a novel pine pest detected through citizen science in an oceanic archipelago</t>
  </si>
  <si>
    <t>Coreidae; citizen science; Macaronesia; exotic species; DNA barcoding; new record</t>
  </si>
  <si>
    <t>CONIFER-SEED BUG; HETEROPTERA COREIDAE; COREINAE ANISOSCELINI; INVASION; LEPIDOPTERA; INSECTA; KEY</t>
  </si>
  <si>
    <t>BackgroundThe 'western seed bug', known as Leptoglossus occidentalis, is considered a global invasive species that has experienced a recent rapid expansion worldwide, becoming an important pest species for coniferous forests. New information With the 'Canary Islands early-warning network for the detection and intervention of invasive exotic species' (RedEXOS), this species was detected for the first time in the Canarian archipelago in an urban area in the eastern part of the island of Gran Canaria. This early detection is crucial for understanding the potential damage in one of the islands with the highest surface area of natural endemic pine forest.</t>
  </si>
  <si>
    <t>[Lugo, David; Ruiz, Carlos] Univ La Laguna, Grp Sistemat Biogeog &amp; Evoluc Artropodos Canarias, Dept Biol Anim Edafol &amp; Geol, San Cristobal De Laguna 38200, Canary Islands, Spain; [Suarez, Daniel] Inst Nat Prod &amp; Agrobiol IPNA CSIC, Isl Ecol &amp; Evolut Res Grp, Astrofis Francisco Sanchez 3, San Cristobal De Laguna 38206, Canary Islands, Spain; [Martin, Sonia] Gobierno Canarias, Consejeria Trans Ecol, Direcc Gen Lucha Cambio Climat &amp; Med Ambiente, Lucha Cambio Climat &amp; Planificac Terr, Las Palmas Gran Canaria, Spain; [Afonso, Oscar Martin; Martin, Alicia] Gest &amp; Planeamiento Terr &amp; Medioambiental, Las Palmas Gran Canaria, Spain</t>
  </si>
  <si>
    <t>Universidad de la Laguna; Consejo Superior de Investigaciones Cientificas (CSIC); CSIC - Instituto de Productos Naturales y Agrobiologia (IPNA)</t>
  </si>
  <si>
    <t>Lugo, D (corresponding author), Univ La Laguna, Grp Sistemat Biogeog &amp; Evoluc Artropodos Canarias, Dept Biol Anim Edafol &amp; Geol, San Cristobal De Laguna 38200, Canary Islands, Spain.</t>
  </si>
  <si>
    <t>dlugoper@ull.edu.es</t>
  </si>
  <si>
    <t>Lugo, David/LDF-3357-2024; Suárez, Daniel/IRG-7298-2023; Ruiz, Carlos/E-3316-2012</t>
  </si>
  <si>
    <t>Lugo Pérez, David/0000-0003-0123-0900; Suárez, Daniel/0000-0003-3417-1169; Ruiz, Carlos/0000-0002-6873-337X</t>
  </si>
  <si>
    <t>Agencia Canaria de Investigacion, Innovacion y Sociedad de la Informacion (ACIISI); Gobierno de Canarias [ProID2021010093]</t>
  </si>
  <si>
    <t>Agencia Canaria de Investigacion, Innovacion y Sociedad de la Informacion (ACIISI); Gobierno de Canarias</t>
  </si>
  <si>
    <t>The authors wish to express their gratitude to the RedEXOS field team for collecting and photographing individuals. We would also like to thank the Biodiversity Administration of the Canary Islands Government for their support and for granting a sampling permit (Ref. No. Expte. 8-2023/02031250549). DNA barcoding was conducted under the project 'Canary Barcode: hacia el inventariado genomico de la biodiversidad de Canarias', funded by Agencia Canaria de Investigacion, Innovacion y Sociedad de la Informacion (ACIISI), Gobierno de Canarias (ProID2021010093), awarded to Brent C. Emerson (IPNA-CSIC). We are very grateful to Heriberto Lopez (IPNA-CSIC) for his assistance in DNA barcoding and to Manuel Arechavaleta (Servicio de Biodiversidad, Gobierno de Canarias) for allowing us to use his photo to illustrate paper. We also wish to thank Brent C. Emerson for providing a revision of the language style.</t>
  </si>
  <si>
    <t>SEP 11</t>
  </si>
  <si>
    <t>e109851</t>
  </si>
  <si>
    <t>10.3897/BDJ.11.e109851</t>
  </si>
  <si>
    <t>S6QQ9</t>
  </si>
  <si>
    <t>WOS:001072395600001</t>
  </si>
  <si>
    <t>Stuart-Smith, RD; Edgar, GJ; Barrett, NS; Bates, AE; Baker, SC; Bax, NJ; Becerro, MA; Berkhout, J; Blanchard, JL; Brock, DJ; Clark, GF; Cooper, AT; Davis, TR; Day, PB; Duffy, E; Holmes, TH; Howe, SA; Jordan, A; Kininmonth, S; Knott, NA; Lefcheck, JS; Ling, SD; Parr, A; Strain, E; Sweatman, H; Thomson, R</t>
  </si>
  <si>
    <t>Stuart-Smith, Rick D.; Edgar, Graham J.; Barrett, Neville S.; Bates, Amanda E.; Baker, Susan C.; Bax, Nicholas J.; Becerro, Mikel A.; Berkhout, Just; Blanchard, Julia L.; Brock, Daniel J.; Clark, Graeme F.; Cooper, Antonia T.; Davis, Tom R.; Day, Paul B.; Duffy, Emmett; Holmes, Thomas H.; Howe, Steffan A.; Jordan, Alan; Kininmonth, Stuart; Knott, Nathan A.; Lefcheck, Jonathan S.; Ling, Scott D.; Parr, Amanda; Strain, Elisabeth; Sweatman, Hugh; Thomson, Russell</t>
  </si>
  <si>
    <t>Assessing National Biodiversity Trends for Rocky and Coral Reefs through the Integration of Citizen Science and Scientific Monitoring Programs</t>
  </si>
  <si>
    <t>Convention on Biological Diversity; state of the environment; ecological indicator; Marine Trophic Index; community temperature index</t>
  </si>
  <si>
    <t>MARINE PROTECTED AREAS; SIZE-BASED INDICATORS; FISH COMMUNITY; EXPLOITED FISH; RANGE SHIFTS; CLIMATE; CONSERVATION; IMPACTS; SCALE; INDEX</t>
  </si>
  <si>
    <t>Reporting progress against targets for international biodiversity agreements is hindered by a shortage of suitable biodiversity data. We describe a cost-effective system involving Reef Life Survey citizen scientists in the systematic collection of quantitative data covering multiple phyla that can underpin numerous marine biodiversity indicators at high spatial and temporal resolution. We then summarize the findings of a continentaland decadal-scale State of the Environment assessment for rocky and coral reefs based on indicators of ecosystem state relating to fishing, ocean warming, and invasive species and describing the distribution of threatened species. Fishing impacts are widespread, whereas substantial warming-related change affected some regions between 2005 and 2015. Invasive species are concentrated near harbors in southeastern Australia, and the threatened-species index is highest for the Great Australian Bight and Tasman Sea. Our approach can be applied globally to improve reporting against biodiversity targets and enhance public and policymakers' understanding of marine biodiversity trends.</t>
  </si>
  <si>
    <t>[Stuart-Smith, Rick D.; Edgar, Graham J.; Barrett, Neville S.; Bax, Nicholas J.; Berkhout, Just; Blanchard, Julia L.; Cooper, Antonia T.; Day, Paul B.; Kininmonth, Stuart; Ling, Scott D.] Univ Tasmania, Inst Marine &amp; Antarct Studies, Hobart, Tas 7001, Australia; [Bates, Amanda E.] Univ Southampton, Natl Oceanog Ctr Southampton, Ocean &amp; Earth Sci, Southampton SO9 5NH, Hants, England; [Baker, Susan C.] Univ Tasmania, Sch Biol Sci, Hobart, Tas 7001, Australia; [Becerro, Mikel A.] CSIC, IPNA, Nat Prod &amp; Agrobiol Inst, BITES Lab, San Cristobal la Laguna, Tenerife, Spain; [Brock, Daniel J.] South Australias Dept Environm Water &amp; Nat Resour, Sci Monitoring &amp; Knowledge Branch, Adelaide, SA, Australia; [Clark, Graeme F.] Univ New South Wales, Sch Biol Earth &amp; Environm Sci, Sydney, NSW, Australia; [Davis, Tom R.] Southern Cross Univ, Natl Marine Sci Ctr, Coffs Harbour, NSW 2480, Australia; [Duffy, Emmett] Smithsonian Inst, Tennenbaum Marine Observ Network, Washington, DC USA; [Holmes, Thomas H.] Marine Sci Program, Dept Parks &amp; Wildlife, Sci &amp; Conservat Div, Kensington, NSW, Australia; [Holmes, Thomas H.] Univ Western Australia, Oceans Inst, Crawley, Australia; [Howe, Steffan A.] Parks Victoria, Melbourne, Vic, Australia; [Jordan, Alan] Marine Ecosyst Res New South Wales Dept, Primary Ind, Nelson Bay, Sydney, NSW, Australia; [Knott, Nathan A.] Marine Ecosyst Res New South Wales Dept, Primary Ind, Huskisson, NSW, Australia; [Lefcheck, Jonathan S.] Coll William &amp; Mary, Virginia Inst Marine Sci, Dept Biol Sci, Gloucester Point, VA USA; [Parr, Amanda] Parks Australia Kingston, Hobart, Australia; [Strain, Elisabeth] Sydney Inst Marine Sci, Mosman, NSW, Australia; [Sweatman, Hugh] Australian Inst Marine Sci, Townsville, Qld, Australia; [Thomson, Russell] Univ Western Sydney, Ctr Res Math, Sch Comp Engn &amp; Math, Penrith, NSW, Australia</t>
  </si>
  <si>
    <t>University of Tasmania; University of Southampton; NERC National Oceanography Centre; University of Tasmania; Consejo Superior de Investigaciones Cientificas (CSIC); CSIC - Instituto de Productos Naturales y Agrobiologia (IPNA); University of New South Wales Sydney; Southern Cross University; Smithsonian Institution; Smithsonian National Museum of Natural History; University of Western Australia; Department of Primary Industries &amp; Regional Development NSW; William &amp; Mary; Virginia Institute of Marine Science; Sydney Institute of Marine Science; Australian Institute of Marine Science; Western Sydney University</t>
  </si>
  <si>
    <t>Stuart-Smith, RD (corresponding author), Univ Tasmania, Inst Marine &amp; Antarct Studies, Hobart, Tas 7001, Australia.</t>
  </si>
  <si>
    <t>rstuarts@utas.edu.au</t>
  </si>
  <si>
    <t>Bax, Nicholas/A-2321-2012; Strain, Elisabeth/U-3520-2017; Ling, Scott/J-7161-2014; Becerro, Mikel/ABC-9478-2021; Thoon, Russell/H-5653-2012; Barrett, Neville/J-7593-2014; Knott, Nathan/AAA-8888-2019; Kininmonth, Stuart/N-9299-2013; Davis, Thomas/T-5803-2017; Strain, Elisabeth/U-3520-2017; Baker, Susan/O-8482-2019; Bates, Amanda/ABD-6874-2021; Clark, Graeme/M-6448-2017; Lefcheck, Jonathan/H-8768-2019; Edgar, Graham/AAY-3797-2020; Blanchard, Julia/E-4919-2010; Stuart-Smith, Rick/M-1829-2013</t>
  </si>
  <si>
    <t>Bax, Nicholas/0000-0002-9697-4963; Strain, Elisabeth/0000-0003-2165-9544; Ling, Scott/0000-0002-5544-8174; Thoon, Russell/0000-0003-4949-4120; Barrett, Neville/0000-0002-6167-1356; Knott, Nathan/0000-0002-7873-0412; Davis, Thomas/0000-0003-0199-2024; Baker, Susan/0000-0002-7593-0267; Clark, Graeme/0000-0002-0230-6631; Duffy, J Emmett/0000-0001-8595-6391; Lefcheck, Jonathan/0000-0002-8787-1786; Berkhout, Just/0000-0002-1656-4535; Edgar, Graham/0000-0003-0833-9001; Blanchard, Julia/0000-0003-0532-4824; Stuart-Smith, Rick/0000-0002-8874-0083</t>
  </si>
  <si>
    <t>Commonwealth Environment Research Facilities Program; Australian Research Council (ARC); Institute for Marine and Antarctic Studies; Marine Biodiversity Hub; Australian Government's National Environmental Science Programme (NESP); Ian Potter Foundation, Parks Australia, CoastWest; WA State NRM program; Royalties for Regions program; wide range of state agencies in temperate Australia; Department of Environment, Water, and Natural Resources (South Australia); Parks and Wildlife Service (Tasmania); Marine Parks Authority (New South Wales); Department of Parks and Wildlife (Western Australia); ARC; Fisheries Research and Development Corporation; Department of Primary Industries, Parks, Water, and Environment (Tasmania); Australian Institute of Marine Science; NESP</t>
  </si>
  <si>
    <t>Commonwealth Environment Research Facilities Program; Australian Research Council (ARC)(Australian Research Council); Institute for Marine and Antarctic Studies; Marine Biodiversity Hub; Australian Government's National Environmental Science Programme (NESP)(Australian Government); Ian Potter Foundation, Parks Australia, CoastWest; WA State NRM program; Royalties for Regions program; wide range of state agencies in temperate Australia; Department of Environment, Water, and Natural Resources (South Australia); Parks and Wildlife Service (Tasmania); Marine Parks Authority (New South Wales); Department of Parks and Wildlife (Western Australia); ARC(Australian Research Council); Fisheries Research and Development Corporation; Department of Primary Industries, Parks, Water, and Environment (Tasmania); Australian Institute of Marine Science; NESP</t>
  </si>
  <si>
    <t>We thank the many Reef Life Survey (RLS) divers who participated in data collection and provide ongoing expertise and commitment to the program, as well as University of Tasmania staff including Marlene Davey, Justin Hulls, Elizabeth Oh, and Jemina Stuart-Smith. Development of RLS was supported by the former Commonwealth Environment Research Facilities Program, whereas analyses were supported by the Australian Research Council (ARC), the Institute for Marine and Antarctic Studies, and the Marine Biodiversity Hub, a collaborative partnership supported through the Australian Government's National Environmental Science Programme (NESP). Additional funding and support for field surveys were provided by grants from the Ian Potter Foundation, Parks Australia, CoastWest, the WA State NRM program, and the Royalties for Regions program. The LTMPA surveys were supported by a wide range of state agencies in temperate Australia, including the Department of Environment, Water, and Natural Resources (South Australia); the Parks and Wildlife Service (Tasmania); the Marine Parks Authority (New South Wales); the Department of Parks and Wildlife (Western Australia); the ARC; a the Fisheries Research and Development Corporation; Department of Primary Industries, Parks, Water, and Environment (Tasmania); and the Institute for Marine and Antarctic Studies. The AIMS LTMP was supported by the Australian Institute of Marine Science and NESP.</t>
  </si>
  <si>
    <t>10.1093/biosci/biw180</t>
  </si>
  <si>
    <t>EO7UO</t>
  </si>
  <si>
    <t>WOS:000396895800007</t>
  </si>
  <si>
    <t>Jenkins, T; Fayet, L; Fayet, A; Chollet, D; Depraz, Y; Dumaz, M; Ricci, N; Lucchetta, L; Anneville, O; Arpagaus, P; Almada, ML; Fillion, R; Gios, M; Moftizadeh, Y; Thomas, MK; Strasser, BJ; Radosta, E; Ibelings, BW</t>
  </si>
  <si>
    <t>Jenkins, Tania; Fayet, Laura; Fayet, Alexandre; Chollet, Daniel; Depraz, Yves; Dumaz, Michael; Ricci, Neal; Lucchetta, Lydia; Anneville, Orlane; Arpagaus, Philippe; Almada, Maria Luengo; Fillion, Roxane; Gios, Matteo; Moftizadeh, Yasmine; Thomas, Mridul K.; Strasser, Bruno J.; Radosta, Elisa; Ibelings, Bastiaan W.</t>
  </si>
  <si>
    <t>CoFish: co-designing citizen science between fishers and scientists to monitor the phosphorus distribution across two lake Geneva basins</t>
  </si>
  <si>
    <t>Phosphorus; Fisheries; Citizen science; Co-design; Lake; Spatial variation</t>
  </si>
  <si>
    <t>MEANINGFUL ASSESSMENT; MANAGEMENT; ECOLOGY; VIEWS</t>
  </si>
  <si>
    <t>BackgroundEutrophication, followed by re-oligotrophication during lake restoration, in many perialpine lakes has caused changes to the biodiversity and functioning of freshwater ecosystems. In Lake Geneva, total phosphorus (TP) concentration has reduced since the 1970-80s and the yearly average is now close to the upper value of the target range of 10-15 mu g/L. For over 60 years the lake has been monitored at SHL2, the central, deepest point in the Eastern basin, complemented by data from GE3 in the Western basin. Selection of these reference points was based on a lake-wide TP analysis in the 1950s. Lake Geneva is a popular fishing destination for anglers and over 100 commercial fishers, who have expressed concerns that further TP reductions could damage the sustainability of their livelihoods. They have called for a re-evaluation of the historical sampling points to determine whether SHL2 and GE3 can still be considered representative for lake nutrient concentrations.ResultsWe present the scientific and societal impacts of CoFish, a co-designed research project between scientists and fishers of Lake Geneva. To reassess the spatial variability of TP, we collected integrated water samples across the lake, using stoppered hosepipes as a collection instrument. In this article, we present four key messages: i) there was spatial variation in phosphorus levels, and in most cases the two long-term monitoring stations fall within an acceptable range of variability; ii) the concentrations of phosphorus are generally low, at levels that could impact plankton development; iii) citizen science complemented long-term monitoring for a more spatially extensive dataset; iv) the co-design process resulted in community empowerment and a willingness to further collaborate.ConclusionsThe management implications of this work are that using a single reference sampling point to represent the lake basin is practical but not straightforward. In the discussion we advocate for a re-evaluation of the TP targets, given radical changes in the lake's physical structure and food web. We further highlight the important role of engaging fishers in citizen science, which in CoFish resulted in bridging existing gaps between lake management, science and fisheries, providing a broader basis for lake conservation.</t>
  </si>
  <si>
    <t>[Jenkins, Tania; Strasser, Bruno J.] Univ Geneva, Fac Sci, Sect Biol, Sci 3, 30 Quai Ernest Ansermet, CH-1205 Geneva, Switzerland; [Jenkins, Tania; Arpagaus, Philippe; Almada, Maria Luengo; Fillion, Roxane; Gios, Matteo; Moftizadeh, Yasmine; Thomas, Mridul K.; Ibelings, Bastiaan W.] Univ Geneva, Dept FA Forel Environm &amp; Aquat Sci, CH-1211 Geneva 4, Switzerland; [Radosta, Elisa] Hop Univ Geneve, Bioscope Fdn Convergences, Maison Enfance &amp; Adolescence, CH-1211 Geneva 14, Switzerland; [Fayet, Laura; Fayet, Alexandre] Pecherie Dull, Chemin Dull 4, CH-1196 Gland, Switzerland; [Chollet, Daniel; Lucchetta, Lydia] FIPAL, Ave Pictet Rochemont 27, CH-1207 Geneva, Switzerland; [Depraz, Yves] Amicale Pecheurs Amateurs Sciez, 650 Route Port, F-74140 Sciez, France; [Dumaz, Michael] Micapeche, 1 Bis Ave Anna de Noailles, F-74500 Evian Les Bains, France; [Ricci, Neal] Pecherie Neal Ricci, Chemin Vieux Port 20, CH-1290 Versoix, Switzerland; [Anneville, Orlane] Univ Savoie Mont Blanc, INRAE, UMR CARRTEL, 75 bis Ave Corzent,CS 50511, F-74203 Thonon Les Bains, France</t>
  </si>
  <si>
    <t>University of Geneva; University of Geneva; University of Geneva; Universite Savoie Mont Blanc; INRAE</t>
  </si>
  <si>
    <t>Jenkins, T (corresponding author), Univ Geneva, Fac Sci, Sect Biol, Sci 3, 30 Quai Ernest Ansermet, CH-1205 Geneva, Switzerland.;Jenkins, T (corresponding author), Univ Geneva, Dept FA Forel Environm &amp; Aquat Sci, CH-1211 Geneva 4, Switzerland.</t>
  </si>
  <si>
    <t>tania.jenkins@gmail.com</t>
  </si>
  <si>
    <t>Strasser, Bruno/E-9337-2012</t>
  </si>
  <si>
    <t>Thomas, Mridul/0000-0002-5089-5610</t>
  </si>
  <si>
    <t>University of Geneva</t>
  </si>
  <si>
    <t>University of Geneva(University of Geneva)</t>
  </si>
  <si>
    <t>Open access funding provided by University of Geneva</t>
  </si>
  <si>
    <t>DEC 17</t>
  </si>
  <si>
    <t>10.1186/s12862-025-02472-x</t>
  </si>
  <si>
    <t>AC3WJ</t>
  </si>
  <si>
    <t>WOS:001644789300001</t>
  </si>
  <si>
    <t>Higgins, CI; Williams, J; Leibovici, DG; Simonis, I; Davis, MJ; Muldoon, C; van Genuchten, P; O'Hare, G; Wiemann, S</t>
  </si>
  <si>
    <t>Higgins, Christopher I.; Williams, Jamie; Leibovici, Didier G.; Simonis, Ingo; Davis, Mason J.; Muldoon, Conor; van Genuchten, Paul; O'Hare, Gregory; Wiemann, Stefan</t>
  </si>
  <si>
    <t>Citizen OBservatory WEB (COBWEB): A Generic Infrastructure Platform to Facilitate the Collection of Citizen Science data for Environmental Monitoring</t>
  </si>
  <si>
    <t>citizen science; crowdsourcing; biological monitoring; standards; Open Geospatial Consortium; environmental governance; spatial data infrastructure; semantics; sensors; access control; privacy; interoperability</t>
  </si>
  <si>
    <t>The mass uptake of internet connected, GPS enabled mobile devices has resulted in a surge of citizens active in making a huge variety of environmental observations. The use and reuse potential of these data is significant but currently compromised by a lack of interoperability. Useable standards either don't exist, are neglected, poorly understood or tooling is unavailable. Large volumes of data are being created but exist in silos. This is a complex problem requiring sophisticated solutions balanced with the need to present sometimes unsophisticated users with comprehensible and useable software. COBWEB has addressed this challenge by using the UNESCO World Network of Biosphere Reserves as a testbed for researching and developing a generic crowdsourcing infrastructure platform for environmental monitoring. The solution arrived at provides tools for the creation of mobile Applications which generate data compliant with open interoperability standards and facilitate integration with Spatial Data Infrastructures. COBWEB is a research project and the components of the COBWEB platform are at different Technology Readiness Levels. This paper outlines how the overall solution was arrived at, describes the main components developed and points to quality assurance, integration of sensors, interoperability and associated standardisation as key areas requiring further attention.</t>
  </si>
  <si>
    <t>[Higgins, Christopher I.] Univ Edinburgh, EDINA, Edinburgh EH8 9YL, Midlothian, Scotland; [Williams, Jamie] Environm Syst Ltd, Aberystwyth, Dyfed, Wales; [Leibovici, Didier G.] Univ Nottingham, Nottingham Geospatial Inst, Nottingham NG7 2RD, England; [Simonis, Ingo] Open Geospatial Consortium, Wikipedia, England; [Davis, Mason J.] Welsh Govt, New Delhi, India; [Muldoon, Conor] GeoCat, Dresden, Germany; [O'Hare, Gregory] Univ Coll Dublin, Dublin, Ireland; [Wiemann, Stefan] Tech Univ Dresden, Dresden, Germany</t>
  </si>
  <si>
    <t>University of Edinburgh; University of Nottingham; University College Dublin; Technische Universitat Dresden</t>
  </si>
  <si>
    <t>Higgins, CI (corresponding author), Univ Edinburgh, EDINA, Edinburgh EH8 9YL, Midlothian, Scotland.</t>
  </si>
  <si>
    <t>chris.higgins@ed.ac.uk; jamie.williams@envsys.co.uk; didier.leibovic@nottingham.ac.uk; isimonis@opengeospatial.org; Mason.Davisp@Wales.GSI.Gov.UK; conor.muldoon@gmail.com; paul.vangenuchten@geocat.net; Gregory.OHare@ucd.ie; stefan.wiemann@tu-dresden.de</t>
  </si>
  <si>
    <t>Leibovici, Didier/G-9231-2011; O'Hare, Gregory M.P./AAA-7756-2022</t>
  </si>
  <si>
    <t>Leibovici, Didier/0000-0002-3903-2443; van Genuchten, Paul/0000-0002-4789-174X; Muldoon, Conor/0000-0003-1381-2561;</t>
  </si>
  <si>
    <t>European Union [308513]</t>
  </si>
  <si>
    <t>10.2902/1725-0463.2016.11.art3</t>
  </si>
  <si>
    <t>EQ1GO</t>
  </si>
  <si>
    <t>WOS:000397818000002</t>
  </si>
  <si>
    <t>Newson, SE; Evans, HE; Gillings, S</t>
  </si>
  <si>
    <t>Newson, Stuart E.; Evans, Hazel E.; Gillings, Simon</t>
  </si>
  <si>
    <t>A novel citizen science approach for large-scale standardised monitoring of bat activity and distribution, evaluated in eastern England</t>
  </si>
  <si>
    <t>Bats; Chiroptera; Survey methods; Bat activity; Species distribution; Citizen science; Automated acoustic monitoring</t>
  </si>
  <si>
    <t>BREEDING BIRD SURVEY; GENERALIZED ADDITIVE-MODELS; SPECIES DISTRIBUTIONS; RANDOM FORESTS; HABITAT USE; CONSERVATION; POPULATIONS; ABUNDANCE; TRENDS; CLASSIFICATION</t>
  </si>
  <si>
    <t>In many countries, bats have high conservation prioritisation owing to their trophic position, habitat associations and threat level, and many have dedicated management plans. However, poor knowledge of species' ecology, identification issues and surveying challenges mean that large-scale monitoring to produce required distribution and abundance information is less developed than for some other taxa. Static detectors deployed to record bats throughout whole nights have been recommended for standardised acoustic monitoring but to date their cost has prohibited wide uptake. Here we describe an extensive survey approach in which members of the public borrowed detectors to participate in a large-scale monitoring and mapping project. Covering a 15% sample of the study area over two years, the survey generated over 600,000 bat recordings. We describe a semi-automated step-wise method for processing this large volume of recordings to assign identity to species or genus level with low error rates. Twelve species were recorded during the survey, ranging from the near ubiquitous Common Pipistrelle Pipistrellus pipistrellus to the locally scarce Leisler's bat Nyctalus leisleri. We show pronounced patterns of seasonality consistent with post-breeding dispersal and new information on nocturnal activity patterns. Using regression trees we generate new maps of standardised variation in activity which is likely to reflect underlying spatial variation in relative abundance. These reveal hitherto unknown patterns for species of superficially similar status. We conclude that with logistical support and centralised automated species identification it is now possible for the public to contribute to acoustic bat monitoring at an unprecedented scale. (C) 2015 Elsevier B.V. All rights reserved.</t>
  </si>
  <si>
    <t>[Newson, Stuart E.; Evans, Hazel E.; Gillings, Simon] The Nunnery, British Trust Ornithol, Thetford IP24 2PU, Norfolk, England</t>
  </si>
  <si>
    <t>Newson, SE (corresponding author), The Nunnery, British Trust Ornithol, Thetford IP24 2PU, Norfolk, England.</t>
  </si>
  <si>
    <t>stuart.newson@bto.org</t>
  </si>
  <si>
    <t>Gillings, Simon/I-2727-2015</t>
  </si>
  <si>
    <t>Gillings, Simon/0000-0002-9794-2357</t>
  </si>
  <si>
    <t>People's Trust for Endangered Species (PTES); Defra (Defra Fund for Biodiversity Recording in the Voluntary Sector); NBIS (the Norfolk Biological Records Centre)</t>
  </si>
  <si>
    <t>We are extremely grateful to everyone who took part, hosted equipment or helped in other ways to make this project so successful. These analyses were funded by the People's Trust for Endangered Species (PTES). The Norfolk Bat Survey was originally set up in 2013 with funding from the PTES and Defra (Defra Fund for Biodiversity Recording in the Voluntary Sector), in collaboration with NBIS (the Norfolk Biological Records Centre). We thank Joe Rayner, Ieuan Evans, Viola Ross-Smith, Sam Neal, Martin Horlock, Kate Barlow and Kate Jones for their support throughout, to NBIS for giving us access to the fine-scale remote sensing data used in this paper, and to three anonymous reviewers for commenting on an earlier version of this manuscript</t>
  </si>
  <si>
    <t>10.1016/j.biocon.2015.06.009</t>
  </si>
  <si>
    <t>CV4SP</t>
  </si>
  <si>
    <t>WOS:000364257100005</t>
  </si>
  <si>
    <t>Ferrari, CA; Jönsson, M; Gebrehiwot, SG; Chiwona-Karltun, L; Mark-Herbert, C; Manuschevich, D; Powell, N; Do, T; Bishop, K; Hilding-Rydevik, T</t>
  </si>
  <si>
    <t>Alarcon Ferrari, Cristian; Jonsson, Mari; Gebreyohannis Gebrehiwot, Solomon; Chiwona-Karltun, Linley; Mark-Herbert, Cecilia; Manuschevich, Daniela; Powell, Neil; Do, Thao; Bishop, Kevin; Hilding-Rydevik, Tuija</t>
  </si>
  <si>
    <t>Citizen Science as Democratic Innovation That Renews Environmental Monitoring and Assessment for the Sustainable Development Goals in Rural Areas</t>
  </si>
  <si>
    <t>citizen science; democratic innovation; Environmental Monitoring and Assessment; Sustainable Development Goals; forests; legitimacy; transformative governance</t>
  </si>
  <si>
    <t>This commentary focuses on analyzing the potential of citizen science to address legitimacy issues in the knowledge base used to guide transformative governance in the context of the United Nation's Sustainable Development Goals (henceforth SDGs). The commentary develops two interrelated arguments for better understanding the limits of what we term traditional Environmental Monitoring and Assessment (EMA) as well as the potential of citizen science (CS) for strengthening the legitimacy of EMA in the local implementation of SDGs. We start by arguing that there is an urgent need for a profound renewal of traditional EMA to better implement the SDGs. Then, we present CS as a democratic innovation that provides a path to EMA renewal that incorporates, develops, and extends the role of CS in data production and use by EMA. The commentary substantiates such arguments based on current approaches to CS and traditional EMA. From this starting point, we theorize the potential of CS as a democratic innovation that can repurpose EMA as a tool for the implementation of the SDGs. With a focus on the implementation of SDG15 (Life on Land) in local contexts, the commentary presents CS as a democratic innovation for legitimate transformative governance that can affect socio-ecological transitions. We see this approach as especially appropriate to analyze the implementation of SDGs in rural settings where a specific resource nexus can create conflict-laden contexts with much potential for a renewed EMA to support transformative governance towards Agenda 2030.</t>
  </si>
  <si>
    <t>[Alarcon Ferrari, Cristian; Chiwona-Karltun, Linley] Swedish Univ Agr Sci SLU, Dept Urban &amp; Rural Dev, S-75007 Uppsala, Sweden; [Jonsson, Mari] Swedish Univ Agr Sci SLU, Swedish Species Informat Ctr, S-75007 Uppsala, Sweden; [Gebreyohannis Gebrehiwot, Solomon] Addis Ababa Univ, Ethiopian Inst Water Resources, Addis Ababa 15046, Ethiopia; [Mark-Herbert, Cecilia] Swedish Univ Agr Sci SLU, Dept Forest Econ, S-75007 Uppsala, Sweden; [Manuschevich, Daniela] Univ Chile, Dept Geog, Santiago 8331051, Chile; [Powell, Neil; Do, Thao] Uppsala Univ, Sustainabil Learning &amp; Res Ctr SWEDESD, S-75237 Uppsala, Sweden; [Powell, Neil] Univ Sunshine Coast USC, Sustainabil Res Ctr, Sunshine Coast, Qld 4558, Australia; [Bishop, Kevin] Swedish Univ Agr Sci SLU, Dept Aquat Sci &amp; Assessment, S-75007 Uppsala, Sweden; [Hilding-Rydevik, Tuija] Swedish Univ Agr Sci SLU, Swedish Biodivers Ctr, S-75007 Uppsala, Sweden</t>
  </si>
  <si>
    <t>Swedish University of Agricultural Sciences; Swedish University of Agricultural Sciences; Addis Ababa University; Swedish University of Agricultural Sciences; Universidad de Chile; Uppsala University; University of the Sunshine Coast; Swedish University of Agricultural Sciences; Swedish University of Agricultural Sciences</t>
  </si>
  <si>
    <t>Ferrari, CA (corresponding author), Swedish Univ Agr Sci SLU, Dept Urban &amp; Rural Dev, S-75007 Uppsala, Sweden.</t>
  </si>
  <si>
    <t>cristian-alarcon.ferrari@slu.se; mari.jonsson@slu.se; solomon358.sg@gmail.com; linley.chiwona.karltun@slu.se; cecilia.mark-herbert@slu.se; danielamanuschevich@uchile.cl; neil.powell@swedesd.uu.se; thao.do@swedesd.uu.se; kevin.bishop@slu.se; tuija.hilding-rydevik@slu.se</t>
  </si>
  <si>
    <t>; Jönsson, Mari/LFV-6077-2024; Bishop, Kevin/C-7816-2012; Powell, Neil/AAN-1961-2021</t>
  </si>
  <si>
    <t>Do, Thao/0000-0002-5353-8918; alarcon, cristian/0000-0003-3760-1830; Jönsson, Mari/0000-0002-5465-7820; Mark-Herbert, Cecilia/0000-0001-7440-9106; Gebrehiwot, Solomon Gebreyohannis/0000-0001-7190-3176; Bishop, Kevin/0000-0002-8057-1051; Powell, Neil/0000-0002-8665-2370; Manuschevich, Daniela/0000-0002-8949-4128; Chiwona-Karltun, Linley/0000-0003-2441-3814</t>
  </si>
  <si>
    <t>FORMAS [2018-02341]; Vinnova [2018-02341] Funding Source: Vinnova; Formas [2018-02341] Funding Source: Formas</t>
  </si>
  <si>
    <t>FORMAS(Swedish Research Council Formas); Vinnova(Vinnova); Formas(Swedish Research Council Formas)</t>
  </si>
  <si>
    <t>This research was funded by FORMAS, grant number 2018-02341.</t>
  </si>
  <si>
    <t>10.3390/su13052762</t>
  </si>
  <si>
    <t>QW3QR</t>
  </si>
  <si>
    <t>WOS:000628568900001</t>
  </si>
  <si>
    <t>Soriano-González, J; Sánchez-García, E; González-Villanueva, R</t>
  </si>
  <si>
    <t>Soriano-Gonzalez, Jesus; Sanchez-Garcia, Elena; Gonzalez-Villanueva, Rita</t>
  </si>
  <si>
    <t>From a citizen science programme to a coastline monitoring system: Achievements and lessons learnt from the Spanish CoastSnap network</t>
  </si>
  <si>
    <t>CoastSnap; Crowdsourcing; Data management; Coastal monitoring; Coastal management</t>
  </si>
  <si>
    <t>CHALLENGES; MANAGEMENT</t>
  </si>
  <si>
    <t>Citizen science-based monitoring projects have emerged as powerful tools for understanding morphodynamic changes in beaches and fostering the democratization of coastal research and management. The CoastSnap initiative exemplifies this approach. This study provides a comprehensive overview of the background and evolution of the CoastSnap initiative in Spain, analyzing its performance during its first five operational years in the country (2018-2022) and its success in engaging diverse participants and stakeholders. The Spanish CoastSnap network effectively harnessed community involvement leading to significant data collection to enhance scientific understanding of shoreline dynamics. The analysis of community participation statistics demonstrates the influence of local customs on CoastSnap use, with variable engagement trends related to geographic factors and different beach users' preferences. Challenges in maintaining project momentum and ensuring data accuracy underscore the need for continuous support and resources to sustain citizen science initiatives, while also encouraging the integration of local knowledge and expertise. This study provides insights for similar citizen science projects, highlighting the potential of collaborative efforts in addressing the complex monitoring of coastal ecosystems. The organization, achievements, impacts, and challenges of the Spanish CoastSnap network offer valuable guidance for further applications of the CoastSnap approach, future research directions, and enhance knowledge exchange to establish international best practices.</t>
  </si>
  <si>
    <t>[Soriano-Gonzalez, Jesus; Sanchez-Garcia, Elena] Balearic Isl Coastal Observing &amp; Forecasting Syst, Palma De Mallorca 07121, Spain; [Gonzalez-Villanueva, Rita] Univ Vigo, Ctr Invest Marina, XM1, Vigo 36310, Spain</t>
  </si>
  <si>
    <t>Universidade de Vigo; CIM UVIGO</t>
  </si>
  <si>
    <t>Sánchez-García, E (corresponding author), Balearic Isl Coastal Observing &amp; Forecasting Syst, Palma De Mallorca 07121, Spain.</t>
  </si>
  <si>
    <t>; Sánchez-García, Elena/ABE-3969-2020; González-Villanueva, Rita/G-7409-2015</t>
  </si>
  <si>
    <t>Soriano-González, Jesús/0000-0001-6573-3924; Sánchez-García, Elena/0000-0002-8642-2436; González-Villanueva, Rita/0000-0002-6583-2348</t>
  </si>
  <si>
    <t>Spanish Foundation for Science and Technology (FECYT) through the project 'Centinelas de la Costa' [FCT-20-15835]</t>
  </si>
  <si>
    <t>Spanish Foundation for Science and Technology (FECYT) through the project 'Centinelas de la Costa'</t>
  </si>
  <si>
    <t>This project received support from the Spanish Foundation for Science and Technology (FECYT) through the project 'Centinelas de la Costa' (FCT-20-15835) . The authors wish to express their sincere gratitude to all citizen scientists and fellow practitioners of citizen science who contributed to the Spanish CoastSnap network, as well as to all the researchers and institutions that have been part of the project 'Centinelas de la Costa' from the University of Cadiz (Laura Del Rio, Theo- charis Plomaritis y Javier Benavente), the Balearic Islands Coastal Observing and Forecasting System (Angels Fernandez-Mora y Francisco Criado-Sudau) , the CIM-Uvigo (Irene Alejo y Miguel Angel Nombela) , the Institute of Marine Science -ICM-CSIC- (Gonzalo Simarro, Ruth Duran y Jorge Guillen) and the Institute of Environment and Marine Science Research-IMEDMAR-UCV-(Amanda Sancho) . The manuscript benefited from the comments and suggestions of three anonymous reviewers.</t>
  </si>
  <si>
    <t>10.1016/j.ocecoaman.2024.107280</t>
  </si>
  <si>
    <t>JUL 2024</t>
  </si>
  <si>
    <t>YV8P2</t>
  </si>
  <si>
    <t>WOS:001271354300001</t>
  </si>
  <si>
    <t>Yardi, KD; Bharucha, E; Girade, S</t>
  </si>
  <si>
    <t>Yardi, Kranti D.; Bharucha, Erach; Girade, Swapnil</t>
  </si>
  <si>
    <t>Post-restoration monitoring of water quality and avifaunal diversity of Pashan Lake, Pune, India using a citizen science approach</t>
  </si>
  <si>
    <t>citizen science; restoration; birds; species richness; water quality; India</t>
  </si>
  <si>
    <t>HABITAT SELECTION; WADING BIRDS; BIODIVERSITY; VEGETATION; WETLANDS</t>
  </si>
  <si>
    <t>At a global scale, aquatic habitats within urban areas can be degraded by a multitude of stressors, and restoring these habitats is costly and challenging. Furthermore, post-restoration monitoring is rarely done or documented. Pashan Lake in Pune, India has been the site of an integrated restoration project since 2005, which was implemented after the lake suffered a decline in quality as a result of increased urbanization and changes in catchment land cover. These restoration efforts focused on improving the abiotic and biological integrity of the lake and included draining, extracting silt and construction debris, developing 2 islands for birds and the planting of indigenous tree species. To assess long-term restoration benefits on the biological and chemical status of the lake, volunteers from the local community and schools were trained to regularly assess water quality following globally recognized and standardized water testing methods suitable for citizen science. In parallel, bird populations around Pashan Lake were studied to identify relationships between species richness or abundance and water conditions. Measurements were made each month during the 18-mo period from December 2014 to June 2016. We found that species richness and abundance of birds around the lake increased following restoration and that nutrient concentrations (N-NO3 and P-PO4) decreased within the lake. Changes in avifauna diversity were most strongly associated with hydrological conditions related to water-level fluctuation and chemical conditions related to pH. Peak turbidity levels were observed during later winter and summer periods, which were weakly and positively correlated to wetland bird diversity. Citizen scientist assessments of lake ecosystems that combine water-quality tests, wetland bird surveys, and visual observations of environmental conditions provided important insights into the effectiveness of restoration activities in this urban ecosystem. Furthermore, citizen science increased advocacy in the local community.</t>
  </si>
  <si>
    <t>[Yardi, Kranti D.; Bharucha, Erach; Girade, Swapnil] Bharati Vidyapeeth Inst Environm Educ &amp; Res BVIEE, Pune, Maharashtra, India</t>
  </si>
  <si>
    <t>Bharati Vidyapeeth Deemed University</t>
  </si>
  <si>
    <t>Yardi, KD (corresponding author), Bharati Vidyapeeth Inst Environm Educ &amp; Res BVIEE, Pune, Maharashtra, India.</t>
  </si>
  <si>
    <t>kranti@bvieer.edu.in; erach.bharucha@bvieer.edu.in; swapnilgirade88@gmail.com</t>
  </si>
  <si>
    <t>10.1086/703440</t>
  </si>
  <si>
    <t>WOS:000474076400010</t>
  </si>
  <si>
    <t>Hague, E; Walters, A; Moscrop, A; Steel, E; Dyke, K; Davis, C; Siddle, B; Cole, D; MacDonald-Taylor, S; Gulliver, P; Olaleye, R; Lehmann, J; Olias, S; Hilgenfeld, C; Tozer, J; Kilroe, W; Allan, K; Stenton, T; McWhinnie, L</t>
  </si>
  <si>
    <t>Hague, Emily; Walters, Alice; Moscrop, Anna; Steel, Emma; Dyke, Katie; Davis, Carole; Siddle, Bernard; Cole, Debbie; MacDonald-Taylor, Sarah; Gulliver, Peter; Olaleye, Rebecca; Lehmann, Juliane; Olias, Sebastian; Hilgenfeld, Carsten; Tozer, Julie; Kilroe, Wendy; Allan, Kathryn; Stenton, Tim; McWhinnie, Lauren</t>
  </si>
  <si>
    <t>Marine monitors: Land-based citizen science observations show AIS data underrepresents coastal vessel traffic co-occurring with marine mammals</t>
  </si>
  <si>
    <t>AIS (automatic identification system); Vessels; Anthropogenic impacts; Co-occurrence; Marine mammals; Cetacean; Pinniped; Citizen science; Land-based watching</t>
  </si>
  <si>
    <t>BOTTLE-NOSED DOLPHINS; COMMUNICATION SPACE; HUMPBACK WHALES; NOISE; DISTURBANCE; SHIPS; BOATS; CONSEQUENCES; STRATEGIES; ABUNDANCE</t>
  </si>
  <si>
    <t>Marine mammals are vulnerable to a variety of impacts from vessels, including underwater noise disturbance and injury from collision. To quantify this risk, AIS (Automatic Identification System) vessel tracking data is often used as a proxy of vessel presence. However, many vessels do not appear within AIS datasets, meaning evaluating impacts using AIS alone will likely underestimate the potential for effects to occur. To understand the scale of underestimation and the types of vessels co-occurring with marine mammals, 3-yrs of land-based surveys recorded all vessels (sighted within similar to 10 km of shore) that were observed concurrently with whales, dolphins and seals (sighted within similar to 3 km of shore). Surveys were conducted from multiple sites within five Scottish Marine Regions. Observations of responses to vessels were also recorded opportunistically. AIS data accurately reflected coastal vessel traffic co-occurring with marine mammals during 30 % of the surveyed period. 59 % of vessels seen were not broadcasting AIS, with seasonal and spatial variation in AIS transmission rates, with lowest AIS transmission rates in summer (when 38 % of co-occurring vessels were broadcasting AIS). Non-AIS vessels were more frequently observed travelling at speeds that may pose an elevated risk to marine mammals, and were also more frequently recorded to elicit a response. 45 % of responses to vessels involved non-AIS powered vessels, and 33 % were in relation to human-powered vessels (e.g. kayaks). The results show that the majority of vessels that co-occur with marine mammals are non-AIS, and as such AIS data alone is insufficient to represent vessel-related impacts.</t>
  </si>
  <si>
    <t>[Hague, Emily; Olaleye, Rebecca; McWhinnie, Lauren] Heriot Watt Univ, Inst Life &amp; Earth Sci, Edinburgh, Scotland; [Hague, Emily; Allan, Kathryn] UHI Shetland, Shetland, Scotland; [Walters, Alice; Moscrop, Anna; Steel, Emma; Dyke, Katie; Davis, Carole; Siddle, Bernard; Cole, Debbie; MacDonald-Taylor, Sarah; Gulliver, Peter] Whale &amp; Dolphin Conservat, Fochabers, Scotland; [Lehmann, Juliane; Olias, Sebastian; Hilgenfeld, Carsten] Kpler Germany GmbH, Strandstr, Rostock, Germany; [Tozer, Julie; Kilroe, Wendy] Community Arran Seabed Trust COAST, Arran, Scotland; [Stenton, Tim] Dolphin View Cottages, Hillockhead, Scotland; [McWhinnie, Lauren] Univ Victoria, Victoria, BC, Canada</t>
  </si>
  <si>
    <t>Heriot Watt University; University of Victoria</t>
  </si>
  <si>
    <t>Hague, E (corresponding author), Univ Highlands &amp; Isl Shetland, Scalloway Campus, Shetland, Scotland.</t>
  </si>
  <si>
    <t>emily.hague@uhi.ac.uk</t>
  </si>
  <si>
    <t>; Hague, Emily/GVU-5245-2022</t>
  </si>
  <si>
    <t>McWhinnie, Lauren/0000-0002-0761-2275; Hague, Emily/0000-0001-6817-2894</t>
  </si>
  <si>
    <t>Marine Alliance for Science and Technology for Scotland (MASTS) Emerging from Lockdown Fund; Heriot-Watt University Annual Fund; Heriot-Watt University Small Grants Scheme; Whale and Dolphin Conservation; Animal Friends-Pet Insurance Experts; D'Oyly Carte Charitable Trust; Gordon Fraser Charitable Trust; HDH Wills 1965 Charitable Trust, Heritage Lottery Fund; Hugh Fraser Foundation, Islands Environment Foundation; Scottish Marine Environment Enhancement Fund; Stafford Trust</t>
  </si>
  <si>
    <t>The Scottish Vessel Project received funding from the Marine Alliance for Science and Technology for Scotland (MASTS) Emerging from Lockdown Fund, the Heriot-Watt University Annual Fund, the Heriot-Watt University Small Grants Scheme, the UKRI NERC SUPER-DTP Research Experience Placements Scheme and Sea Changers. E.H. was funded via a James Watt Scholarship, administered via Heriot-Watt University, and a grant from Whale and Dolphin Conservation. Whale and Dolphin Conservation Shorewatch has been supported by volunteers, donors and funders including: Alpkit Foundation, Animal Friends-Pet Insurance Experts, the D'Oyly Carte Charitable Trust, Gordon Fraser Charitable Trust, the HDH Wills 1965 Charitable Trust, Heritage Lottery Fund, the Hugh Fraser Foundation, Islands Environment Foundation, Jingle Jam, NatureScot (formally Scottish National Heritage) , Scottish Marine Environment Enhancement Fund (SMEEF) , Sea-Changers, and the Stafford Trust.</t>
  </si>
  <si>
    <t>10.1016/j.biocon.2025.111284</t>
  </si>
  <si>
    <t>JUN 2025</t>
  </si>
  <si>
    <t>3VU1F</t>
  </si>
  <si>
    <t>WOS:001510188300002</t>
  </si>
  <si>
    <t>Viana, BF; Souza, CQ; Moreira, EF</t>
  </si>
  <si>
    <t>Viana, B. F.; Souza, C. Q.; Moreira, E. F.</t>
  </si>
  <si>
    <t>Why the views of Latin American Scientists on Citizen Science as a Tool for Pollinator Monitoring and Conservation Matter?</t>
  </si>
  <si>
    <t>Engagement strategies; public engagement with science; pollination service; public policies; perception</t>
  </si>
  <si>
    <t>ECOLOGICAL RESEARCH; KNOWLEDGE; QUALITY; CHALLENGES; DECLINES; IMPACT</t>
  </si>
  <si>
    <t>Pollinators are threatened all over the planet; scientific data about the status of them is essential for planning conservation and impact mitigation. Appropriate methods and costs for monitoring are being discussed and non-scientist participation in data collection in citizen science (CS) projects is a very promising option. However, there is criticism regarding the quality of data gathered by non-scientists and their real contribution to scientific research, which makes the engagement of scientists in these projects crucial for data verification and validation and training volunteers. CS is still poorly spread in Latin America, so in order to propose strategies to engage scientists, it is necessary to understand the attitude of these professionals towards CS and their interests in engaging in it. To this end, we conducted a survey with 96 biodiversity scientists based in five Latin American countries. In general, the respondents have a very favorable attitude towards CS, although only a small percentage of them are engaged in CS projects. Obtaining data for scientific research is the scientists' main interest in CS, although some of them have also expressed more altruistic reasons for engaging in CS related to ethical and social values. Our paper also suggests five interrelated strategies that can be taken to engage scientists in CS, covering the following: (a) create funding lines to support projects, (b) include extension and outreach activities in the system of scientists' evaluation, (c) promote an inter and transdisciplinary infrastructure, (d) promote scientists' building capacities in CS, and (e) encourage scientists to do science communication.</t>
  </si>
  <si>
    <t>[Viana, B. F.; Souza, C. Q.; Moreira, E. F.] Univ Fed Bahia, Biol Inst, Salvador, BA, Brazil; [Viana, B. F.; Souza, C. Q.; Moreira, E. F.] Natl Inst Sci &amp; Technol Inter &amp; Transdisciplinary, BR-40170115 Salvador, BA, Brazil</t>
  </si>
  <si>
    <t>Universidade Federal da Bahia</t>
  </si>
  <si>
    <t>Viana, BF (corresponding author), Natl Inst Sci &amp; Technol Inter &amp; Transdisciplinary, BR-40170115 Salvador, BA, Brazil.</t>
  </si>
  <si>
    <t>blande.viana@gmail.com</t>
  </si>
  <si>
    <t>; Freitas Moreira, Eduardo/J-5630-2016; Felipe Viana, Blandina/AFM-0275-2022</t>
  </si>
  <si>
    <t>Queiroz, Caren/0000-0002-9692-3496; Freitas Moreira, Eduardo/0000-0001-7754-9585;</t>
  </si>
  <si>
    <t>Brazilian National Council for Scientific and Technological Development (CNPq) [465767/2014-1, 407152/2013-0, 305470/2013-2]</t>
  </si>
  <si>
    <t>Brazilian National Council for Scientific and Technological Development (CNPq)(Conselho Nacional de Desenvolvimento Cientifico e Tecnologico (CNPQ))</t>
  </si>
  <si>
    <t>This work was supported by the Brazilian National Council for Scientific and Technological Development (CNPq) through the projects (codes: INCT-IN-TREE (465767/2014-1); PVE-Science without borders (407152/2013-0); BFV also thanks CNPq for the grants PQ (code: 305470/2013-2)). We are also grateful for all scientists that answered the questionnaires.</t>
  </si>
  <si>
    <t>10.1007/s13744-020-00793-8</t>
  </si>
  <si>
    <t>NI0JM</t>
  </si>
  <si>
    <t>WOS:000556649600001</t>
  </si>
  <si>
    <t>Fournier, AMV; Drake, KL; Tozer, DC</t>
  </si>
  <si>
    <t>Fournier, Auriel M. V.; Drake, Kiel L.; Tozer, Douglas C.</t>
  </si>
  <si>
    <t>Using citizen science monitoring data in species distribution models to inform isotopic assignment of migratory connectivity in wetland birds</t>
  </si>
  <si>
    <t>JOURNAL OF AVIAN BIOLOGY</t>
  </si>
  <si>
    <t>STABLE HYDROGEN ISOTOPES; ORIGINS; MARSH; CONSERVATION; DYNAMICS; FEATHERS; NETWORK; RAILS; LAKES</t>
  </si>
  <si>
    <t>Stable isotopes have been used to estimate migratory connectivity in many species. Estimates are often greatly improved when coupled with species distribution models (SDMs), which temper estimates in relation to occurrence. SDMs can be constructed using point locality data from a variety of sources including extensive monitoring data typically collected by citizen scientists. However, one potential issue with SDM is that these data often have sampling bias. To avoid this potential bias, we created SDMs based on marsh bird monitoring program data collected by citizen scientists and other participants following protocols specifically designed to maximize detections of species of interest at locations representative of larger areas of inference. We then used the SDMs to refine isotopic assignments of breeding areas of autumn-migrating and wintering sora Porzana carolina, Virginia rail Rallus limicola, and yellow rail Coturnicops noveboracensis based on feathers collected from individuals caught at various locations in the United States from Minnesota south to Louisiana and South Carolina. Sora were assigned to an area that included much of the western U.S. and prairie Canada, covering parts of the Pacific, Central, and Mississippi waterfowl Flyways. Yellow rails were assigned to a broad area along Hudson and James Bay in northern Manitoba and Ontario, as well as smaller parts of Quebec, Minnesota, Wisconsin, and Michigan, including parts of the Mississippi and Atlantic Flyways. Virginia rails were from several discrete areas, including parts of Colorado, New Mexico, the central valley of California, and southern Saskatchewan and Manitoba in the Pacific and Central Flyways. Our study demonstrates extensive data from organized citizen science monitoring programs are especially useful for improving isotopic assignments of migratory connectivity in birds, which can ultimately lead to better informed management decisions and conservation actions.</t>
  </si>
  <si>
    <t>[Fournier, Auriel M. V.] Univ Arkansas, Dept Biol Sci, Arkansas Cooperat Fish &amp; Wildlife Res Unit, Fayetteville, AR 72701 USA; [Fournier, Auriel M. V.] Mississippi State Univ, Biloxi, MS 39532 USA; [Drake, Kiel L.] Bird Studies Canada, Saskatoon, SK, Canada; [Tozer, Douglas C.] Bird Studies Canada, Port Rowan, ON, Canada</t>
  </si>
  <si>
    <t>University of Arkansas System; University of Arkansas Fayetteville; Mississippi State University</t>
  </si>
  <si>
    <t>Fournier, AMV (corresponding author), Univ Arkansas, Dept Biol Sci, Arkansas Cooperat Fish &amp; Wildlife Res Unit, Fayetteville, AR 72701 USA.;Fournier, AMV (corresponding author), Mississippi State Univ, Biloxi, MS 39532 USA.</t>
  </si>
  <si>
    <t>aurielfournier@gmail.com</t>
  </si>
  <si>
    <t>Arkansas Cooperative Fish and Wildlife Research Unit; Bird Studies Canada's Long Point Waterfowl and Wetlands Research Program; Garden Club of America's Frances M. Peacock Scholarship for Native Bird Habitat; SC Johnson; Bluff's Hunting Club</t>
  </si>
  <si>
    <t>Funding provided through the Arkansas Cooperative Fish and Wildlife Research Unit, Bird Studies Canada's Long Point Waterfowl and Wetlands Research Program, Garden Club of America's Frances M. Peacock Scholarship for Native Bird Habitat, SC Johnson, and The Bluff's Hunting Club.</t>
  </si>
  <si>
    <t>0908-8857</t>
  </si>
  <si>
    <t>1600-048X</t>
  </si>
  <si>
    <t>J AVIAN BIOL</t>
  </si>
  <si>
    <t>J. Avian Biol.</t>
  </si>
  <si>
    <t>10.1111/jav.01273</t>
  </si>
  <si>
    <t>FQ3SG</t>
  </si>
  <si>
    <t>WOS:000418276300007</t>
  </si>
  <si>
    <t>Martellos, S; Pittao, E; Cesaroni, D; Mereu, A; Petruzzella, D; Pinzari, M; Sbordoni, V; Tallone, G; Attorre, F</t>
  </si>
  <si>
    <t>Martellos, Stefano; Pittao, Elena; Cesaroni, Donatella; Mereu, Alessio; Petruzzella, Damiano; Pinzari, Manuela; Sbordoni, Valerio; Tallone, Giuliano; Attorre, Fabio</t>
  </si>
  <si>
    <t>Volunteers Recruitment, Retention, and Performance during the CSMON-LIFE (Citizen Science MONitoring) Project and 3 Years of Follow-Up</t>
  </si>
  <si>
    <t>alien species; biodiversity data; field observation; participation</t>
  </si>
  <si>
    <t>Volunteers' contribution to research is growing, especially since the beginning of the 21st century. Given the constant increase of Citizen Science initiatives, recruiting strategies have to be planned properly. Retention is pivotal as well, especially when time is invested in volunteers' training. However, practically no follow-up data are available on retention after major Citizen Science initiatives. CSMON-LIFE (Citizen Science MONitoring) was a 42-month project (2014-2017) funded by the European Commission in the framework of the LIFE+ programme (LIFE13 ENV/IT/842). It aimed at increasing awareness on Citizen Science among citizens, researchers, and decision makers in Italy. During CSMON-LIFE, recruitment was based on extensive awareness raising actions on different media. In total, 5558 volunteers were engaged in different field activities during the project and its follow-up. They gathered a total of 30062 geo-referenced observations, each with an image of the reported organism. Their activities were organized in campaigns, each devoted to a different topic. This study aims at investigating volunteers' performance and retention in the funded period of CSMON-LIFE (December 2014-November 2017) and in its after-LIFE follow-up period (December 2017-November 2020), for a total of 72 months.</t>
  </si>
  <si>
    <t>[Martellos, Stefano; Pittao, Elena] Univ Trieste, Dept Life Sci, I-34127 Trieste, Italy; [Martellos, Stefano; Attorre, Fabio] Alma Mater Studiorum Univ Bologna, Dept Biol Geol &amp; Environm Sci, Ctr Interuniv Ric Biodiversita Vegeta Big Data PL, I-40126 Bologna, Italy; [Cesaroni, Donatella; Pinzari, Manuela; Sbordoni, Valerio] Tor Vergata Univ Rome, Dept Biol, I-00133 Rome, Italy; [Mereu, Alessio] Divulgando SRL, I-34135 Trieste, Italy; [Petruzzella, Damiano] CIHEAM Bari, I-70010 Valenzano, Italy; [Tallone, Giuliano] Agenzia Reg Turismo, I-00185 Rome, Italy; [Attorre, Fabio] Sapienza Univ Rome, Dept Environm Biol, I-00185 Rome, Italy</t>
  </si>
  <si>
    <t>University of Trieste; University of Bologna; University of Rome Tor Vergata; CIHEAM; CIHEAM BARI; Sapienza University Rome</t>
  </si>
  <si>
    <t>Martellos, S (corresponding author), Univ Trieste, Dept Life Sci, I-34127 Trieste, Italy.;Martellos, S (corresponding author), Alma Mater Studiorum Univ Bologna, Dept Biol Geol &amp; Environm Sci, Ctr Interuniv Ric Biodiversita Vegeta Big Data PL, I-40126 Bologna, Italy.</t>
  </si>
  <si>
    <t>martelst@units.it; epittao@units.it; donatella.cesaroni@uniroma2.it; mereu@divulgando.eu; petruzzella@iamb.it; manuela.pinzari@uniroma2.it; valerio.sbordoni@uniroma2.it; gtallone@regione.lazio.it; fabio.attorre@uniroma1.it</t>
  </si>
  <si>
    <t>; Sbordoni, Valerio/L-8889-2013; Attorre, Fabio/H-5351-2012</t>
  </si>
  <si>
    <t>Martellos, Stefano/0000-0001-5201-8948; Tallone, Giuliano/0000-0002-1068-9417; Attorre, Fabio/0000-0002-7744-2195</t>
  </si>
  <si>
    <t>European Commission [LIFE13 ENV/IT/842]</t>
  </si>
  <si>
    <t>This research was funded by the European Commission in the framework of the LIFE+ programme (LIFE13 ENV/IT/842).</t>
  </si>
  <si>
    <t>10.3390/su131911110</t>
  </si>
  <si>
    <t>YZ9SF</t>
  </si>
  <si>
    <t>WOS:000755808800001</t>
  </si>
  <si>
    <t>Englefield, B; Starling, M; Wilson, B; Roder, C; McGreevy, P</t>
  </si>
  <si>
    <t>Englefield, Bruce; Starling, Melissa; Wilson, Bethany; Roder, Caidyrn; McGreevy, Paul</t>
  </si>
  <si>
    <t>The Australian Roadkill Reporting Project-Applying Integrated Professional Research and Citizen Science to Monitor and Mitigate Roadkill in Australia</t>
  </si>
  <si>
    <t>ANIMALS</t>
  </si>
  <si>
    <t>roving reports; mobile application; ecological studies</t>
  </si>
  <si>
    <t>VEHICLE COLLISIONS; ONE WELFARE; HIGHWAY; POPULATION; SCIENTISTS; VOLUNTEERS; RETENTION; HOTSPOTS; IMPACTS; COUNTS</t>
  </si>
  <si>
    <t>Simple Summary Australia has no database of national roadkill. The current research project fills that knowledge gap by developing a roadkill reporting application that enables professional and citizen scientists to record photographs of roadkill with location, time and date. This embodies the concept of 'One Welfare' as it affects humans, animals and the environment. Uploaded to a website, these data can identify roadkill hotspots, tabulate species of animals killed and potentially be used for ecological studies of roadkill numbers, species distribution, population trends, animal behaviour and disease. Initial results indicate that mammal roadkill mostly occurs at night and that of birds and reptiles during daytime. Mammals make up three-quarters of the roadkill recorded and this includes endangered species. Two examples of roadkill hotspots are shown in Queensland and Tasmania. These will enable further research to suggest how roadkill mitigation measures may be optimally employed. Australia has no national roadkill monitoring scheme. To address this gap in knowledge, a roadkill reporting application (app) was developed to allow members of the public to join professional researchers in gathering Australian data. The app is used to photograph roadkill and simultaneously records the GPS location, time and date. These data are uploaded immediately to a website for data management. To illustrate the capacity to facilitate cost-effective mitigation measures the article focuses on two roadkill hotspots-in Queensland and Tasmania. In total, 1609 reports were gathered in the first three months of the project. They include data on mammals (n= 1203, 75%), birds (n= 125, 7.8%), reptiles (n= 79, 4.9%), amphibians (n= 4, 0.025%), unidentified (n= 189, 11.8%) and unserviceable ones (n= 9). A significant finding is variance in the distribution of mammals and birds at different times of day. These findings reflect diurnal variation in the activity levels of different species and underline the need for data on a targeted species to be collected at appropriate times of day. By continuing to facilitate roadkill monitoring, it is anticipated that the data generated by the app will directly increase knowledge of roadkill numbers and hotspots. Indirectly, it will provide value-added information on animal behaviour, disease and population dynamics as well as for species distribution mapping.</t>
  </si>
  <si>
    <t>[Englefield, Bruce; Starling, Melissa; Wilson, Bethany; Roder, Caidyrn; McGreevy, Paul] Univ Sydney, Sydney Sch Vet Sci, Sydney, NSW 2006, Australia</t>
  </si>
  <si>
    <t>University of Sydney</t>
  </si>
  <si>
    <t>Englefield, B (corresponding author), Univ Sydney, Sydney Sch Vet Sci, Sydney, NSW 2006, Australia.</t>
  </si>
  <si>
    <t>beng3578@uni.sydney.edu.au; melissa.starling@sydney.edu.au; bethany.wilson@sydney.edu.au; caidyrnr@gmail.com; paul.mcgreevy@sydney.edu.au</t>
  </si>
  <si>
    <t>McGreevy, Paul/KYY-8916-2024</t>
  </si>
  <si>
    <t>McGreevy, Paul/0000-0001-7220-8378; Starling, Melissa/0000-0002-2394-3234</t>
  </si>
  <si>
    <t>2076-2615</t>
  </si>
  <si>
    <t>ANIMALS-BASEL</t>
  </si>
  <si>
    <t>Animals</t>
  </si>
  <si>
    <t>10.3390/ani10071112</t>
  </si>
  <si>
    <t>Agriculture, Dairy &amp; Animal Science; Veterinary Sciences; Zoology</t>
  </si>
  <si>
    <t>Agriculture; Veterinary Sciences; Zoology</t>
  </si>
  <si>
    <t>MW5EC</t>
  </si>
  <si>
    <t>WOS:000557058900001</t>
  </si>
  <si>
    <t>Keller, O; Benoit, M; Müller, A; Schmeling, S</t>
  </si>
  <si>
    <t>Keller, Oliver; Benoit, Mathieu; Mueller, Andreas; Schmeling, Sascha</t>
  </si>
  <si>
    <t>Smartphone and Tablet-Based Sensing of Environmental Radioactivity: Mobile Low-Cost Measurements for Monitoring, Citizen Science, and Educational Purposes</t>
  </si>
  <si>
    <t>natural radioactivity; radon; terrestrial radiation; silicon sensor; hybrid pixel detector; formal and informal learning; citizen science; learning tool; open educational resource; low-cost</t>
  </si>
  <si>
    <t>RADIATION; STUDENTS; PHYSICS; BPW34</t>
  </si>
  <si>
    <t>Sensors for environmental radioactivity based on two novel setups using photodiodes, on the one hand, and an advanced tablet-based hybrid pixel detector, on the other hand, are presented. Measurements of four kinds of terrestrial and every-day radiation sources are carried out: Airborne radon, a mineral containing traces of uranium, edible potassium salt, and an old radium watch. These measurements permit comparisons between different types of ambient radioactive sources and enable environmental monitoring. Available data comprise discrimination between alpha- and beta(-)-particles in an energy range of 33 keV to 8 MeV and under ambient air conditions. The diode-based sensor is particularly useful in portable applications since it is small and sturdy with little power consumption. It can be directly connected to a smartphone via the headset socket. For its development, the low-cost silicon positive-intrinsic-negative (PIN) diodes BPX61 and BPW34 have been characterised with capacitance versus voltage (C-V) curves. Physical detection limits for ionising radiation are discussed based on obtained depletion layer width: (50 +/- 8) mu m at 8V. The mobile and low-cost character of these sensors, as alternatives to Geiger counters or other advanced equipment, allows for a widespread use by individuals and citizen science groups for environmental and health protection purposes, or in educational settings. Source code and hardware design files are released under open source licenses with this publication.</t>
  </si>
  <si>
    <t>[Keller, Oliver; Schmeling, Sascha] CERN, Esplanade Particules 1, CH-1217 Meyrin, Switzerland; [Keller, Oliver; Mueller, Andreas] Univ Geneva, Sect Phys, CH-1211 Geneva, Switzerland; [Keller, Oliver; Mueller, Andreas] Univ Geneva, IUFE, CH-1211 Geneva, Switzerland; [Benoit, Mathieu] Univ Geneva, DPNC, CH-1211 Geneva, Switzerland</t>
  </si>
  <si>
    <t>European Organization for Nuclear Research (CERN); University of Geneva; University of Geneva; University of Geneva</t>
  </si>
  <si>
    <t>Keller, O (corresponding author), CERN, Esplanade Particules 1, CH-1217 Meyrin, Switzerland.;Keller, O (corresponding author), Univ Geneva, Sect Phys, CH-1211 Geneva, Switzerland.;Keller, O (corresponding author), Univ Geneva, IUFE, CH-1211 Geneva, Switzerland.</t>
  </si>
  <si>
    <t>Oliver.Michael.Keller@cern.ch; Mathieu.Benoit@unige.ch; Andreas.Mueller@unige.ch; Sascha.Schmeling@cern.ch</t>
  </si>
  <si>
    <t>Benoit, Mathieu/A-1420-2011; Müller, Andreas/GPW-6233-2022; Keller, Oliver Michael/KCK-9041-2024</t>
  </si>
  <si>
    <t>Keller, Oliver Michael/0000-0002-6592-2984</t>
  </si>
  <si>
    <t>10.3390/s19194264</t>
  </si>
  <si>
    <t>JK4OO</t>
  </si>
  <si>
    <t>WOS:000494823200208</t>
  </si>
  <si>
    <t>Casula, P</t>
  </si>
  <si>
    <t>Casula, Paolo</t>
  </si>
  <si>
    <t>Monitoring and management of Cerambyx cerdo in the Mediterranean region - a review and the potential role of citizen science</t>
  </si>
  <si>
    <t>Citizen Science; Habitats Directive; Monitoring protocol; Saproxylic beetle</t>
  </si>
  <si>
    <t>ENDANGERED LONGHORN BEETLE; SAPROXYLIC BEETLE; COLEOPTERA CERAMBYCIDAE; CONSERVATION; KNOWLEDGE; HABITAT; BIODIVERSITY; WOODLANDS</t>
  </si>
  <si>
    <t>The Great Capricorn beetle, Cerambyx cerdo, and Mediterranean oak habitats (Quercus ilex - 9340 and Quercus suber - 9330) are protected by the Habitats Directive (HD). However, in the Mediterranean basin, these habitats are also traditionally used for animal, wood, and cork productions. Cerambyx cerdo feeds into the wood of trees and can be perceived by forest practitioners as an umbrella species or as a pest, depending on the context. Monitoring programmes involving forest practitioners could thus focus on assessing: 1) the conservation status of the Great Capricorn beetle and habitats (distribution and abundance of insects and reproductive sites or colonised trees), 2) pest status, and 3) management options to achieve both conservational and economic benefits. Considering that Cerambyx cerdo and Cork and Holm oak forests are not priority species or habitats under the HD, targeted funding is likely to be limited for monitoring. In this context, citizen science could gather important information on the target species useful for the monitoring programmes and management. To address management questions, the citizen science based programme for Cerambyx cerdo monitoring and habitat conservation should be seen not only as citizens collecting good data sets, but also as a deeper collaboration amongst different knowledge bodies and perspectives within a community - based environmental monitoring and learning network.</t>
  </si>
  <si>
    <t>[Casula, Paolo] Agenzia Forestas, Direz Gen, Serv Tecn, Viale Merello 86, I-09124 Cagliari, Italy</t>
  </si>
  <si>
    <t>Casula, P (corresponding author), Agenzia Forestas, Direz Gen, Serv Tecn, Viale Merello 86, I-09124 Cagliari, Italy.</t>
  </si>
  <si>
    <t>pcasula@forestas.it</t>
  </si>
  <si>
    <t>Casula, Paolo/AAF-3623-2020</t>
  </si>
  <si>
    <t>Casula, Paolo/0000-0003-3873-6761</t>
  </si>
  <si>
    <t>10.3897/natureconservation.19.12637</t>
  </si>
  <si>
    <t>FF9FK</t>
  </si>
  <si>
    <t>WOS:000409322000006</t>
  </si>
  <si>
    <t>Torres, I; Raspall, A; Arrizabalaga, A; Díaz, M</t>
  </si>
  <si>
    <t>Torres, Ignasi; Raspall, Alfons; Arrizabalaga, Antoni; Diaz, Mario</t>
  </si>
  <si>
    <t>Evaluating trap performance and volunteers' experience in small mammal monitoring programs based on citizen science: The SEMICE case study</t>
  </si>
  <si>
    <t>MAMMALIAN BIOLOGY</t>
  </si>
  <si>
    <t>Small mammals; Volunteers; Citizen science; Experience; Monitoring</t>
  </si>
  <si>
    <t>TOOL</t>
  </si>
  <si>
    <t>Citizen science projects have proliferated in the last decades, becoming a critical form of public engagement in science. However, monitoring based on citizen science must take special care on the analyses and/or standardization of volunteer's variation in sampling and identification skills. Key aspects such as detectability of species and ability to determine individual traits (i.e., sex and reproductive state) are expected to vary with observer's experience. We analysed how volunteer experience influenced results of a small mammal monitoring program (SEMICE) based on a standardized trapping design. This protocol aims at monitoring common species easy to catch with the two most widely used commercial live traps (Sherman and Longworth traps). We analysed sampling inaccuracies due to problems with trap performance according to trap type and observer experience, and how experience influenced the ability to determine sex and reproductive state of individuals trapped. Sampling inaccuracies were low (4.0 inaccuracies/100 traps-night) and were not influenced by experience, so that experience did not affect abundance estimates. Aptitude to sex shrews Crocidura russula and Sorex spp. was positively influenced by experience (31% sexed by short-experienced people vs. 78% by people with longer experience), but not for sexing rodents (&gt; 90% individuals sexed irrespective of experience). No differences among volunteers and professionals were evident despite longer experience by professionals (9.32 +/- 0.54 vs 18.42 +/- 0.62 sampling sessions, respectively). Data collected by volunteers provided accurate information on species abundance, but less information than professionals provided for some biological traits such as shrews' sex and reproductive condition. Effect sizes of experience were small enough to utilize volunteer's data to obtain unbiased monitoring results. Overall, the SEMICE protocol can be validated for its use as a small mammal monitoring program based on citizen science. (C) 2019 Deutsche Gesellschaft fur Saugetierkunde. Published by Elsevier GmbH. All rights reserved.</t>
  </si>
  <si>
    <t>[Raspall, Alfons] Parc Nat Serra Collserola, Ctra Esglesia 92, Barcelona 08017, Spain; [Diaz, Mario] Museo Nacl Ciencias Nat CSIC, Dept Biogeog &amp; Global Change BGC MNCN, C Serrano 115 Bis, E-28006 Madrid, Spain; [Torres, Ignasi; Arrizabalaga, Antoni] MCNG, Barcelona 08402, Spain</t>
  </si>
  <si>
    <t>Consejo Superior de Investigaciones Cientificas (CSIC); CSIC - Museo Nacional de Ciencias Naturales (MNCN)</t>
  </si>
  <si>
    <t>Torres, I (corresponding author), MCNG, Barcelona 08402, Spain.</t>
  </si>
  <si>
    <t>ignasitorre@gmail.com</t>
  </si>
  <si>
    <t>Díaz, Mario/C-3052-2017</t>
  </si>
  <si>
    <t>Díaz, Mario/0000-0002-6384-6674</t>
  </si>
  <si>
    <t>Diputacio de Barcelona; Parc de Collserola; Fundacion Biodiversidad from the Ministerio de Agricultura, Alimentacion y Medio Ambiente de Espana [2015]; SECEM institution; Spanish Ministry of the Environment</t>
  </si>
  <si>
    <t>Diputacio de Barcelona; Parc de Collserola; Fundacion Biodiversidad from the Ministerio de Agricultura, Alimentacion y Medio Ambiente de Espana [2015]; SECEM institution; Spanish Ministry of the Environment(Spanish Government)</t>
  </si>
  <si>
    <t>We are indebted to all SEMICE coordinators and volunteers. Diputacio de Barcelona and Parc de Collserola (and their technical staffs), gave financial and logistic support during the study period [2008-2018], allowing the establishment of the small mammal monitoring scheme in their Natural Parks network. The project SEMICE was incorporated in the Biodiversity inventories by the Spanish Ministry of the Environment and received financial support from that Institution from years 2011-2013. The project SEMICE benefitted from a grant to the Spanish Society of Conservation and Study of Mammals (SECEM) by Fundacion Biodiversidad from the Ministerio de Agricultura, Alimentacion y Medio Ambiente de Espana [2015]. We are especially grateful to Luis J. Palomo for his support during the preparation of the project, and for advancing funds through the SECEM institution. The comments of two anonymous reviewers improved the final version of the article.</t>
  </si>
  <si>
    <t>1616-5047</t>
  </si>
  <si>
    <t>1618-1476</t>
  </si>
  <si>
    <t>MAMM BIOL</t>
  </si>
  <si>
    <t>Mamm. Biol.</t>
  </si>
  <si>
    <t>10.1016/j.mambio.2019.01.004</t>
  </si>
  <si>
    <t>HV5MI</t>
  </si>
  <si>
    <t>WOS:000466027600005</t>
  </si>
  <si>
    <t>Eritja, R; Delacour-Estrella, S; Ruiz-Arrondo, I; González, MA; Barceló, C; García-Pérez, AL; Lucientes, J; Miranda, MA; Bartumeus, F</t>
  </si>
  <si>
    <t>Eritja, Roger; Delacour-Estrella, Sarah; Ruiz-Arrondo, Ignacio; Gonzalez, Mikel A.; Barcelo, Carlos; Garcia-Perez, Ana L.; Lucientes, Javier; Miranda, Miguel A.; Bartumeus, Frederic</t>
  </si>
  <si>
    <t>At the tip of an iceberg: citizen science and active surveillance collaborating to broaden the known distribution of Aedes japonicus in Spain</t>
  </si>
  <si>
    <t>Asian bush mosquito; Culicidae; West Nile virus; Citizen science; Northern Spain; Cantabria; Basque Country</t>
  </si>
  <si>
    <t>DIPTERA-CULICIDAE; ESTABLISHMENT; MOSQUITOS; VIRUS; THEOBALD</t>
  </si>
  <si>
    <t>Background Active surveillance aimed at the early detection of invasive mosquito species is usually focused on seaports and airports as points of entry, and along road networks as dispersion paths. In a number of cases, however, the first detections of colonizing populations are made by citizens, either because the species has already moved beyond the implemented active surveillance sites or because there is no surveillance in place. This was the case of the first detection in 2018 of the Asian bush mosquito, Aedes japonicus, in Asturias (northern Spain) by the citizen science platform Mosquito Alert. Methods The collaboration between Mosquito Alert, the Ministry of Health, local authorities and academic researchers resulted in a multi-source surveillance combining active field sampling with broader temporal and spatial citizen-sourced data, resulting in a more flexible and efficient surveillance strategy. Results Between 2018 and 2020, the joint efforts of administrative bodies, academic teams and citizen-sourced data led to the discovery of this species in northern regions of Spain such as Cantabria and the Basque Country. This raised the estimated area of occurrence of Ae. japonicus from &lt; 900 km(2) in 2018 to &gt; 7000 km(2) in 2020. Conclusions This population cluster is geographically isolated from any other population in Europe, which raises questions about its origin, path of introduction and dispersal means, while also highlighting the need to enhance surveillance systems by closely combining crowd-sourced surveillance with public health and mosquito control agencies' efforts, from local to continental scales. This multi-actor approach for surveillance (either passive and active) shows high potential efficiency in the surveillance of other invasive mosquito species, and specifically the major vector Aedes aegypti which is already present in some parts of Europe.</t>
  </si>
  <si>
    <t>[Eritja, Roger; Bartumeus, Frederic] Ctr Recerca Ecol &amp; Aplicac Forestals CREAF, Barcelona, Spain; [Delacour-Estrella, Sarah; Lucientes, Javier] Agrifood Inst Aragon IA2, Fac Vet Med, Zaragoza, Spain; [Ruiz-Arrondo, Ignacio] Hosp Univ San Pedro CIBIR, Ctr Rickettsioses &amp; Arthropod Borne, Logrono, Spain; [Gonzalez, Mikel A.; Garcia-Perez, Ana L.] NEIKER Basque Inst Agr Res &amp; Dev, Basque Res &amp; Technol Alliance BRTA, Derio, Spain; [Barcelo, Carlos; Miranda, Miguel A.] Univ Illes Balears UIB, Appl Zool &amp; Anim Conservat Res Grp, Palma De Mallorca, Spain; [Miranda, Miguel A.] Agroenvironm &amp; Water Econ Inst INAGEA, Palma De Mallorca, Spain; [Bartumeus, Frederic] Ctr Estudis Avancats Blanes CEAB CSIC, Blanes, Spain; [Bartumeus, Frederic] Inst Catalana Recerca &amp; Estudis Avancats ICREA, Barcelona, Spain</t>
  </si>
  <si>
    <t>Centro de Investigacion Ecologica y Aplicaciones Forestales (CREAF-CERCA); Universitat de les Illes Balears; Consejo Superior de Investigaciones Cientificas (CSIC); CSIC - Centre d'Estudis Avancats de Blanes (CEAB); ICREA</t>
  </si>
  <si>
    <t>Eritja, R (corresponding author), Ctr Recerca Ecol &amp; Aplicac Forestals CREAF, Barcelona, Spain.</t>
  </si>
  <si>
    <t>r.eritja@creaf.uab.cat</t>
  </si>
  <si>
    <t>; Barceló, Carlos/M-2390-2018; Ruiz Arrondo, Ignacio/R-8385-2018; Bartumeus, Frederic/D-1911-2010; González, Mikel/AFV-3409-2022; Eritja, Roger/JED-8921-2023</t>
  </si>
  <si>
    <t>Garcia-Perez, Ana L/0000-0001-7404-1380; González González de Heredia, Mikel Alexander/0000-0002-5754-862X; Delacour Estrella, Sarah Angele/0000-0001-7046-2997; Barceló, Carlos/0000-0002-8345-3229; Lucientes Curdi, Javier/0000-0003-0663-8411; Ruiz Arrondo, Ignacio/0000-0001-8198-8118; Eritja, Roger/0000-0001-5749-8370</t>
  </si>
  <si>
    <t>la Caixa Foundation [100010434, HR18-00336]; European Union's Horizon 2020 research and innovation program [874735]; Department of Public Health of the Basque Government; Department of Economic Development and Infrastructures of the Basque Government; Urban Klima 2050 [EU-LIFE 18 IPC/ES/000001]</t>
  </si>
  <si>
    <t>la Caixa Foundation(La Caixa Foundation); European Union's Horizon 2020 research and innovation program; Department of Public Health of the Basque Government; Department of Economic Development and Infrastructures of the Basque Government; Urban Klima 2050</t>
  </si>
  <si>
    <t>RE and FB from Mosquito Alert received funding from la Caixa Foundation (ID 100010434), under agreement HR18-00336 (Community-Driven Big Data Intelligence to Fight Mosquito-Borne Disease). This project has also been funded by the European Union's Horizon 2020 research and innovation program, under the grant agreement 874735 (VEO). Samplings in the Basque Country were funded by the Department of Public Health and the Department of Economic Development and Infrastructures of the Basque Government, and co-funded by the project EU-LIFE 18 IPC/ES/000001 (Urban Klima 2050).</t>
  </si>
  <si>
    <t>JUL 26</t>
  </si>
  <si>
    <t>10.1186/s13071-021-04874-4</t>
  </si>
  <si>
    <t>TU2IF</t>
  </si>
  <si>
    <t>WOS:000680863100001</t>
  </si>
  <si>
    <t>Lopez, CW; Navarro, A; Mitchell, M; Campos, CD; Parchman, LM; Walker, JJ; Hartwick, T; Boggan, KA</t>
  </si>
  <si>
    <t>Lopez, Christina Wright; Navarro, Aspen; Mitchell, Madison; Campos, Claudia D.; Parchman, Laura M.; Walker, Jenna J.; Hartwick, Tyler; Boggan, Kaylee Ann</t>
  </si>
  <si>
    <t>The Ripple Effects of Community Science: Experiences of Texas Stream Team Water Quality Monitors</t>
  </si>
  <si>
    <t>community science; water quality; volunteerism; qualitative research; water resources; environmental stewardship</t>
  </si>
  <si>
    <t>CITIZEN SCIENCE; MOTIVATIONS; VOLUNTEERS; CONSERVATION</t>
  </si>
  <si>
    <t>Motivations for participation in community science programs are relatively well understood. However, the outcomes of participating in these programs are unclear. As community science is a global phenomenon, scholars and practitioners alike should strive to determine what, if any, long-term effects these programs provide to the individual, society, and the environment. In this qualitative study, we explore the experiences of community scientists involved in the Texas Stream Team program, a long-running community science program focused on surface water quality monitoring in Texas, USA. Using a survey instrument and semi-structured interviews, we asked how individuals became involved, their experiences in discovering pollution events and advocating with data, as well as the impact of program participation on their careers and personal lives. Survey findings (n = 327) reveal reasons for involvement, experiences related to pollution event identification, data utilization, career impacts, and emotional responses. Through interview narratives (n = 21), themes of working through vulnerability, forming place identity, and fostering agency and social capital emerged among community scientists. These narratives revealed personal challenges, budding place attachments, and connection sustained and expanded through ongoing participation. The study emphasizes the multifaceted experiences of community scientists, including outcomes for individual growth, implications for environmental stewardship through transformational learning, and considerations for program infrastructure. It contributes to the literature on community science, volunteer water quality monitoring, and environmental stewardship.</t>
  </si>
  <si>
    <t>[Lopez, Christina Wright; Navarro, Aspen; Mitchell, Madison; Campos, Claudia D.; Parchman, Laura M.; Walker, Jenna J.; Hartwick, Tyler; Boggan, Kaylee Ann] Texas State Univ, Meadows Ctr Water &amp; Environm, San Marcos, TX 78666 USA</t>
  </si>
  <si>
    <t>Texas State University System; Texas State University San Marcos</t>
  </si>
  <si>
    <t>Lopez, CW (corresponding author), Texas State Univ, Meadows Ctr Water &amp; Environm, San Marcos, TX 78666 USA.</t>
  </si>
  <si>
    <t>christina.lopez@txstate.edu</t>
  </si>
  <si>
    <t>Boggan, Kaylee Boggan/0009-0005-8603-5611; Walker, Jenna/0000-0002-7552-8833; Parchman, Laura/0009-0000-3694-8862; Lopez, Christina/0000-0002-8665-5598; Navarro, Aspen/0009-0005-5135-8074; Mitchell, Madison/0009-0003-3940-8724; , Claudia D Campos/0009-0005-7311-4724</t>
  </si>
  <si>
    <t>U.S. Environmental Protection Agency through the Texas Commission on Environmental Quality</t>
  </si>
  <si>
    <t>Funding for this research was provided in part by a Clean Water Act 319 (h) grant from the U.S. Environmental Protection Agency through the Texas Commission on Environmental Quality. The contents of this document do not necessarily reflect the views and policies of the U.S. Environmental Protection Agency.</t>
  </si>
  <si>
    <t>10.5334/cstp.766</t>
  </si>
  <si>
    <t>6OH9A</t>
  </si>
  <si>
    <t>WOS:001558117500011</t>
  </si>
  <si>
    <t>Szentivanyi, T; González, LV; Klein, A; Soltész, Z; Garamszegi, LZ</t>
  </si>
  <si>
    <t>Szentivanyi, Tamara; Gonzalez, Laura V.; Klein, Agnes; Soltesz, Zoltan; Garamszegi, Laszlo Z.</t>
  </si>
  <si>
    <t>Complementing community science with xenomonitoring: Understanding the eco-epidemiology of Dirofilaria immitis infection in dogs and mosquitoes</t>
  </si>
  <si>
    <t>Citizen science; Dirofilariosis; Domestic dogs; Infection; Mosquito</t>
  </si>
  <si>
    <t>CANINE DIROFILARIASIS; VECTOR; ONCHOCERCIDAE; PREVALENCE; PARASITE; HUNGARY; REPENS</t>
  </si>
  <si>
    <t>BackgroundDirofilariosis is an emerging mosquito-borne disease that particularly affects domestic dogs worldwide but also causes symptoms in humans. Monitoring the distribution of emerging pathogens is essential for understanding the environmental and ecological factors influencing their transmission, which can be used to develop better prevention strategies.MethodsWe applied both community science and molecular xenomonitoring to assess the occurrence of Dirofilaria immitis in domestic dogs and mosquitoes.ResultsAs part of the community science approach, we collected infection data from 1491 dogs from owners across Hungary, using a questionnaire survey. We found that 321 dogs (21.5%) tested positive for current or past dirofilariosis infection, with the highest prevalence observed in the southeastern (47.8%) and the eastern regions (43.4%) of the country. Age and living conditions affected infection status, with older dogs (aged 5-10 years and over 10 years) and those kept exclusively outdoors showing significantly higher infection rates. Molecular xenomonitoring revealed D. immitis infection in Aedes albopictus, Aedes koreicus, and Aedes vexans, with the highest minimum infection rate (MIR) in Ae. koreicus (28.5). Similar to community science results, the highest infection rates were observed in the southeastern and eastern regions (MIR: 14.9 and 11.6, respectively), but the two approaches generally provided overall similar geographical patterns.ConclusionsWhile xenomonitoring did not detect infections in Central Transdanubia, community science successfully provided host infection data, demonstrating its usefulness in assessing the presence and distribution of the disease. Finally, we emphasize the value of using an integrative approach, combining community science and xenomonitoring for monitoring dirofilariosis, especially in areas where direct pathogen screening is unavailable.</t>
  </si>
  <si>
    <t>[Szentivanyi, Tamara; Klein, Agnes; Soltesz, Zoltan; Garamszegi, Laszlo Z.] HUN REN Ctr Ecol Res, Alkotmany Rd 4, H-2163 Vacratot, Hungary; [Gonzalez, Laura V.] Univ Paris Cite, 5 Rue Thomas Mann, F-75013 Paris, France; [Soltesz, Zoltan; Garamszegi, Laszlo Z.] HUN REN Ctr Ecol Res, Natl Lab Hlth Secur, Karolina Rd 29, H-1113 Budapest, Hungary</t>
  </si>
  <si>
    <t>HUN-REN; HUN-REN Centre for Ecological Research; Universite Paris Cite; HUN-REN; HUN-REN Centre for Ecological Research</t>
  </si>
  <si>
    <t>Szentivanyi, T (corresponding author), HUN REN Ctr Ecol Res, Alkotmany Rd 4, H-2163 Vacratot, Hungary.</t>
  </si>
  <si>
    <t>szentivanyi.tamara@ecolres.hu; lauragv0608@gmail.com; klein.agnes@ecolres.hu; soltesz.zoltan@ecolres.hu; garamszegi.laszlo@ecolres.hu</t>
  </si>
  <si>
    <t>Soltész, Zoltán/O-9736-2019; Szentivanyi, Tamara/ABC-2314-2020; Garamszegi, Laszlo/M-1488-2015</t>
  </si>
  <si>
    <t>Hungary's National Research, Development and Innovation Office</t>
  </si>
  <si>
    <t>We are grateful for the volunteers who provided data of their dogs, greatly improving our understanding about the current status of disease occurrence across the country.</t>
  </si>
  <si>
    <t>JUN 20</t>
  </si>
  <si>
    <t>10.1186/s13071-025-06882-0</t>
  </si>
  <si>
    <t>3ZP5E</t>
  </si>
  <si>
    <t>WOS:001512786300006</t>
  </si>
  <si>
    <t>Van Horne, YO; Hernández, D; Wengerter, K; Lopes, E; Betances, K; DeJesus, B; Johnson, M; Vasquez, L; Hilpert, M</t>
  </si>
  <si>
    <t>Ornelas Van Horne, Yoshira; Hernandez, Diana; Wengerter, Katarina; Lopes, Elliot; Betances, Kennedy; DeJesus, Briant; Johnson, Mychal; Vasquez, Leslie; Hilpert, Markus</t>
  </si>
  <si>
    <t>Strengthening Community Science: Engaging Youth to Build an Open-Source Educational Air Monitoring Tool</t>
  </si>
  <si>
    <t>air monitoring; youth engagement; air pollution; environmental justice; capacity building</t>
  </si>
  <si>
    <t>The South Bronx in New York City is an economically disempowered community that is overburdened by environmental injustice, including traffic-related air pollution. Through a partnership between South Bronx Unite, a local nonprofit organization1, the Laboratory School of Finance and Technology (X223), and Columbia University, a STEM initiative was launched. Together the team developed a curriculum in which high school students used the Arduino open electronics platform to build air monitors. The students then engaged in grass-roots efforts to launch the installation of the monitors to create a locally managed air monitoring network in the South Bronx. Here we describe the development of a curriculum as an educational air monitoring tool and explore the increased capacity of youth to address environmental health concerns.</t>
  </si>
  <si>
    <t>[Ornelas Van Horne, Yoshira] Univ Calif Los Angeles, Fielding Sch Publ Hlth, Dept Environm Hlth Sci, 722 West 168th, New York, NY 10027 USA; [Hernandez, Diana] Columbia Univ, Mailman Sch Publ Hlth, Dept Sociomed Sci, New York, NY USA; [Wengerter, Katarina; Lopes, Elliot; Betances, Kennedy; DeJesus, Briant] Lab Sch Finance &amp; Technol, Bronx, NY USA; [Johnson, Mychal; Vasquez, Leslie] South Bronx Unite, Bronx, NY USA; [Hilpert, Markus] Columbia Univ, Mailman Sch Publ Hlth, Dept Environm Hlth Sci, New York, NY USA</t>
  </si>
  <si>
    <t>University of California System; University of California Los Angeles; Columbia University; Columbia University</t>
  </si>
  <si>
    <t>Van Horne, YO (corresponding author), Univ Calif Los Angeles, Fielding Sch Publ Hlth, Dept Environm Hlth Sci, 722 West 168th, New York, NY 10027 USA.</t>
  </si>
  <si>
    <t>yoshira@ucla.edu</t>
  </si>
  <si>
    <t>Van Horne, Yoshira/0000-0001-7203-5825</t>
  </si>
  <si>
    <t>NIEHS [P30ES009089]; Lerner Center for Public Health Promotion; NIH [5P2CES033433]</t>
  </si>
  <si>
    <t>NIEHS(United States Department of Health &amp; Human ServicesNational Institutes of Health (NIH) - USANIH National Institute of Environmental Health Sciences (NIEHS)); Lerner Center for Public Health Promotion; NIH(United States Department of Health &amp; Human ServicesNational Institutes of Health (NIH) - USA)</t>
  </si>
  <si>
    <t>Research reported in this publication was supported by NIEHS grant P30ES009089, the Lerner Center for Public Health Promotion, and by the NIH grant 5P2CES033433</t>
  </si>
  <si>
    <t>2025 JUN 19</t>
  </si>
  <si>
    <t>10.1089/env.2024.0086</t>
  </si>
  <si>
    <t>3XD7S</t>
  </si>
  <si>
    <t>WOS:001511122600001</t>
  </si>
  <si>
    <t>Maréchal, L; Lobo, R; Mcadam, F; Simpson, E; Woolston, J; Stanley, M; Romero, T; Dunn, JC</t>
  </si>
  <si>
    <t>Marechal, Laetitia; Lobo, Raul; Mcadam, Fintan; Simpson, Elizabeth; Woolston, Josephine; Stanley, Mae; Romero, Teresa; Dunn, Jenny C.</t>
  </si>
  <si>
    <t>Community science as a potential tool to monitor animal demography and human-animal interactions</t>
  </si>
  <si>
    <t>Citizen science; Behaviour; Supplementary feeding; Wildlife; Mute swan; Cygnus olor</t>
  </si>
  <si>
    <t>LONG-TERM CHANGES; CITIZEN SCIENCE; CONSERVATION; BIRDS; FOOD; UK; POPULATION; MANAGEMENT; LEAD</t>
  </si>
  <si>
    <t>Community science can provide crucial insights into population dynamics and demography. To date, its effectiveness for understanding human-wildlife interactions has not been tested. This is vital for designing effective wildlife management plans. We used a case study of an individually marked population of mute swans Cygnus olor, to test the reliability of community scientist data for quantifying self-reported interactions. We compared 5,251 community scientist sightings of individually marked birds with 317 observations recorded through systematic recording methods, to test the reliability of sightings, and of self-reported human-swan interactions. 98.86% of ring readings were correctly reported; sighting reliability increased with experience and was higher when the observer fed the birds. Community scientist observations were reliable for quantifying family group size, but not clutch size. Self-reported data for assessing feeding interactions with wildlife were not comparable with systematic recording methods. 22% of standardised observations recorded supplementary feeding of swans by people. This is the first systematic quantification of the frequency of interaction of wild waterfowl with humans through supplementary feeding in the Northern hemisphere; we highlight potential impacts of this common human-wildlife interaction for both birds and people. We provide new insights into using community science methods as potential alternatives to more time-consuming systematic methods. Community science methods may be useful across a range of systems where humans and wildlife interact, but we highlight the need for validation of the reliability of community scientist data, particularly self-reported behaviours, before being used to inform management and conservation practices.</t>
  </si>
  <si>
    <t>[Marechal, Laetitia; Woolston, Josephine; Stanley, Mae] Univ Lincoln, Sch Psychol, Lincoln, England; [Lobo, Raul; Mcadam, Fintan; Simpson, Elizabeth; Romero, Teresa; Dunn, Jenny C.] Univ Lincoln, Sch Life &amp; Environm Sci, Lincoln LN6 7DL, England; [Romero, Teresa] Univ Portsmouth, Dept Psychol, Portsmouth PO1 2DY, England; [Dunn, Jenny C.] Keele Univ, Sch Life Sci, Newcastle ST5 5BG, Staffs, England</t>
  </si>
  <si>
    <t>University of Lincoln; University of Lincoln; University of Portsmouth; Keele University</t>
  </si>
  <si>
    <t>Dunn, JC (corresponding author), Univ Lincoln, Sch Life &amp; Environm Sci, Lincoln LN6 7DL, England.;Dunn, JC (corresponding author), Keele Univ, Sch Life Sci, Newcastle ST5 5BG, Staffs, England.</t>
  </si>
  <si>
    <t>J.C.Dunn@keele.ac.uk</t>
  </si>
  <si>
    <t>Marechal, Laetitia/U-8364-2019; Dunn, Jenny/H-2867-2019; Romero, Teresa/KII-0876-2024</t>
  </si>
  <si>
    <t>Romero, Teresa/0000-0002-1245-9906</t>
  </si>
  <si>
    <t>University of Lincoln Undergraduate Research Opportunities Scheme; Lincoln Swan Project</t>
  </si>
  <si>
    <t>Thanks to all the data collectors involved in the Lincoln Swan Project for their time and dedication to the project. The University of Lincoln Undergraduate Research Opportunities Scheme provided funding for JW and MS to conduct some of the standardised fieldwork. The University of Lincoln funds the ongoing maintenance of the colour-ringed swan population, and we thank Dan Sidley, Kane Brides, Stephen Vickers, Anna Draper and all other volunteers for their invaluable assistance with the Lincoln Swan Project. The authors declare they have no competing interests.</t>
  </si>
  <si>
    <t>10.1038/s41598-024-80171-1</t>
  </si>
  <si>
    <t>X8W1V</t>
  </si>
  <si>
    <t>WOS:001428071900005</t>
  </si>
  <si>
    <t>Serrano-Salomón, V; Westbrook, M; Pérez, N; Pecenka, J; Khalili, A; Sankhyan, S; Miller, S; Mishra, S; Sullivan, E</t>
  </si>
  <si>
    <t>Serrano-Salomon, Valentina; Westbrook, Marisa; Perez, Noemy; Pecenka, Jay; Khalili, Aniya; Sankhyan, Sumit; Miller, Shelly; Mishra, Shivakant; Sullivan, Esther</t>
  </si>
  <si>
    <t>Supporting knowledge justice through community science air quality monitoring and a reciprocal reporting process</t>
  </si>
  <si>
    <t>Community science; Air monitoring; Knowledge justice; Logics of inquiry; Environmental justice; Air quality</t>
  </si>
  <si>
    <t>COPRODUCTION</t>
  </si>
  <si>
    <t>In community science on air quality, low-cost air monitors have emerged as an opportunity to democratize data reporting and support knowledge justice by providing participants with instantaneous access to air quality data. In this study, we equipped residents in four environmental justice communities in North Denver with low-cost air monitors to collect real-time air quality data for four separate 30-day field deployments over two years. We conceptualize an improvement to conventional report-back processes by suggesting a 3-part approach - a reciprocal reporting process that includes 1) bidirectional open channels of communication with participants, 2) democratized data access via instant monitor data and written data summaries, and 3) responsive intervention opportunities to respond in real-time to participants air quality concerns. Through 120 interviews with 30 air quality monitor users after each of the four field deployments, we identify how this reciprocal reporting process increased Air Quality (AQ) awareness and supported distinct modes of environmental learning, which we term data-driven, health-conscious, and progressive logics of inquiry. In addition, this non-prescriptive approach centered participants' alternative ways of knowing, such as sensory experiences to understand pollution exposure, and fostered collective learning that ultimately furthered knowledge justice. Our study highlights the potential for a more robust and holistic approach to report-back processes within community science projects to foster flexibility, reciprocity, and responsiveness.</t>
  </si>
  <si>
    <t>[Serrano-Salomon, Valentina] Univ Colorado Boulder, Dept Sociol, UCB 327 Ketchum 195, Boulder, CO 80309 USA; [Westbrook, Marisa] Portland State Univ, OHSU PSU Sch Publ Hlth, 1810 SW 5th Ave, Portland, OR 97201 USA; [Perez, Noemy] Univ Northern Colorado, Dept Sociol, Candelaria 2285, Greeley, CO 80639 USA; [Pecenka, Jay; Sullivan, Esther] Univ Colorado Denver, Dept Sociol, 1380 Lawrence St,Suite 420, Denver, CO 80217 USA; [Mishra, Shivakant] Univ Colorado Boulder, Dept Comp Sci, 430 UCB,1111 Engn Dr, Boulder, CO 80309 USA; [Khalili, Aniya; Sankhyan, Sumit; Miller, Shelly] Univ Colorado Boulder, Dept Mech Engn, 427 UCB,111 Engn Dr, Boulder, CO 80309 USA</t>
  </si>
  <si>
    <t>University of Colorado System; University of Colorado Boulder; Portland State University; University of Northern Colorado; University of Colorado System; University of Colorado Denver; Children's Hospital Colorado; University of Colorado Anschutz Medical Campus; University of Colorado System; University of Colorado Boulder; University of Colorado System; University of Colorado Boulder</t>
  </si>
  <si>
    <t>Serrano-Salomón, V (corresponding author), Univ Colorado Boulder, Dept Sociol, UCB 327 Ketchum 195, Boulder, CO 80309 USA.</t>
  </si>
  <si>
    <t>Valentina.serranosalomon@colorado.edu; marisaw@pdx.edu; nrod012@gmail.com; pecenka@ucdenver.edu; maryam.khalili@colorado.edu; sumit.sankhyan@colorado.edu; shelly.miller@colorado.edu; shivakaht.mishra@colorado.edu; esther.sullivan@colorado.edu</t>
  </si>
  <si>
    <t>; Perez, Noemi/D-3389-2014; Sankhyan, Sam/KJX-4392-2024</t>
  </si>
  <si>
    <t>MILLER, SHELLY L/0000-0002-1967-7551; Sankhyan, Sam/0000-0001-5984-5348</t>
  </si>
  <si>
    <t>National Science Foundation [1952223]; University of Colorado Office of Research Services</t>
  </si>
  <si>
    <t>National Science Foundation(National Science Foundation (NSF)); University of Colorado Office of Research Services</t>
  </si>
  <si>
    <t>This work was supported by the National Science Foundation [award#1952223]and the University of Colorado Office of Research Services.</t>
  </si>
  <si>
    <t>10.1016/j.jenvman.2024.123414</t>
  </si>
  <si>
    <t>N3U6H</t>
  </si>
  <si>
    <t>WOS:001363632000001</t>
  </si>
  <si>
    <t>Gignac, F; Righi, V; Toran, R; Errandonea, LP; Ortiz, R; Nieuwenhuijsen, M; Creus, J; Basagaña, X; Balestrini, M</t>
  </si>
  <si>
    <t>Gignac, Florence; Righi, Valeria; Toran, Raul; Errandonea, Lucia Paz; Ortiz, Rodney; Nieuwenhuijsen, Mark; Creus, Javier; Basagana, Xavier; Balestrini, Mara</t>
  </si>
  <si>
    <t>Co-creating a local environmental epidemiology study: the case of citizen science for investigating air pollution and related health risks in Barcelona, Spain</t>
  </si>
  <si>
    <t>ENVIRONMENTAL HEALTH</t>
  </si>
  <si>
    <t>Air pollution; Environmental health; Epidemiology; Civic concerns; Citizen science; Participatory research; Online survey; Study design; Co-creation workshop</t>
  </si>
  <si>
    <t>PARTICIPATORY RESEARCH; PARTICULATE MATTER</t>
  </si>
  <si>
    <t>Background While the health risks of air pollution attract considerable attention, both scholarly and within the general population, citizens are rarely involved in environmental health research, beyond participating as data subjects. Co-created citizen science is an approach that fosters collaboration between scientists and lay people to engage the latter in all phases of research. Currently, this approach is rare in environmental epidemiology and when co-creation processes do take place, they are often not documented. This paper describes the first stages of an ongoing co-created citizen science epidemiological project in Barcelona (Spain), that included identifying topics that citizens wish to investigate as regards air pollution and health, formulating their concerns into research questions and co-designing the study protocol. This paper also reflects key trade-offs between scientific rigor and public engagement and provides suggestions to consider when applying citizen science to environmental health studies. Methods Experts created an online survey and analyzed responses with descriptive statistics and qualitative coding. A pop-up intervention was held to discuss with citizens their concerns about air pollution and health. Later on, a community meeting was organized to narrow down the research topics and list potential research questions. In an online survey, citizens were asked to vote for the research question they would like to investigate with the experts. A workshop was held to choose a study design in which citizens would like to partake to answer their preferred research question. Results According to 488 respondents from the first survey, cognitive and mental health were the main priorities of investigation. Based on the second survey, with 27% of the votes from 556 citizens, the most popular research question was, How does air pollution together with noise and green/blue spaces affect mental health?. The study design selected was an observational study in which citizens provide daily repeated measures of different cognitive and mental health outcomes and relate them to the air pollution concentrations. Conclusions Based on the co-creation activities and the results obtained, we conclude that applying citizen science in an environmental health project is valuable for researchers despite some challenges such as engaging citizens and maximizing representativity.</t>
  </si>
  <si>
    <t>[Gignac, Florence; Toran, Raul; Ortiz, Rodney; Nieuwenhuijsen, Mark; Basagana, Xavier] Barcelona Inst Global Hlth ISGlobal, Barcelona, Spain; [Gignac, Florence; Toran, Raul; Ortiz, Rodney; Nieuwenhuijsen, Mark; Basagana, Xavier] Univ Pompeu Fabra UPF, Barcelona, Spain; [Gignac, Florence; Toran, Raul; Ortiz, Rodney; Nieuwenhuijsen, Mark; Basagana, Xavier] CIBER Epidemiol &amp; Salud Publ CIBERESP, Barcelona, Spain; [Righi, Valeria; Errandonea, Lucia Paz; Creus, Javier; Balestrini, Mara] Ideas Change IFC, Barcelona, Spain</t>
  </si>
  <si>
    <t>ISGlobal; Pompeu Fabra University; CIBER - Centro de Investigacion Biomedica en Red; CIBERESP</t>
  </si>
  <si>
    <t>Basagaña, X (corresponding author), Barcelona Inst Global Hlth ISGlobal, Barcelona, Spain.;Basagaña, X (corresponding author), Univ Pompeu Fabra UPF, Barcelona, Spain.;Basagaña, X (corresponding author), CIBER Epidemiol &amp; Salud Publ CIBERESP, Barcelona, Spain.</t>
  </si>
  <si>
    <t>xavier.basagana@isglobal.org</t>
  </si>
  <si>
    <t>Righi, Valeria/LRS-7205-2024; Nieuwenhuijsen, Mark/C-3914-2017; Basagaña, Xavier/C-3901-2017; Balestrini, Mara/IQV-2556-2023</t>
  </si>
  <si>
    <t>Righi, Valeria/0000-0001-8062-4056; Gignac, Florence/0000-0002-1613-3364; Basagaña, Xavier/0000-0002-8457-1489; Balestrini, Mara/0000-0003-1064-3512</t>
  </si>
  <si>
    <t>Spanish Ministry of Science, Innovation and Universities through the Centro de Excelencia Severo Ochoa 2019-2023 Program [CEX2018-000806-S]; Generalitat de Catalunya through the CERCA Program</t>
  </si>
  <si>
    <t>Spanish Ministry of Science, Innovation and Universities through the Centro de Excelencia Severo Ochoa 2019-2023 Program(Spanish Government); Generalitat de Catalunya through the CERCA Program</t>
  </si>
  <si>
    <t>We acknowledge support from the Spanish Ministry of Science, Innovation and Universities through the Centro de Excelencia Severo Ochoa 2019-2023 Program (CEX2018-000806-S), and support from the Generalitat de Catalunya through the CERCA Program. We would like to thank all the citizens that participated to the activities and respondents of the surveys for their time and collaboration, moltes gracies, muchas gracias. Special thanks should be given to the Associacio Catalana de Comunicacio Cientifica who helped to disseminate the two online surveys.</t>
  </si>
  <si>
    <t>1476-069X</t>
  </si>
  <si>
    <t>ENVIRON HEALTH-GLOB</t>
  </si>
  <si>
    <t>Environ. Health</t>
  </si>
  <si>
    <t>10.1186/s12940-021-00826-8</t>
  </si>
  <si>
    <t>YF7QB</t>
  </si>
  <si>
    <t>WOS:000741995600001</t>
  </si>
  <si>
    <t>Scardino, G; Martella, R; Mastronuzzi, G; Rizzo, A; Borracesi, Q; Musolino, F; Romanelli, N; Zarcone, S; Cipriano, G; Retucci, A</t>
  </si>
  <si>
    <t>Scardino, Giovanni; Martella, Rocco; Mastronuzzi, Giuseppe; Rizzo, Angela; Borracesi, Quirino; Musolino, Flavio; Romanelli, Nicola; Zarcone, Salvatore; Cipriano, Giulia; Retucci, Andrea</t>
  </si>
  <si>
    <t>The nauticAttiva project: A mobile phone-based tool for the citizen science plastic monitoring in the marine and coastal environment</t>
  </si>
  <si>
    <t>Marine litter; Mobile-phone app; Floating debris; Beached plastics; Hydrodynamic regime</t>
  </si>
  <si>
    <t>MEDITERRANEAN SEA; MACRO-LITTER; CIRCULATION; NORTHERN; POLLUTION; DEBRIS; FLOOR</t>
  </si>
  <si>
    <t>Plastic pollution is involving large coastal areas of the Mediterranean Sea. Innovative methods of plastic monitoring can be addressed through the citizen science approaches integrated with mobile phones. On the other hand, the availability of mobile phones is increasing among several users. Mobile phones can be integrated with a web mobile app, which allows to collect a lot of data for extended areas and in a short temporal range. In this study, the web service of iNaturalist was applied to implement a mobile phone-based tool to collect pictures of plastic items. At present, the web mobile app has been used to collect pictures of plastic debris in the Medi-terranean Sea. Results were compared with the Mediterranean hydrodynamic regime, to highlight the pathways and densities of the plastic items. The proposed mobile phone-based tool represented a citizen science approach useful for the acquisition of plastic observations in the marine and coastal environment.</t>
  </si>
  <si>
    <t>[Scardino, Giovanni; Mastronuzzi, Giuseppe; Rizzo, Angela] Univ Bari Aldo Moro, Dept Earth &amp; Geoenvironm Sci, I-70125 Bari, Italy; [Scardino, Giovanni; Mastronuzzi, Giuseppe; Rizzo, Angela] Univ Bari Aldo Moro, Interdept Res Ctr Coastal Dynam, I-70125 Bari, Italy; [Martella, Rocco] Ist Statale A Righi Taranto, Taranto, Italy; [Borracesi, Quirino; Musolino, Flavio; Romanelli, Nicola; Zarcone, Salvatore; Retucci, Andrea] Italian Naval League, Rome, Italy; [Cipriano, Giulia] Univ Bari Aldo Moro, Dept Biosci Biotechnol &amp; Environm, I-70125 Bari, Italy</t>
  </si>
  <si>
    <t>Universita degli Studi di Bari Aldo Moro; Universita degli Studi di Bari Aldo Moro; Universita degli Studi di Bari Aldo Moro</t>
  </si>
  <si>
    <t>Rizzo, A (corresponding author), Univ Bari Aldo Moro, Dept Earth &amp; Geoenvironm Sci, I-70125 Bari, Italy.</t>
  </si>
  <si>
    <t>angela.rizzo@uniba.it</t>
  </si>
  <si>
    <t>Cipriano, Giulia/AAD-4622-2019; RIZZO, ANGELA/E-4786-2012; Mastronuzzi, Giuseppe/AAQ-5476-2020; Scardino, Giovanni/AAQ-8557-2021</t>
  </si>
  <si>
    <t>Scardino, Giovanni/0000-0002-2316-7888</t>
  </si>
  <si>
    <t>CINCNAV of the Italian Navy and University of Bari</t>
  </si>
  <si>
    <t>This study was performed on the agreement between the Italian Naval League and the Department of Earth and Geo-environmental Sciences of the University of Bari (scientific coordinators Giovanni Scardino and Angela Rizzo) .We are thankful to Admiral Donato Marzano (Past CINCNAV and present President of the Italian Naval League) , to Prof. Angelo Tursi scientific members of the Italian Naval League, to the Prof. Roberto Carlucci of the Department of Biosciences, Biotechnologies and Environment of the University of Bari. A particular thanks to the commanders and to the crews of ITS Galatea and ITS Aretusa on which scientific cruises have been performed in 2019 in the framework of the MICA - MIcroplastiche nella Colonna d'Acqua Project, supported by CINCNAV of the Italian Navy and University of Bari (Scientific responsible: Prof. G. Mastronuzzi) .The proposed data derive from the activity of the Italian Naval League sections of Trani, Mola di Bari, Taranto, and Brindisi. A special thanks to Drs. Lucia Pellegrino for the collaboration between the Italian Naval League and the University of Bari.</t>
  </si>
  <si>
    <t>10.1016/j.marpolbul.2022.114282</t>
  </si>
  <si>
    <t>6C7QC</t>
  </si>
  <si>
    <t>WOS:000882202800002</t>
  </si>
  <si>
    <t>Pearson, JMN; Kidd, JA; Knysh, KM; van den Heuvel, MR; Gagnon, JM; Courtenay, SC</t>
  </si>
  <si>
    <t>Pearson, Jessie M. N.; Kidd, Jess A.; Knysh, Kyle M.; van den Heuvel, Michael R.; Gagnon, Jean-Marc; Courtenay, Simon C.</t>
  </si>
  <si>
    <t>Identification of native and non-native grass shrimps Palaemon spp. (Decapoda: Palaemonidae) by citizen science monitoring programs in Atlantic Canada</t>
  </si>
  <si>
    <t>JOURNAL OF CRUSTACEAN BIOLOGY</t>
  </si>
  <si>
    <t>invasive species; community-based monitoring; coastal ecology; Palaemon adspersus</t>
  </si>
  <si>
    <t>BIOLOGICAL INVASIONS; ILLUSTRATED KEY; SOUTHERN GULF; ST-LAWRENCE; CRUSTACEA; CARIDEA</t>
  </si>
  <si>
    <t>Grass shrimp collected by the Community Aquatic Monitoring Program (CAMP) in estuaries of the southern Gulf of St. Lawrence, Canada were previously assumed to be the native Palaemon vulgarisSay, 1818. Taxonomic identification of grass shrimps from CAMP estuaries revealed most individuals were P. vulgaris, but several from the Souris River and Trout River estuaries in Prince Edward Island (PEI) belong to the European species P. adspersusRathke, 1837. We provide the first documented presence of P. adspersus in PEI estuaries, extending its known range in Atlantic Canada from coastal Newfoundland and the Magdalen Islands. Boat traffic was probably responsible for the introduction of P. adspersus. The results highlight the importance of community-based monitoring in coastal ecology.</t>
  </si>
  <si>
    <t>[Pearson, Jessie M. N.; Kidd, Jess A.] Univ Waterloo, Canadian Rivers Inst, Dept Biol, 200 Univ Ave W, Waterloo, ON N2L 3G, Canada; [Knysh, Kyle M.; van den Heuvel, Michael R.] Univ Prince Edward Isl, Canadian Rivers Inst, Dept Biol, 550 Univ Ave, Charlottetown, PE C1A 4P3, Canada; [Gagnon, Jean-Marc] Canadian Museum Nat, Beaty Ctr Species Discovery, POB 3443 Stn D, Ottawa, ON K1P 6P4, Canada; [Courtenay, Simon C.] Univ Waterloo, Sch Environm Resources &amp; Sustainabil, Canadian Rivers Inst, 200 Univ Ave W, Waterloo, ON N2L 3G1, Canada</t>
  </si>
  <si>
    <t>University of Waterloo; University of Prince Edward Island; University of Waterloo</t>
  </si>
  <si>
    <t>Kidd, JA (corresponding author), Univ Waterloo, Canadian Rivers Inst, Dept Biol, 200 Univ Ave W, Waterloo, ON N2L 3G, Canada.</t>
  </si>
  <si>
    <t>jess87kidd@gmail.com</t>
  </si>
  <si>
    <t>Knysh, Kyle/K-4694-2019; van+den+Heuvel, Michael/ABF-1188-2020</t>
  </si>
  <si>
    <t>Knysh, Kyle/0000-0003-2118-4593; Gagnon, Jean-Marc/0000-0003-2778-4215;</t>
  </si>
  <si>
    <t>Canadian Water Network Scientific Director's Research Fund; Dr. J. Regis Duffy Graduate Scholarship in Science; Ernest E. and Gertrude Annear Poole Memorial Scholarship in Watershed Integrity; National Science Engineering Research Council of Canada Strategic project grant</t>
  </si>
  <si>
    <t>We thank Monica Boudreau (Department of Fisheries and Oceans (DFO), Gulf Fisheries Centre) who coordinates CAMP and assisted in specimen collection along with Michelle Maillet (DFO), and Christina Pater and Carissa Grove (University of Prince Edward Island. Michelle Gray (University of New Brunswick) and Mark Servos (University of Waterloo) provided laboratory space. Andrew McGrath helped to improve the resolution of our figures. This work was supported by the Canadian Water Network Scientific Director's Research Fund (SCC), Dr. J. Regis Duffy Graduate Scholarship in Science (KMK), Ernest E. and Gertrude Annear Poole Memorial Scholarship in Watershed Integrity (KMK), and a National Science Engineering Research Council of Canada Strategic project grant (MRvdH).</t>
  </si>
  <si>
    <t>0278-0372</t>
  </si>
  <si>
    <t>1937-240X</t>
  </si>
  <si>
    <t>J CRUSTACEAN BIOL</t>
  </si>
  <si>
    <t>J. Crustac. Biol.</t>
  </si>
  <si>
    <t>10.1093/jcbiol/ruy116</t>
  </si>
  <si>
    <t>HU0EB</t>
  </si>
  <si>
    <t>WOS:000464943100012</t>
  </si>
  <si>
    <t>Wickramaratne, C; Dilrukshi, T; Gunawardena, M; Udagedara, S; Fernando, M; Jayakody, S</t>
  </si>
  <si>
    <t>Wickramaratne, Chaturangi; Dilrukshi, Thilini; Gunawardena, Medhisha; Udagedara, Susantha; Fernando, Malik; Jayakody, Sevvandi</t>
  </si>
  <si>
    <t>Citizen science and community engagement for environmental monitoring and emergency response: Lessons from the MV X-Press Pearl ship disaster</t>
  </si>
  <si>
    <t>Citizen science; Nurdles; MV X-Press Pearl; Coastal habitats; Communities</t>
  </si>
  <si>
    <t>INGESTION; DEBRIS; TOOL</t>
  </si>
  <si>
    <t>The sinking and combustion of the MV X-Press Pearl in May 2021 caused severe marine pollution, releasing toxic materials and billions of plastic nurdles. Nurdle pollution threatens sensitive coastal habitats and negatively impacts social welfare. This study aimed to 1) conduct a citizen science program to quantify nurdle distribution during the disaster, and 2) evaluate the societal impact, attitudes, knowledge, and perceptions in the disaster's aftermath. Results derived via the citizen science study indicated that Colombo, Gampaha and Puttalam districts to be hotspot areas with the highest nurdle densities of 50,789 +/- 1139 m(-2), 48,107 +/- 3408 m(-2) and 33,231 +/- 689 m(-2), respectively. Results from the public perception survey showed that the majority (80 %) of the respondents were affected by the incident. Over 70 % of the survey participants were either not satisfied or neutral towards the compensation provided for livelihood loss. Nearly 60 % took a neutral stance when questioned about the country's readiness to respond to marine disasters.</t>
  </si>
  <si>
    <t>[Wickramaratne, Chaturangi] Int Water Management Inst, 127 Sunil Mw, Pelawatte, Sri Lanka; [Dilrukshi, Thilini; Udagedara, Susantha] Blue Resources Trust, 86 Barnes Pl, Colombo 07, Sri Lanka; [Gunawardena, Medhisha; Fernando, Malik; Jayakody, Sevvandi] Wildlife &amp; Nat Protect Soc, 86 Rajamalwatte Rd, Battaramulla, Sri Lanka; [Gunawardena, Medhisha] Knowledge City Malabe, Horizon Campus,Off Millennium Rd, Malabe, Sri Lanka; [Jayakody, Sevvandi] Wayamba Univ Sri Lanka, B308 Negombo Kurunegala Rd, Makandura, Sri Lanka</t>
  </si>
  <si>
    <t>CGIAR; International Water Management Institute (IWMI); Wayamba University of Sri Lanka</t>
  </si>
  <si>
    <t>Wickramaratne, C (corresponding author), Int Water Management Inst, 127 Sunil Mw, Pelawatte, Sri Lanka.</t>
  </si>
  <si>
    <t>C.Wickramaratne@cgiar.org</t>
  </si>
  <si>
    <t>Udaggedara, Susantha/AIE-5709-2022; Gunawardena, Medhisha Pasan/MYR-1011-2025</t>
  </si>
  <si>
    <t>Gunawardena, Medhisha Pasan/0000-0002-9388-7493</t>
  </si>
  <si>
    <t>Wildlife and Nature Protection Society (WNPS) of Sri Lanka</t>
  </si>
  <si>
    <t>We thank the Wildlife and Nature Protection Society (WNPS) of Sri Lanka for the funding support provided to conduct field surveys. We greatly acknowledge the assistance provided by the national agencies and private sector entities, with special thanks to Mrs. Pathma Abeykoon (Biodiversity Secretariat, Sri Lanka) , Mr. Manjula Amararathne (Department of Wildlife Conservation, Sri Lanka) and Mr. Maxime Wickramasinghe (Connaissance De Ceylan) , for promoting the citizen science survey. We acknowledge the technical assistance provided by Mr. Dev Wijewardene during the survey development. We express our gratitude towards all the volunteers who participated in the citizen science initiative and the survey. We also value the constructive feed-back provided by the two anonymous reviewers and editors that greatly helped in improving this manuscript.</t>
  </si>
  <si>
    <t>10.1016/j.marpolbul.2024.117033</t>
  </si>
  <si>
    <t>I8S9R</t>
  </si>
  <si>
    <t>WOS:001332910400001</t>
  </si>
  <si>
    <t>Marsh, DM; Cosentino, BJ</t>
  </si>
  <si>
    <t>Marsh, David M.; Cosentino, Bradley J.</t>
  </si>
  <si>
    <t>Causes and consequences of non-random drop-outs for citizen science projects: lessons from the North American amphibian monitoring program</t>
  </si>
  <si>
    <t>frogs; anuran; call survey; bias; volunteer; data analysis; data quality; NAAMP; statistics; toad</t>
  </si>
  <si>
    <t>DATA QUALITY; SPECIES RICHNESS; MIXTURE-MODELS; THRESHOLDS; COVER; ROADS</t>
  </si>
  <si>
    <t>Citizen science holds great promise for collecting useful environmental data over large spatial scales. However, statistical issues that arise in the analysis of citizen science data may be relatively unfamiliar to scientists accustomed to data collected with traditional research methods. In particular, citizen science projects are often designed with standard randomization procedures, but volunteers may drop-out of a project in a highly non-random manner. For example, if volunteers are less likely to continue monitoring sites that are highly urbanized or polluted, these sites will be under-represented in analyses, and observed patterns could be biased accordingly. We tested for non-random drop-outs in the context of the North American Amphibian Monitoring Program (NAAMP), a road-based, citizen-science survey of calling frogs and toads. We found that discontinuation of survey routes by NAAMP volunteers was associated with high traffic volume, high noise levels, and low forest cover along these routes. The absolute increase in probability of dropping out of the program that was associated with these factors was often low (e.g., 2-10%), but much larger increases in drop-out probabilities (e.g., 40-70%) were predicted when traffic or noise were particularly high or when multiple factors were considered simultaneously. In addition, analysis of amphibian count data suggested that relatively low counts of amphibian and low species richness were also associated with increased probability that survey routes would be discontinued. Together, these non-random drop-outs led to the decreased representation of highly urbanized sites in our data set, and may have altered the estimated relationships between explanatory variables (e.g., traffic, forest cover) and amphibian species richness. Our results, therefore, suggest that citizen science projects need to be designed after careful consideration of the factors that promote retention of volunteers and the effects that non-random drop-outs may have on the data they generate. Stratification that takes non-random drop-outs into account may be necessary to ensure adequate representation of some kinds of survey sites in citizen science projects.</t>
  </si>
  <si>
    <t>[Marsh, David M.] Washington &amp; Lee Univ, Dept Biol, Lexington, VA 22450 USA; [Cosentino, Bradley J.] Hobart &amp; William Smith Coll, Dept Biol, Geneva, NY 14456 USA</t>
  </si>
  <si>
    <t>Washington &amp; Lee University; Hobart &amp; William Smith Colleges</t>
  </si>
  <si>
    <t>Marsh, DM (corresponding author), Washington &amp; Lee Univ, Dept Biol, Lexington, VA 22450 USA.</t>
  </si>
  <si>
    <t>marshd@wlu.edu; cosentino@hws.edu</t>
  </si>
  <si>
    <t>Marsh, David/0000-0001-6185-9124</t>
  </si>
  <si>
    <t>U.S. National Science Foundation through TUES (Transforming Undergraduate Education in Science) program [1140475]; Division Of Undergraduate Education; Direct For Education and Human Resources [1140475] Funding Source: National Science Foundation</t>
  </si>
  <si>
    <t>U.S. National Science Foundation through TUES (Transforming Undergraduate Education in Science) program(National Science Foundation (NSF)); Division Of Undergraduate Education; Direct For Education and Human Resources(National Science Foundation (NSF)NSF - Directorate for STEM Education (EDU))</t>
  </si>
  <si>
    <t>We thank Jim Regetz, Stephanie Hampton, and the staff at the National Center for Ecological Analysis and Synthesis for facilitating the 'Roads, Toads, and Nodes' project. Data were contributed from classes taught by J. J. Apodaca (Warren Wilson College), Karen Beard (Utah State University), Christine Bozarth (Northern Virginia Community College), Kristen Genet (Anoka-Ramsey Community College), Nancy Karraker (University of Rhode Island), Eran Kilpatrick (University of South Carolina, Salkehatchie), Tom Langen (Clarkson University), and James Vonesh (Virginia Commonwealth University). Kara Jones (University of Kentucky) and Emily Cole (Washington and Lee University) compiled NAAMP data into a useful format for analysis. Linda Weir (USGS) helped us understand NAAMP methods and data collection procedures. This research was funded by the U.S. National Science Foundation through TUES (Transforming Undergraduate Education in Science) program #1140475.</t>
  </si>
  <si>
    <t>10.1086/701672</t>
  </si>
  <si>
    <t>WOS:000474076400007</t>
  </si>
  <si>
    <t>Simpson, GD; Parker, J; Gibbens, E; Ladd, PG</t>
  </si>
  <si>
    <t>Simpson, Greg D.; Parker, Jackie; Gibbens, Erin; Ladd, Philip G.</t>
  </si>
  <si>
    <t>A Hybrid Method for Citizen Science Monitoring of Recreational Trampling in Urban Remnants: A Case Study from Perth, Western Australia</t>
  </si>
  <si>
    <t>citizen science; recreation ecology; vegetation trampling; urban green infrastructure</t>
  </si>
  <si>
    <t>COVER POLE; VEGETATION; IMPACTS; BIODIVERSITY; INFRASTRUCTURE; FRAGMENTATION; MANAGEMENT; LANDSCAPE; EFFICIENT; FORESTS</t>
  </si>
  <si>
    <t>Vegetation trampling that arises from off-trail excursions by people walking for recreation can negatively impact the structure of understory plants in natural spaces that are an essential element of urban green infrastructure in a modern city. In addition to reducing the esthetic quality and environmental values of urban remnant and replanted native vegetation, such trampling reduces the habitat that supports wildlife populations within the urban fabric. This case study draws upon several disparate methods for measuring vegetation structure and trampling impacts to produce a hybrid method that community-based citizen scientists (and land managers and other researchers) could use to simply, rapidly, and reproducibly monitor how trampling associated with urban recreation trails impacts the structure of understory vegetation. Applying the novel hybrid method provided evidence that trampling had reduced the vegetation structure adjacent to a recreational walking trail in an urban woodland remnant in Perth, Western Australia. The hybrid method also detected ecological variability at the local ecosystem-scale at a second similar woodland remnant in Perth. The hybrid sampling method utilized in this case study provides an effective, efficient, and reproducible data collection method that can be applied to recreation ecology research into aspects of trampling associated with trail infrastructure.</t>
  </si>
  <si>
    <t>[Simpson, Greg D.; Parker, Jackie] Murdoch Univ, Harry Butler Inst, South St, Perth, WA 6150, Australia; [Gibbens, Erin] Cataby Operat, Iluka Resources Ltd, Brand Highway, Cataby 6507, Australia; [Gibbens, Erin; Ladd, Philip G.] Murdoch Univ, Coll Sci Hlth Engn &amp; Educ, Environm &amp; Conservat Sci, South St, Perth, WA 6150, Australia</t>
  </si>
  <si>
    <t>Murdoch University; Murdoch University</t>
  </si>
  <si>
    <t>Simpson, GD (corresponding author), Murdoch Univ, Harry Butler Inst, South St, Perth, WA 6150, Australia.</t>
  </si>
  <si>
    <t>G.Simpson@murdoch.edu.au; jacqueline.parker@murdoch.edu.au; erin.gibbens@iluka.com; P.Ladd@murdoch.edu.au</t>
  </si>
  <si>
    <t>; Parker, Jackie/KHE-1213-2024; Simpson, Greg D/M-9381-2019</t>
  </si>
  <si>
    <t>Gibbens, Erin/0000-0003-3574-9014; Simpson, Greg D/0000-0003-4926-5491</t>
  </si>
  <si>
    <t>Friends of Lake Claremont (FOLC) Board</t>
  </si>
  <si>
    <t>G.S. thanks the Friends of Lake Claremont (FOLC) Board for their ongoing cooperation, encouragement, and support for his research G.S. We thank the Murdoch University ENV241 Ecology students and the community volunteers for their efforts in collecting the data that informed this case study. We also thank the FOLC volunteers for their years of e ffort in revegetating the degraded native vegetation at Lake Claremont. thank Rachel Standish for her support in selecting this project as one of the real-world learning experiences for ENV241 in 2015 and 2016 and David Newsome for his insights on conducting trampling studies during the study design phase and his comments on an early draft of this article. Finally, we thank the Editors of Urban Science for their assistance in the publication of this article and the three anonymous reviewers whose insightful comments significantly enhanced the quality of our manuscript.</t>
  </si>
  <si>
    <t>10.3390/urbansci4040072</t>
  </si>
  <si>
    <t>QL3ZZ</t>
  </si>
  <si>
    <t>WOS:000621019300028</t>
  </si>
  <si>
    <t>Thomaes, A; Barbalat, S; Bardiani, M; Bower, L; Campanaro, A; Sleziak, NF; Soutinho, JG; Govaert, S; Harvey, D; Hawes, C; Kadej, M; Méndez, M; Meriguet, B; Rink, M; De Gasperis, SR; Ruyts, S; Jelaska, LS; Smit, J; Smolis, A; Snegin, E; Tagliani, A; Vrezec, A</t>
  </si>
  <si>
    <t>Thomaes, Arno; Barbalat, Sylvie; Bardiani, Marco; Bower, Laura; Campanaro, Alessandro; Fanega Sleziak, Natalia; Goncalo Soutinho, Joao; Govaert, Sanne; Harvey, Deborah; Hawes, Colin; Kadej, Marcin; Mendez, Marcos; Meriguet, Bruno; Rink, Markus; Rossi De Gasperis, Sarah; Ruyts, Sanne; Jelaska, Lucija Seric; Smit, John; Smolis, Adrian; Snegin, Eduard; Tagliani, Arianna; Vrezec, Al</t>
  </si>
  <si>
    <t>The European Stag Beetle (Lucanus cervus) Monitoring Network: International Citizen Science Cooperation Reveals Regional Differences in Phenology and Temperature Response</t>
  </si>
  <si>
    <t>transect walk; monitoring protocol; drop-out; habitats directive; volunteers; threatened species</t>
  </si>
  <si>
    <t>ABUNDANCE; DECLINE; QUALITY; TOOL</t>
  </si>
  <si>
    <t>Simple Summary International cooperation is needed to prevent the loss of threatened species. To evaluate the situation, standardised monitoring is an important tool. Involving the general public (citizen science) can play a crucial role in realising such international monitoring. Here we report on the start-up and initial findings of the European Stag Beetle Monitoring Network (ESBMN), an international network of stag beetle (Lucanus cervus) monitoring schemes using the same protocol. This network aims to regularly assess local and international changes in the population of the stag beetle. Therefore, an internationally standardised protocol was agreed and a website was created where volunteers can create a transect and submit the data of their transect walks. Currently, the number of transects and transect walks submitted is increasing annually and will soon allow trend analysis. Our initial experience with the ESBMN shows that volunteers need more guidance and encouragement to avoid them dropping out of the project. In conclusion, we believe this system of international cooperation can be used for other charismatic insects in order to evaluate their threatened status and plan conservation actions. To address the decline in biodiversity, international cooperation in monitoring of threatened species is needed. Citizen science can play a crucial role in achieving this challenging goal, but most citizen science projects have been established at national or regional scales. Here we report on the establishment and initial findings of the European Stag Beetle Monitoring Network (ESBMN), an international network of stag beetle (Lucanus cervus) monitoring schemes using the same protocol. The network, started in 2016, currently includes 14 countries (see results) but with a strong variation in output regarding the number of transects (148 successful transects in total) and transect walks (1735). We found differences across European regions in the number of stag beetles recorded, related to phenology and temperature, but not for time of transect start. Furthermore, the initial experiences of the ESBMN regarding international cooperation, citizen science approach, and drop-out of volunteers is discussed. An international standardised protocol that allows some local variation is essential for international collaboration and data management, and analysis is best performed at the international level, whereas recruiting, training, and maintaining volunteers is best organised locally. In conclusion, we appeal for more joint international citizen science-based monitoring initiatives assisting international red-listing and conservation actions.</t>
  </si>
  <si>
    <t>[Thomaes, Arno] Res Inst Nat &amp; Forest INBO, B-1000 Brussels, Belgium; [Bardiani, Marco] Ctr Nazl Carabinieri Biodiversita Bosco Fontan, Raparto Carabinieri Biodiversita Verona, I-46045 Marmirolo, Italy; [Bower, Laura] Peoples Trust Endangered Species, London SW8 4BG, England; [Campanaro, Alessandro] CREA, Ctr Ric Difesa &amp; Certificazione, I-50023 Florence, Italy; [Fanega Sleziak, Natalia] Katholieke Univ Leuven, Dept Biosyst BIOSYST, B-3000 Leuven, Belgium; [Goncalo Soutinho, Joao] Associacao Bioliving, P-3850635 Frossos, Portugal; [Goncalo Soutinho, Joao] Univ Porto, Ctr Invest Biodiversidade &amp; Recursos Genet, CIBIO, InBIO, P-4485661 Vairao, Portugal; [Goncalo Soutinho, Joao] Univ Porto, Dept Biol, Fac Ciencias, P-4169007 Porto, Portugal; [Govaert, Sanne] Univ Ghent, Dept Environm Forest &amp; Nat Lab, Fac Biosci Engn, B-9000 Ghent, Belgium; [Harvey, Deborah] Royal Holloway Univ London, Dept Biol Sci, Egham TW20 0EX, Surrey, England; [Kadej, Marcin; Smolis, Adrian] Univ Wroclaw, Dept Invertebrate Biol Evolut &amp; Conservat, PL-51148 Wroclaw, Poland; [Mendez, Marcos] Rey Juan Carlos Univ, Area Biodivers &amp; Conservat, Mostoles 28933, Spain; [Meriguet, Bruno] Off Pour Insectes &amp; Leur Environm, F-78280 Guyancourt, France; [Rink, Markus] Hirschkaferfreunde Nat Two eV, D-56859 Alf, Germany; [Rossi De Gasperis, Sarah] Univ Florence, Dept Biol Nat Hist Museum La Specola, I-50125 Florence, Italy; [Ruyts, Sanne] Natuurpunt, B-2800 Mechelen, Belgium; [Jelaska, Lucija Seric] Univ Zagreb, Dept Biol, Fac Sci, Zagreb 10000, Croatia; [Smit, John] Naturalis Biodivers Ctr, European Invertebrate Survey Netherlands, NL-2300 Leiden, Netherlands; [Snegin, Eduard] Belgorod State Univ, Dept Biol &amp; Chem, Belgorod 308015, Russia; [Tagliani, Arianna] Univ Pavia, Dept Earth &amp; Environm Sci, I-27100 Pavia, Italy; [Vrezec, Al] Natl Inst Biol, Dept Organisms &amp; Ecosyst Res, Ljubljana 1000, Slovenia</t>
  </si>
  <si>
    <t>Research Institute for Nature &amp; Forest; Consiglio per la Ricerca in Agricoltura e L'analisi Dell'economia Agraria (CREA); KU Leuven; Universidade do Porto; Universidade do Porto; Ghent University; University of London; Royal Holloway University London; University of Wroclaw; Universidad Rey Juan Carlos; University of Florence; University of Zagreb; Naturalis Biodiversity Center; Belgorod State University; University of Pavia; National Institute of Biology - Slovenia</t>
  </si>
  <si>
    <t>Thomaes, A (corresponding author), Res Inst Nat &amp; Forest INBO, B-1000 Brussels, Belgium.</t>
  </si>
  <si>
    <t>arno.thomaes@inbo.be; barbalat.richard@bluewin.ch; bardianimarco@gmail.com; laura.bower@ptes.org; alessandro.campanaro@crea.gov.it; natalia.fanegasleziak@kuleuven.be; soutinhojg@gmail.com; Sanne.Govaert@UGent.be; d.harvey@rhul.ac.uk; hawescolin@gmail.com; marcin.kadej@uwr.edu.pl; marcos.mendez@urjc.es; bruno.Meriguet@insectes.org; hirschkaefer-rink@t-online.de; sarahrodega@gmail.com; sanne.ruyts@natuurpunt.be; slucija@biol.pmf.hr; john.smit@naturalis.nl; adrian.smolis@uwr.edu.pl; snegin@bsu.edu.ru; arianna.tagliani01@universitadipavia.it; al.vrezec@nib.si</t>
  </si>
  <si>
    <t>; Méndez, Marcos/A-3745-2009; Seric Jelaska, Lucija/AAD-5405-2019; Smit, John/GXN-1794-2022; CAMPANARO, ALESSANO/B-4965-2010; Adrian, Smolis/AAJ-1129-2021; Govaert, Sanne/AAM-3741-2020; Thomaes, Arno/AGM-3081-2022; Kadej, Marcin/E-5916-2018</t>
  </si>
  <si>
    <t>Vrezec, Al/0000-0002-4699-6451; Méndez, Marcos/0000-0002-0144-643X; Seric Jelaska, Lucija/0000-0003-1840-7119; Soutinho, João Gonçalo/0000-0002-1036-2625; Smit, John/0000-0002-1568-5183; CAMPANARO, ALESSANO/0000-0003-4043-6362; Govaert, Sanne/0000-0002-8939-1305; Thomaes, Arno/0000-0001-5723-5976; Kadej, Marcin/0000-0001-5983-0402; Tagliani, Arianna/0000-0001-5762-420X; Harvey, Deborah/0000-0002-0928-2636</t>
  </si>
  <si>
    <t>People's Trust for Endangered Species; Ministry of Environment and Spatial Planning of Republic of Slovenia; Ministry of Agriculture, Nature and Food Quality; province of Gelderland; LIFE17 ESC/IT/001 ESC360; [P1-0255]</t>
  </si>
  <si>
    <t>People's Trust for Endangered Species; Ministry of Environment and Spatial Planning of Republic of Slovenia; Ministry of Agriculture, Nature and Food Quality; province of Gelderland; LIFE17 ESC/IT/001 ESC360;</t>
  </si>
  <si>
    <t>S.G., N.F.S. and A.T. (Arianna Tagliani) were given an internship grant by the People's Trust for Endangered Species to work within the ESBMN, which allowed us to start up this project and create newsletters for the volunteers. A.V. was supported by research core funding No. P1-0255 and data from Slovenia were collected within the national monitoring scheme for beetles funded by the Ministry of Environment and Spatial Planning of Republic of Slovenia. J.S. collected data from the Netherlands within the Network Ecological Monitoring (NEM), funded by both the Ministry of Agriculture, Nature and Food Quality and the province of Gelderland. A.C. and M.B. collected data from Italy partially with the support of the LIFE17 ESC/IT/001 ESC360. A.T. (Arno Thomaes) collected data from Flanders within the monitoring of N2000 species and Flemish priority species.</t>
  </si>
  <si>
    <t>10.3390/insects12090813</t>
  </si>
  <si>
    <t>UV8NV</t>
  </si>
  <si>
    <t>WOS:000699728700001</t>
  </si>
  <si>
    <t>Nicosia, G; Rodríguez-Planes, L; Maranta, AA; Morel, A; Gürtler, RE</t>
  </si>
  <si>
    <t>Nicosia, Gabriela; Rodriguez-Planes, Lucia, I; Maranta, Aristobulo A.; Morel, Antoine; Gurtler, Ricardo E.</t>
  </si>
  <si>
    <t>Combining citizen science and recreational hunters to monitor exotic ungulates and native wildlife in a protected area of northeastern Argentina</t>
  </si>
  <si>
    <t>Citizen science; Wildlife management; Method agreement; Invasive ungulates; Axis deer; Wild boar</t>
  </si>
  <si>
    <t>RELATIVE ABUNDANCE INDEXES; MANAGEMENT CONTROL PROGRAM; PER-UNIT-EFFORT; NATIONAL-PARK; INVASIVE MAMMALS; IMPACTS; CATCH; PRINCIPLES; AGREEMENT; DISTANCE</t>
  </si>
  <si>
    <t>Monitoring wildlife population trends is essential for resource management and invasive species control, but monitoring data are hard to acquire. Citizen science projects may monitor species occurrence patterns in time and space in a cost-effective way. A systematic management program of exotic wild boar (Sus scrofa) and axis deer (Axis axis) in a protected area of northeastern Argentina (El Palmar National Park) provided a framework for implementing a wildlife monitoring system based on park-affiliated hunters. We assessed the level of agreement between three indices of relative abundance: hunter sightings and camera trapping for wild boar, axis deer, capybaras (Hydrochoerus hydrochaeris), brown brocket deer (Mazama guazoubira), and crab-eating and pampas foxes combined (Cerdocyon thous and (Lycalopex gymnocercus), and catch per unit effort (CPUE) for both exotic ungulates only. Most (74%) hunting parties participated in the monitoring program and contributed to its sustainability. Bland-Altman plots displayed large levels of agreement between methods across species, with larger systematic differences between sighting and camera-trapping indices for native species. Restricting camera-trapping to the same time window as hunter sightings substantially increased the agreement between methods across species. Sighting and CPUE indices revealed similar temporal trends and large variations in spatial patterns between species. Comparison of the number of sighted and killed exotic ungulates indicated that, on average, 17% of wild boar and 75% of axis deer escaped hunters. The three indices were appropriate metrics for management purposes and corroborated the sustained, high-level abundance of axis deer and low numbers of wild boar in recent years.</t>
  </si>
  <si>
    <t>[Nicosia, Gabriela; Rodriguez-Planes, Lucia, I; Gurtler, Ricardo E.] Univ Buenos Aires, Fac Ciencias Exactas &amp; Nat, Lab Ecoepidemiol, Ciudad Univ,C1428EHA, Buenos Aires, DF, Argentina; [Nicosia, Gabriela; Gurtler, Ricardo E.] Univ Buenos Aires, CONICET, Inst Ecol Genet &amp; Evoluc Buenos Aires IEGEBA, Ciudad Univ,C1428EHA, Buenos Aires, DF, Argentina; [Maranta, Aristobulo A.] Adm Parques Nacl, Parque Nacl El Palmar,Ruta Nac 14,Km 198, RA-3287 Ubajay, Entre Rios, Argentina; [Morel, Antoine] Reneco Int Wildlife Consultants LLC, Sheikh Khalifa Houbara Breeding Ctr, Dept Ecol, Shymkent 160023, Turkestan, Kazakhstan</t>
  </si>
  <si>
    <t>University of Buenos Aires; University of Buenos Aires; Consejo Nacional de Investigaciones Cientificas y Tecnicas (CONICET)</t>
  </si>
  <si>
    <t>Gürtler, RE (corresponding author), Univ Buenos Aires, Fac Ciencias Exactas &amp; Nat, Lab Ecoepidemiol, Ciudad Univ,C1428EHA, Buenos Aires, DF, Argentina.</t>
  </si>
  <si>
    <t>gurtler@ege.fcen.uba.ar</t>
  </si>
  <si>
    <t>Gürtler, Ricardo/0000-0002-3207-4667</t>
  </si>
  <si>
    <t>Federal Ministry of Education; UBANEX; University of Buenos Aires [UBACYT 20020170100779BA]; Agencia Nacional de Promocion Cientifica y Te cnica of Argentina [PICT-2015-2921]</t>
  </si>
  <si>
    <t>Federal Ministry of Education; UBANEX; University of Buenos Aires(University of Buenos Aires); Agencia Nacional de Promocion Cientifica y Te cnica of Argentina</t>
  </si>
  <si>
    <t>Field activities were supported by the volunteer university students' program of the Federal Ministry of Education (2016) and UBANEX (2017). The participation of REG was supported by University of Buenos Aires (UBACYT 20020170100779BA) and Agencia Nacional de Promocion Cientifica y Te cnica of Argentina (PICT-2015-2921). The funders had no role in study design, data collection and analysis, decision to publish and preparation of the manuscript.</t>
  </si>
  <si>
    <t>10.1007/s10530-021-02606-4</t>
  </si>
  <si>
    <t>WS1HT</t>
  </si>
  <si>
    <t>WOS:000676051700002</t>
  </si>
  <si>
    <t>Aylward, B; Milford, K; Raine, K</t>
  </si>
  <si>
    <t>Aylward, Breanne; Milford, Krista; Raine, Kim</t>
  </si>
  <si>
    <t>Citizen Science in Monitoring Food Environments: A Qualitative Exploration of Stakeholders' Experiences during the Local Environment Action on Food Project</t>
  </si>
  <si>
    <t>INTERNATIONAL JOURNAL OF QUALITATIVE METHODS</t>
  </si>
  <si>
    <t>[Aylward, Breanne; Milford, Krista; Raine, Kim] Univ Alberta, Edmonton, AB, Canada</t>
  </si>
  <si>
    <t>University of Alberta</t>
  </si>
  <si>
    <t>SAGE PUBLICATIONS INC</t>
  </si>
  <si>
    <t>THOUSAND OAKS</t>
  </si>
  <si>
    <t>2455 TELLER RD, THOUSAND OAKS, CA 91320 USA</t>
  </si>
  <si>
    <t>1609-4069</t>
  </si>
  <si>
    <t>INT J QUAL METH</t>
  </si>
  <si>
    <t>Int. J. Qual. Meth.</t>
  </si>
  <si>
    <t>NA-PO-A1.0</t>
  </si>
  <si>
    <t>XJ4PU</t>
  </si>
  <si>
    <t>WOS:000726772800204</t>
  </si>
  <si>
    <t>Consli, P; Scotti, G; Romeo, T; Fossi, MC; Esposito, V; D'Alessandro, M; Battaglia, P; Galgani, F; Figurella, F; Pragnell-Raasch, H; Andaloro, F</t>
  </si>
  <si>
    <t>Consli, Pierpaolo; Scotti, Gianfranco; Romeo, Teresa; Fossi, Maria Cristina; Esposito, Valentina; D'Alessandro, Michela; Battaglia, Pietro; Galgani, Francois; Figurella, Fabio; Pragnell-Raasch, Hannah; Andaloro, Franco</t>
  </si>
  <si>
    <t>Characterization of seafloor litter on Mediterranean shallow coastal waters: Evidence from Dive Against Debris®, a citizen science monitoring approach</t>
  </si>
  <si>
    <t>Seafloor litter; Plastic; GSA; Pollution; Recreational divers</t>
  </si>
  <si>
    <t>BENTHIC MARINE LITTER; SUBMARINE CANYONS; CONTINENTAL-SHELF; 1ST ASSESSMENT; ADRIATIC SEA; SCUBA-DIVERS; VOLUNTEERS; ABUNDANCE; CONSERVATION; HABITATS</t>
  </si>
  <si>
    <t>Citizen science programs carried out by volunteers are fundamental for the collection of scientific data on a wide spatial scale. From 2011 to 2018, 468 survey dives were conducted in 172 coastal locations of the Mediterranean Sea through Project AWARE's citizen science program, Dive Against Debris (R). During the dives, information was collected on quantity, typology and distribution of seafloor litter in shallow coastal waters. Overall, the observed average density was 43.55 items/100 m(2) and plastic was largely the dominant material (55% of the total collected items) on basin scale. The most abundant seafloor litter items were plastic fragments with 9.46%, followed by beverage cans (7.45%). Single-use plastic items constituted 33% of the total marine litter. The results of the study can be used to inform policymakers of the European Community towards specific management action to contrast the marine litter in relation to the distribution of the recorded litter category.</t>
  </si>
  <si>
    <t>[Consli, Pierpaolo; Romeo, Teresa; Battaglia, Pietro; Andaloro, Franco] Ctr Interdipartimentale Sicilia, Stn Zool Anton Dohrn, Via Mille 46, I-98057 Milazzo, ME, Italy; [Scotti, Gianfranco; D'Alessandro, Michela] Inst Environm Protect &amp; Res ISPRA, BIO CIT, Via Mille 46, I-98057 Milazzo, ME, Italy; [Fossi, Maria Cristina] Univ Siena, Dept Environm Sci, Via PA Mattioli 4, I-53100 Siena, Italy; [Esposito, Valentina] Ist Oceanog &amp; Geofis Sperimentale, OCE, Via Auguste Piccard 54, I-34151 Trieste, Italy; [Galgani, Francois] IFREMER, LER PAC, Bastia, Corsica, France; [Figurella, Fabio] PADI EMEA Ltd, Genoa, Italy; [Pragnell-Raasch, Hannah] Project AWARE, 30151 Tomas Suite 200, Rancho Santa Margarita, CA 92688 USA</t>
  </si>
  <si>
    <t>Stazione Zoologica Anton Dohrn; Italian Institute for Environmental Protection &amp; Research (ISPRA); University of Siena; Ifremer</t>
  </si>
  <si>
    <t>Scotti, G (corresponding author), Inst Environm Protect &amp; Res ISPRA, BIO CIT, Via Mille 46, I-98057 Milazzo, ME, Italy.</t>
  </si>
  <si>
    <t>gianfranco.scotti@isprambiente.it</t>
  </si>
  <si>
    <t>Consoli, Pierpaolo/AAD-5604-2019; Romeo, Teresa/AAA-1711-2020; galgani, francois/A-1973-2011; Esposito, Valentina/AAE-3561-2019; D'Alessandro, Michela/AAE-8389-2019; Battaglia, Pietro/X-2180-2019</t>
  </si>
  <si>
    <t>Consoli, Pierpaolo/0000-0001-8135-3876; galgani, francois/0000-0001-8770-6054; Esposito, Valentina/0000-0001-7595-8369; Fossi, Maria Cristina/0000-0003-0836-4020; Battaglia, Pietro/0000-0003-1822-7775; Pragnell-Raasch, Hannah/0000-0002-3298-7562</t>
  </si>
  <si>
    <t>10.1016/j.marpolbul.2019.110763</t>
  </si>
  <si>
    <t>KG0DF</t>
  </si>
  <si>
    <t>WOS:000509611200101</t>
  </si>
  <si>
    <t>Abdelkader, M; Mendez, JHB; Temimi, M; Brown, DRN; Spellman, KV; Arp, CD; Bondurant, A; Kohl, H</t>
  </si>
  <si>
    <t>Abdelkader, Mohamed; Mendez, Jorge Humberto Bravo; Temimi, Marouane; Brown, Dana R. N.; Spellman, Katie V.; Arp, Christopher D.; Bondurant, Allen; Kohl, Holli</t>
  </si>
  <si>
    <t>A Google Earth Engine Platform to Integrate Multi-Satellite and Citizen Science Data for the Monitoring of River Ice Dynamics</t>
  </si>
  <si>
    <t>REMOTE SENSING</t>
  </si>
  <si>
    <t>Alaska; geo-big data; citizen science; cloud computing; deep learning; Earth Engine; hazard monitoring; FAIR; remote sensing; river ice</t>
  </si>
  <si>
    <t>THICKNESS; BREAKUP; MODIS</t>
  </si>
  <si>
    <t>This study introduces a new automated system that blends multi-satellite information and citizen science data for reliable and timely observations of lake and river ice in under-observed northern regions. The system leverages the Google Earth Engine resources to facilitate the analysis and visualization of ice conditions. The adopted approach utilizes a combination of moderate and high-resolution optical data, along with radar observations. The results demonstrate the system's capability to accurately detect and monitor river ice, particularly during key periods, such as the freeze-up and the breakup. The integration citizen science data showed added values in the validation of remote sensing products, as well as filling gaps whenever satellite observations cannot be collected due to cloud obstruction. Moreover, it was shown that citizen science data can be converted to valuable quantitative information, such as the case of ice thickness, which is very useful when combined with ice extent derived from remote sensing. In this study, citizen science data were employed for the quantitative assessment of the remote sensing product. Obtained results showed a good agreement between the product and observed river status, with a Critical Success Index of 0.82. Notably, the system has shown effectiveness in capturing the spatial and temporal evolution of snow and ice conditions, as evidenced by its application in analyzing specific ice jam events in 2023. The study concludes that the developed system marks a significant advancement in river ice monitoring, combining technological innovation with community engagement.</t>
  </si>
  <si>
    <t>[Abdelkader, Mohamed; Mendez, Jorge Humberto Bravo; Temimi, Marouane] Stevens Inst Technol, Dept Civil Environm &amp; Ocean Engn CEOE, Hoboken, NJ 07030 USA; [Brown, Dana R. N.; Spellman, Katie V.] Univ Alaska Fairbanks, Int Arctic Res Ctr, Fairbanks, AK 99775 USA; [Arp, Christopher D.; Bondurant, Allen] Univ Alaska Fairbanks, Inst Northern Engn, Water &amp; Environm Res Ctr, Fairbanks, AK 99775 USA; [Kohl, Holli] NASA, Goddard Space Flight Ctr &amp; Sci Syst &amp; Applicat Inc, Greenbelt, MD 20771 USA</t>
  </si>
  <si>
    <t>Stevens Institute of Technology; University of Alaska System; University of Alaska Fairbanks; University of Alaska System; University of Alaska Fairbanks; National Aeronautics &amp; Space Administration (NASA)</t>
  </si>
  <si>
    <t>Abdelkader, M (corresponding author), Stevens Inst Technol, Dept Civil Environm &amp; Ocean Engn CEOE, Hoboken, NJ 07030 USA.</t>
  </si>
  <si>
    <t>mabdelka@stevens.edu</t>
  </si>
  <si>
    <t>; Abdelkader, Mohamed/HKV-8410-2023; Temimi, Marouane/HRD-9058-2023</t>
  </si>
  <si>
    <t>Arp, Christopher/0000-0002-6485-6225; Abdelkader, Mohamed/0000-0002-7655-5737; Temimi, Marouane/0000-0003-0006-2685; Brown, Dana/0000-0002-1195-7161; Spellman, Katie/0000-0002-2291-0190; Bondurant, Allen/0000-0002-4886-0179; Bravo Mendez, Jorge Humberto/0009-0005-0561-150X</t>
  </si>
  <si>
    <t>Cooperative Institute for Research to Operations in Hydrology (CIROH) [NA22NWS4320003, A22-0305-S003]; National Aeronautics and Space Administration (NASA) ROSES Citizen Science for Earth Systems Program [80NSSC22K1915]</t>
  </si>
  <si>
    <t>Cooperative Institute for Research to Operations in Hydrology (CIROH); National Aeronautics and Space Administration (NASA) ROSES Citizen Science for Earth Systems Program</t>
  </si>
  <si>
    <t>The authors acknowledge the partial support received from the Cooperative Institute for Research to Operations in Hydrology (CIROH) under Federal Award Number: NA22NWS4320003, Subaward Number: A22-0305-S003, and National Aeronautics and Space Administration (NASA) ROSES Citizen Science for Earth Systems Program [Award # 80NSSC22K1915].</t>
  </si>
  <si>
    <t>2072-4292</t>
  </si>
  <si>
    <t>REMOTE SENS-BASEL</t>
  </si>
  <si>
    <t>Remote Sens.</t>
  </si>
  <si>
    <t>10.3390/rs16081368</t>
  </si>
  <si>
    <t>Environmental Sciences; Geosciences, Multidisciplinary; Remote Sensing; Imaging Science &amp; Photographic Technology</t>
  </si>
  <si>
    <t>Environmental Sciences &amp; Ecology; Geology; Remote Sensing; Imaging Science &amp; Photographic Technology</t>
  </si>
  <si>
    <t>WY1V4</t>
  </si>
  <si>
    <t>WOS:001258351700001</t>
  </si>
  <si>
    <t>Cox, TE; Ramsey, DSL; Sawyers, E; Campbell, S; Matthews, J; Elsworth, P</t>
  </si>
  <si>
    <t>Cox, Tarnya E.; Ramsey, David S. L.; Sawyers, Emma; Campbell, Susan; Matthews, John; Elsworth, Peter</t>
  </si>
  <si>
    <t>The impact of RHDV-K5 on rabbit populations in Australia: an evaluation of citizen science surveys to monitor rabbit abundance</t>
  </si>
  <si>
    <t>BIAS</t>
  </si>
  <si>
    <t>The increasing popularity of citizen science in ecological research has created opportunities for data collection from large teams of observers that are widely dispersed. We established a citizen science program to complement the release of a new variant of the rabbit biological control agent, rabbit haemorrhagic disease virus (RHDV), known colloquially as K5, across Australia. We evaluated the impact of K5 on the national rabbit population and compared citizen science and professionally-collected spotlight count data. Of the citizen science sites (n = 219), 93% indicated a decrease in rabbit abundance following the release of K5. The overall finite monthly growth rate in rabbit abundance was estimated as 0.66 (95%CI, 0.26, 1.03), averaging a monthly reduction of 34% at the citizen science sites one month after the release. No such declines were observed at the professionally monitored sites (n = 22). The citizen science data submissions may have been unconsciously biased or the number of professional sites may have been insufficient to detect a change. Citizen science participation also declined by 56% over the post-release period. Future programs should ensure the use of blinded trials to check for unconscious bias and consider how incentives and/or the good will of the participants can be maintained throughout the program.</t>
  </si>
  <si>
    <t>[Cox, Tarnya E.; Sawyers, Emma] New South Wales Dept Primary Ind, Vertebrate Pest Res Unit, 1447 Forest Rd, Orange, NSW 2800, Australia; [Ramsey, David S. L.] Arthur Rylah Inst Environm Res, Dept Environm Land Water &amp; Planning, POB 137, Heidelberg, Vic 3084, Australia; [Cox, Tarnya E.; Ramsey, David S. L.; Sawyers, Emma] Univ Canberra, Ctr Invas Species Solut, Bldg 22,Dr South, Bruce, ACT 2617, Australia; [Campbell, Susan] Dept Primary Ind &amp; Reg Dev, Biosecur &amp; Sustainabil, 444 Albany Hwy, Albany, WA 6330, Australia; [Matthews, John] Dept Econ Dev Jobs Transport &amp; Resources, 147 Bahgallah Rd, Casterton, Vic 3311, Australia; [Elsworth, Peter] Pest Anim Res Ctr, Dept Agr &amp; Fisheries, POB 102, Toowoomba, Qld 4350, Australia; [Ramsey, David S. L.] Univ Adelaide, Sch Biol Sci, Mol Life Sci Bldg,North Terrace, Adelaide, SA 5005, Australia</t>
  </si>
  <si>
    <t>Department of Primary Industries &amp; Regional Development NSW; Arthur Rylah Institute for Environmental Research (ARI); University of Canberra; Centre for Invasive Species Solution; Department of Primary Industries &amp; Regional Development NSW; Department of Economic Development, Jobs, Transport &amp; Resources; Adelaide University; University of Adelaide</t>
  </si>
  <si>
    <t>Cox, TE (corresponding author), New South Wales Dept Primary Ind, Vertebrate Pest Res Unit, 1447 Forest Rd, Orange, NSW 2800, Australia.;Cox, TE (corresponding author), Univ Canberra, Ctr Invas Species Solut, Bldg 22,Dr South, Bruce, ACT 2617, Australia.</t>
  </si>
  <si>
    <t>tarnya.cox@dpi.nsw.gov.au</t>
  </si>
  <si>
    <t>Cox, Tarnya/L-8213-2019; Elsworth, Peter/ERF-0064-2022</t>
  </si>
  <si>
    <t>Elsworth, Peter/0000-0001-5223-9775</t>
  </si>
  <si>
    <t>OCT 23</t>
  </si>
  <si>
    <t>10.1038/s41598-019-51847-w</t>
  </si>
  <si>
    <t>JG1TJ</t>
  </si>
  <si>
    <t>WOS:000491859500019</t>
  </si>
  <si>
    <t>Bellardini, D; De Luca, D; Russo, L; Calicchio, R; Castracani, C; De Luca, P; Di Capua, I; Massimi, F; Raggio, A; Riccardi, A; Vannini, J; Attanasio, G; Vassallo, P; Sandulli, R; Signore, M; Dattolo, E; D'Alelio, D</t>
  </si>
  <si>
    <t>Bellardini, Daniele; De Luca, Daniele; Russo, Luca; Calicchio, Rosalia; Castracani, Cristina; De Luca, Pasquale; Di Capua, Iole; Massimi, Federica; Raggio, Anja; Riccardi, Alessia; Vannini, Jessica; Attanasio, Gennaro; Vassallo, Paolo; Sandulli, Roberto; Signore, Marco; Dattolo, Emanuela; D'Alelio, Domenico</t>
  </si>
  <si>
    <t>Marine Biodiversity in a Coastal Periphery Revealed by a Community-Based Monitoring Approach Integrating Citizen Science and Environmental DNA Metabarcoding</t>
  </si>
  <si>
    <t>ENVIRONMENTS</t>
  </si>
  <si>
    <t>community-based monitoring; research-based education; marine biodiversity; plankton; fish; Posidonia oceanica</t>
  </si>
  <si>
    <t>SEAGRASS POSIDONIA-OCEANICA; HARMFUL MICROALGAE; AREA; MEADOWS; DELILE; WATERS; SEA</t>
  </si>
  <si>
    <t>The global biodiversity crisis brings significant environmental and social impacts, necessitating innovative approaches to achieve the Sustainable Development Goals. This is particularly relevant for coastal peripheries that are rich in both natural and cultural capital. The Reknotting Marine Biodiversity project adopted a trans-disciplinary approach to integrate participatory science and education, involving local communities and researchers in biodiversity monitoring using environmental DNA metabarcoding along the coast of Marina di Camerota, Southern Italy. This approach compared Posidonia oceanica habitats with areas subject to anthropogenic pressures. Results show a greater diversity of pelagic fish and benthic organisms in the presence of P. oceanica, nine species that can potentially cause Harmful Algal Blooms (HABs), and eight species responsible for non-toxic algal blooms in less pristine areas. This study highlights the value of coastal habitats and the strategic value of citizen science in raising ecological awareness, proposing a replicable model for local marine observatories jointly managed by scientists and citizens.</t>
  </si>
  <si>
    <t>[Bellardini, Daniele; Russo, Luca; Massimi, Federica; Riccardi, Alessia; Vannini, Jessica; Dattolo, Emanuela; D'Alelio, Domenico] Stn Zool Anton Dohrn, Dept Integrat Marine Ecol, I-80121 Naples, Italy; [Bellardini, Daniele; Vassallo, Paolo] Univ Genoa, Dept Earth Environm &amp; Life Sci DiSTAV, Corso Europa 26, I-16132 Genoa, Italy; [De Luca, Daniele; De Luca, Pasquale; Di Capua, Iole; Raggio, Anja; Vannini, Jessica] Stn Zool Anton Dohrn, Dept Res Infrastruct Marine Biol Resources, I-80121 Naples, Italy; [Calicchio, Rosalia; Sandulli, Roberto] Parthenope Univ Naples, Ctr Direz, Dept Sci &amp; Technol, Isola C4, I-80143 Naples, Italy; [Castracani, Cristina; Massimi, Federica] Dept Chem Life Sci &amp; Environm Sustainabil, Parco Area Sci 11-a, I-43124 Parma, Italy; [Di Capua, Iole; Raggio, Anja; Vassallo, Paolo; Signore, Marco; Dattolo, Emanuela; D'Alelio, Domenico] Natl Biodivers Future Ctr NBFC, Piazza Marina 61, I-90133 Palermo, Italy; [Attanasio, Gennaro] ASD Cilento Vela Camerota Sea Acad, I-84059 Camerota, Italy; [Signore, Marco] Stn Zool Anton Dohrn, Dept Marine Anim Conservat &amp; Publ Engagement, I-80121 Naples, Italy</t>
  </si>
  <si>
    <t>Stazione Zoologica Anton Dohrn; University of Genoa; Stazione Zoologica Anton Dohrn; Parthenope University Naples; National Biodiversity Future Center; Stazione Zoologica Anton Dohrn</t>
  </si>
  <si>
    <t>Bellardini, D; Dattolo, E; D'Alelio, D (corresponding author), Stn Zool Anton Dohrn, Dept Integrat Marine Ecol, I-80121 Naples, Italy.;Bellardini, D (corresponding author), Univ Genoa, Dept Earth Environm &amp; Life Sci DiSTAV, Corso Europa 26, I-16132 Genoa, Italy.;Dattolo, E; D'Alelio, D (corresponding author), Natl Biodivers Future Ctr NBFC, Piazza Marina 61, I-90133 Palermo, Italy.</t>
  </si>
  <si>
    <t>daniele.bellardini@szn.it; daniele.deluca088@gmail.com; luca.russo@szn.it; lia.calicchio@gmail.com; cristina.castracani@unipr.it; pasquale.deluca@szn.it; iole.dicapua@szn.it; federica.massimi@studenti.unipr.it; anja.raggio@szn.it; alessia.riccardi@szn.it; jessica.vannini@szn.it; cilentoavela@gmail.com; paolo.vassallo@unige.it; roberto.sandulli@uniparthenope.it; marco.signore@szn.it; emanuela.dattolo@szn.it; domenico.dalelio@szn.it</t>
  </si>
  <si>
    <t>Sandulli, Roberto/B-8401-2008; Dattolo, Emanuela/MTF-6273-2025; D'Alelio, Domenico/ABD-6565-2020; Bellardini, Daniele/JBR-8489-2023; De Luca, Pasquale/AAL-5673-2021; vassallo, paolo/ABG-7144-2021; Castracani, Cristina/F-3405-2012; De Luca, Daniele/AAG-8715-2020; Di Capua, Iole/MTF-3224-2025; Russo, Luca/JPX-4658-2023</t>
  </si>
  <si>
    <t>Sandulli, Roberto/0000-0003-3340-3298; Dattolo, Emanuela/0000-0001-6005-5079; D'Alelio, Domenico/0000-0002-2189-503X; Bellardini, Daniele/0000-0002-3319-7036; De Luca, Pasquale/0000-0003-4289-6784; Vassallo, Paolo/0000-0002-7474-8308; Raggio, Anja/0009-0005-0281-7537; De Luca, Daniele/0000-0002-1639-9138; Di Capua, Iole/0000-0003-2959-8977; Russo, Luca/0000-0002-8550-6400</t>
  </si>
  <si>
    <t>European Union's Horizon Europe [101058677]; Italian Ministry of University and Research [CUP C63C22000520001]; European Union [101059915]; University of Genoa; European Union-NextGenerationEU [CN_00000033]</t>
  </si>
  <si>
    <t>European Union's Horizon Europe; Italian Ministry of University and Research(Ministry of Education, Universities and Research (MIUR)); European Union(European Union (EU)); University of Genoa; European Union-NextGenerationEU</t>
  </si>
  <si>
    <t>This work was carried out during the Citizen Science Initiative Integrating biodiversity monitoring and awareness-raising in coastal peripheries, by engaging citizen-science sailors as focal nodes in the process of local community empowerment (Acronym: BIOMARCS; Nickname: Reknotting Marine Biodiversity) funded by the European project IMPETUS (https://impetus4cs.eu/-accessed on 25 September 2025); Grant agreement ID: 101058677; https://doi.org/10.3030/101058677). IMPETUS is funded by the European Union's Horizon Europe research and innovation program under grant agreement number 101058677. Views and opinions expressed are, however, those of the author(s) only and do not necessarily reflect those of the European Union or the European Research Executive Agency (REA). Neither the European Union nor the granting authority can be held responsible for them. This study was also partially supported by: Project funded under National Recovery and Resilience Plan (NRRP), Mission 4 Component 2 Investment 1.4-Call for tender No. 3138 of 16 December 2021, rectified by Decree n.3175 of 18 December 2021 of Italian Ministry of University and Research funded by the European Union-NextGenerationEU; Award Number: Project code CN_00000033, Concession Decree No. 1034 of 17 June 2022 adopted by the Italian Ministry of University and Research, CUP C63C22000520001, Project title National Biodiversity Future Center-NBFC. Daniele Bellardini has been supported by a Ph.D. fellowship co-funded by the Stazione Zoologica Anton Dohrn and the University of Genoa (Ph.D. in Marine Sciences and Technologies, University of Genoa). Luca Russo has been supported by the BiOcean5D project (ID: 101059915), co-funded by the European Union. Views and opinions expressed are, however, those of the authors only and do not necessarily reflect those of the European Union. Neither the European Union nor the granting authority can be held responsible for them.</t>
  </si>
  <si>
    <t>2076-3298</t>
  </si>
  <si>
    <t>Environments</t>
  </si>
  <si>
    <t>DEC 5</t>
  </si>
  <si>
    <t>10.3390/environments12120474</t>
  </si>
  <si>
    <t>AE7BB</t>
  </si>
  <si>
    <t>WOS:001646358300001</t>
  </si>
  <si>
    <t>Sormunen, JJ; Kulha, N; Alale, TY; Klemola, T; Sääksjärvi, IE; Vesterinen, EJ</t>
  </si>
  <si>
    <t>Sormunen, Jani J.; Kulha, Niko; Alale, Theophilus Y.; Klemola, Tero; Saaksjarvi, Ilari E.; Vesterinen, Eero J.</t>
  </si>
  <si>
    <t>For the people by the people: Citizen science web interface for real-time monitoring of tick risk areas in Finland</t>
  </si>
  <si>
    <t>citizen science; crowdsourcing; public health; sampling bias; tick risk areas; tick-borne diseases; ticks</t>
  </si>
  <si>
    <t>LYME BORRELIOSIS; BORNE DISEASES; KNOWLEDGE</t>
  </si>
  <si>
    <t>Ticks and tick-borne diseases (TBDs) form a significant and growing threat to human health and well-being in Europe, with increasing numbers of tick-borne encephalitis (TBE) and Lyme borreliosis cases being reported during the past few decades. Increasing knowledge of tick risk areas and seasonal activity remains the primary method for preventing TBDs. Crowdsourcing provides the best alternative for rapidly obtaining data on tick occurrence on a national level. In order to produce and share up-to-date data of tick risk areas in Finland, an online platform, Punkkilive (), was launched April 2021. On the website, users can submit and browse tick observations, report tick numbers and hosts, and upload pictures of ticks. Here, we looked at trends in the crowdsourced data from 2021, assessed the effect of local tick species on seasonality of observations and examined sampling bias in the data. The high number of tick observations (n = 78,837) highlights that there was demand for such a service. Approximately 97% of 5573 uploaded pictures represented ticks. Seasonal patterns of tick observations varied across Finland, highlighting variability in the risk associated with the two human-biting tick species Ixodes ricinus and I. persulcatus, the latter having a shorter, unimodal activity peak in late spring-early summer. Tick numbers were low and the proportion of new sightings high in northern Finland, as may be expected near the latitudinal distribution limits of both species. While the number of inhabitants generally explained the number of tick observations well, geographically weighted regression models also identified areas that deviated from this general pattern. This study offers a prime example of how crowdsourcing can be applied to track vectors of zoonotic diseases, to the benefit of both researchers and the public. Areas with more or less observations than predicted based on number of inhabitants were revealed, wherein more specific analyses may reveal factors contributing to lower or higher risk levels that may be used in increasing awareness. We hope that the success of Punkkilive serves to highlight the usefulness of citizen science in the prevention of vector-borne diseases.</t>
  </si>
  <si>
    <t>[Sormunen, Jani J.] Univ Neuchatel, Inst Biol, Neuchatel, Switzerland; [Sormunen, Jani J.; Kulha, Niko; Alale, Theophilus Y.; Saaksjarvi, Ilari E.] Univ Turku, Biodivers Unit, Turku, Finland; [Kulha, Niko] Nat Resources Inst Finland LUKE, Helsinki, Finland; [Alale, Theophilus Y.; Klemola, Tero; Vesterinen, Eero J.] Univ Turku, Dept Biol, Turku, Finland</t>
  </si>
  <si>
    <t>University of Neuchatel; University of Turku; Natural Resources Institute Finland (Luke); University of Turku</t>
  </si>
  <si>
    <t>Sormunen, JJ (corresponding author), Univ Neuchatel, Inst Biol, Neuchatel, Switzerland.;Sormunen, JJ (corresponding author), Univ Turku, Biodivers Unit, Turku, Finland.</t>
  </si>
  <si>
    <t>jjtsor@utu.fi</t>
  </si>
  <si>
    <t>Vesterinen, Eero J/Q-9527-2019; Kulha, Niko/L-7175-2019; Alale, Theophilus Yaw/NZO-0806-2025; Sormunen, Jani/E-9620-2018; Klemola, Tero/B-9235-2014</t>
  </si>
  <si>
    <t>Vesterinen, Eero J/0000-0003-3665-5802; Kulha, Niko/0000-0002-1610-9938; Alale, Theophilus Yaw/0000-0003-4371-0005; Sormunen, Jani/0000-0002-6763-8477; Sääksjärvi, Ilari/0000-0002-8107-5607;</t>
  </si>
  <si>
    <t>We would like to thank the representatives from Pfizer Oy Finland with whom we designed and developed each aspect of the Punkkilive website. We would also like to thank Pfizer Oy Finland and the University of Turku Communications for their valuable help wi; Pfizer Oy Finland; Maj and Tor Nessling Foundation; Finnish Cultural Foundation; Sakari Alhopuro Foundation</t>
  </si>
  <si>
    <t>We would like to thank the representatives from Pfizer Oy Finland with whom we designed and developed each aspect of the Punkkilive website. We would also like to thank Pfizer Oy Finland and the University of Turku Communications for their valuable help wi; Pfizer Oy Finland; Maj and Tor Nessling Foundation; Finnish Cultural Foundation(Finnish Cultural FoundationFinnish IT center for science); Sakari Alhopuro Foundation</t>
  </si>
  <si>
    <t>We would like to thank the representatives from Pfizer Oy Finland with whom we designed and developed each aspect of the Punkkilive website. We would also like to thank Pfizer Oy Finland and the University of Turku Communications for their valuable help with media releases to promote the website. Finally, we would like to thank Maj and Tor Nessling Foundation, Finnish Cultural Foundation and Sakari Alhopuro Foundation for their financial support of the research.</t>
  </si>
  <si>
    <t>e12294</t>
  </si>
  <si>
    <t>10.1002/2688-8319.12294</t>
  </si>
  <si>
    <t>Y6BC0</t>
  </si>
  <si>
    <t>WOS:001106080100001</t>
  </si>
  <si>
    <t>Rodero, C; Olmedo, E; Bardaji, R; Piera, J</t>
  </si>
  <si>
    <t>Rodero, Carlos; Olmedo, Estrella; Bardaji, Raul; Piera, Jaume</t>
  </si>
  <si>
    <t>New Radiometric Approaches to Compute Underwater Irradiances: Potential Applications for High-Resolution and Citizen Science-Based Water Quality Monitoring Programs</t>
  </si>
  <si>
    <t>annular irradiance; water quality; marine citizen science; diffuse attenuation coefficient; oceanography; light</t>
  </si>
  <si>
    <t>OPTICAL CLASSIFICATION; COASTAL; PHYTOPLANKTON; COLOR</t>
  </si>
  <si>
    <t>Measuring the diffuse attenuation coefficient (Kd) allows for monitoring the water body's environmental status. This parameter is of particular interest in water quality monitoring programs because it quantifies the presence of light and the euphotic zone's depth. Citizen scientists can meaningfully contribute by monitoring water quality, complementing traditional methods by reducing monitoring costs and significantly improving data coverage, empowering and supporting decision-making. However, the quality of the acquisition of in situ underwater irradiance measurements has some limitations, especially in areas where stratification phenomena occur in the first meters of depth. This vertical layering introduces a gradient of properties in the vertical direction, affecting the associated Kd. To detect and characterize these variations of Kd in the water column, it needs a system of optical sensors, ideally placed in a range of a few cm, improving the low vertical accuracy. Despite that, the problem of self-shading on the instrumentation becomes critical. Here, we introduce a new concept that aims to improve the vertical accuracy of the irradiance measurements: the underwater annular irradiance (Ea). This new concept consists of measuring the irradiance in an annular-shaped distribution. We first compute the optimal annular angle that avoids self-shading and maximizes the light captured by the sensors. Second, we use different scenarios of water types, solar zenith angle, and cloud coverage to assess the robustness of the corresponding diffuse attenuation coefficient, Ka. Finally, we derive empirical functions for computing Kd from Ka. This new concept opens the possibility to a new generation of optical sensors in an annular-shaped distribution which is expected to (a) increase the vertical resolution of the irradiance measurements and (b) be easy to deploy and maintain and thus to be more suitable for citizen scientists.</t>
  </si>
  <si>
    <t>[Rodero, Carlos; Piera, Jaume] CSIC, Inst Marine Sci, Dept Phys &amp; Technol Oceanog, EMBIMOS Res Grp, 37-49 Passeig Maritim la Barceloneta, E-08003 Barcelona, Spain; [Olmedo, Estrella] CSIC, Inst Marine Sci, Dept Phys &amp; Technol Oceanog, 37-49 Passeig Maritim la Barceloneta, E-08003 Barcelona, Spain; [Olmedo, Estrella] Barcelona Expert Ctr, 37-49 Passeig Maritim la Barceloneta, E-08003 Barcelona, Spain; [Bardaji, Raul] CSIC, Marine Technol Unit, 37-49 Passeig Maritim la Barceloneta, E-08003 Barcelona, Spain</t>
  </si>
  <si>
    <t>Consejo Superior de Investigaciones Cientificas (CSIC); CSIC - Centro Mediterraneo de Investigaciones Marinas y Ambientales (CMIMA); CSIC - Instituto de Ciencias del Mar (ICM); Consejo Superior de Investigaciones Cientificas (CSIC); CSIC - Centro Mediterraneo de Investigaciones Marinas y Ambientales (CMIMA); CSIC - Instituto de Ciencias del Mar (ICM); Consejo Superior de Investigaciones Cientificas (CSIC); CSIC - Centro Mediterraneo de Investigaciones Marinas y Ambientales (CMIMA); CSIC - Unidad de Tecnologia Marina (UTM)</t>
  </si>
  <si>
    <t>Rodero, C (corresponding author), CSIC, Inst Marine Sci, Dept Phys &amp; Technol Oceanog, EMBIMOS Res Grp, 37-49 Passeig Maritim la Barceloneta, E-08003 Barcelona, Spain.</t>
  </si>
  <si>
    <t>rodero@icm.csic.es; olmedo@icm.csic.es; bardaji@utm.csic.es; jpiera@icm.csic.es</t>
  </si>
  <si>
    <t>; Olmedo, Estrella/I-1521-2015; Piera, Jaume/I-1152-2015</t>
  </si>
  <si>
    <t>Bardaji, Raul/0000-0002-0803-3427; Olmedo, Estrella/0000-0002-3178-1554; Piera, Jaume/0000-0001-5818-9836; Rodero, Carlos/0000-0002-9331-6519</t>
  </si>
  <si>
    <t>Horizon 2020 Framework Programme [776480]</t>
  </si>
  <si>
    <t>Horizon 2020 Framework Programme(Horizon 2020)</t>
  </si>
  <si>
    <t>This research was funded by Horizon 2020 Framework Programme (776480, MONOCLE).</t>
  </si>
  <si>
    <t>10.3390/s21165537</t>
  </si>
  <si>
    <t>UH9RM</t>
  </si>
  <si>
    <t>WOS:000690258200001</t>
  </si>
  <si>
    <t>Amador-Castro, F; González-López, ME; Lopez-Gonzalez, G; Garcia-Gonzalez, A; Díaz-Torres, O; Carbajal-Espinosa, O; Gradilla-Hernández, MS</t>
  </si>
  <si>
    <t>Amador-Castro, Fernando; Gonzalez-Lopez, Martin Esteban; Lopez-Gonzalez, Gabriela; Garcia-Gonzalez, Alejandro; Diaz-Torres, Osiris; Carbajal-Espinosa, Oscar; Gradilla-Hernandez, Misael Sebastian</t>
  </si>
  <si>
    <t>Internet of Things and citizen science as alternative water quality monitoring approaches and the importance of effective water quality communication</t>
  </si>
  <si>
    <t>Water quality monitoring; IoT; Citizen science; Water quality communication; Water quality platforms; Water management</t>
  </si>
  <si>
    <t>SOCIAL MEDIA; PERCEPTIONS; READABILITY; CHALLENGES; NETWORKS</t>
  </si>
  <si>
    <t>The increasing demand for water and worsening climate change place significant pressure on this vital resource, making its preservation a global priority. Water quality monitoring programs are essential for effectively managing this resource. Current programs rely on traditional monitoring approaches, leading to limitations such as low spatiotemporal resolution and high operational costs. Despite the adoption of novel monitoring approaches that enable better data resolution, the public's comprehension of water quality matters remains low, primarily due to communication process deficiencies. This study explores the advantages and challenges of using Internet of Things (IoT) and citizen science as alternative monitoring approaches, emphasizing the need for enhancing public communication of water quality data. Through a systematic review of studies implemented on-field, we identify and propose strategies to address five key challenges that IoT and citizen science monitoring approaches must overcome to mature into robust sources of water quality information. Additionally, we highlight three fundamental problems affecting the water quality communication process and outline strategies to convey this topic effectively to the public.</t>
  </si>
  <si>
    <t>[Amador-Castro, Fernando; Gonzalez-Lopez, Martin Esteban; Diaz-Torres, Osiris; Carbajal-Espinosa, Oscar; Gradilla-Hernandez, Misael Sebastian] Tecnol Monterrey, Escuela Ingn &amp; Ciencias, Ave Gen Ramon Corona 2514, Zapopan 45201, Jal, Mexico; [Lopez-Gonzalez, Gabriela] Univ Leeds, Sch Geog, Water Leeds, Leeds LS2 9JT, England; [Lopez-Gonzalez, Gabriela] Univ Leeds, Sch Geog, Leeds LS2 9JT, England; [Garcia-Gonzalez, Alejandro] Tecnol Monterrey, Escuela Med &amp; Ciencias Salud, Ave Gen Ramon Corona 2514, Zapopan 45201, Jal, Mexico; [Gradilla-Hernandez, Misael Sebastian] Ave Gen Ramon Corona 2514, Zapopan 45201, Jal, Mexico</t>
  </si>
  <si>
    <t>Tecnologico de Monterrey; University of Leeds; University of Leeds; Tecnologico de Monterrey</t>
  </si>
  <si>
    <t>Gradilla-Hernández, MS (corresponding author), Ave Gen Ramon Corona 2514, Zapopan 45201, Jal, Mexico.</t>
  </si>
  <si>
    <t>; Díaz Torres, Osiris/ISB-3807-2023; Gradilla Hernández, Misael Sebastián/ABD-1937-2020; González-López, Martín/IUO-5427-2023; Amador-Castro, Fernando/HOH-6589-2023</t>
  </si>
  <si>
    <t>Garcia-Gonzalez, Alejano/0000-0002-7250-4641; Díaz Torres, Osiris/0000-0002-6211-245X; Gradilla Hernández, Misael Sebastián/0000-0002-8236-4400; Amador-Castro, Fernando/0000-0002-5328-5308</t>
  </si>
  <si>
    <t>University of Leeds International Strategic Fund [CVU: 104808]</t>
  </si>
  <si>
    <t>University of Leeds International Strategic Fund(University of Leeds)</t>
  </si>
  <si>
    <t>The authors thank Tecnologico de Monterrey for providing the required library services. Fernando Amador-Castro thanks Mexico's CONAHCYT for scholarship funding (CVU: 104808) . Gabriela Lopez-Gonzalez thanks the University of Leeds International Strategic Fund for supporting her collaboration. This research received no specific grant from funding agencies in the public, commercial, or not -for-profit sectors.</t>
  </si>
  <si>
    <t>FEB 14</t>
  </si>
  <si>
    <t>10.1016/j.jenvman.2023.119959</t>
  </si>
  <si>
    <t>GR9A2</t>
  </si>
  <si>
    <t>WOS:001154505800001</t>
  </si>
  <si>
    <t>Aceves-Bueno, E; Adeleye, AS; Bradley, D; Brandt, WT; Callery, P; Feraud, M; Garner, KL; Gentry, R; Huang, YX; McCullough, I; Pearlman, I; Sutherland, SA; Wilkinson, W; Yang, Y; Zink, T; Anderson, SE; Tague, C</t>
  </si>
  <si>
    <t>Aceves-Bueno, Erendira; Adeleye, Adeyemi S.; Bradley, Darcy; Brandt, W. Tyler; Callery, Patrick; Feraud, Marina; Garner, Kendra L.; Gentry, Rebecca; Huang, Yuxiong; McCullough, Ian; Pearlman, Isaac; Sutherland, Sara A.; Wilkinson, Whitney; Yang, Yi; Zink, Trevor; Anderson, Sarah E.; Tague, Christina</t>
  </si>
  <si>
    <t>Citizen Science as an Approach for Overcoming Insufficient Monitoring and Inadequate Stakeholder Buy-in in Adaptive Management: Criteria and Evidence</t>
  </si>
  <si>
    <t>ECOSYSTEMS</t>
  </si>
  <si>
    <t>citizen science; community-based monitoring; Public Participation in Scientific Research; adaptive management; natural resource management; environmental science and management</t>
  </si>
  <si>
    <t>PUBLIC-PARTICIPATION; OBSERVER BIAS; KNOWLEDGE; CONSERVATION; QUALITY; BIODIVERSITY; ACCURACY; TOOL; GOVERNANCE; VOLUNTEERS</t>
  </si>
  <si>
    <t>Adaptive management is broadly recognized as critical for managing natural resources, yet in practice it often fails to achieve intended results for two main reasons: insufficient monitoring and inadequate stakeholder buy-in. Citizen science is gaining momentum as an approach that can inform natural resource management and has some promise for solving the problems faced by adaptive management. Based on adaptive management literature, we developed a set of criteria for successfully addressing monitoring and stakeholder related failures in adaptive management and then used these criteria to evaluate 83 citizen science case studies from peer-reviewed literature. The results suggest that citizen science can be a cost-effective method to collect essential monitoring information and can also produce the high levels of citizen engagement that are vital to the adaptive management learning process. The analysis also provides a set of recommendations for citizen science program design that addresses spatial and temporal scale, data quality, costs, and effective incentives to facilitate participation and integration of findings into adaptive management.</t>
  </si>
  <si>
    <t>[Aceves-Bueno, Erendira; Adeleye, Adeyemi S.; Bradley, Darcy; Brandt, W. Tyler; Callery, Patrick; Feraud, Marina; Garner, Kendra L.; Gentry, Rebecca; Huang, Yuxiong; McCullough, Ian; Pearlman, Isaac; Sutherland, Sara A.; Wilkinson, Whitney; Yang, Yi; Zink, Trevor; Anderson, Sarah E.; Tague, Christina] Univ Calif Santa Barbara, Bren Sch Environm Sci &amp; Management, Santa Barbara, CA 93106 USA</t>
  </si>
  <si>
    <t>University of California System; University of California Santa Barbara</t>
  </si>
  <si>
    <t>Anderson, SE (corresponding author), Univ Calif Santa Barbara, Bren Sch Environm Sci &amp; Management, 2400 Bren Hall, Santa Barbara, CA 93106 USA.</t>
  </si>
  <si>
    <t>sanderson@bren.ucsb.edu</t>
  </si>
  <si>
    <t>HUANG, Yuxiong/I-5843-2019; Callery, Patrick/AAR-8716-2021; Adeleye, Adeyemi/D-8883-2014; Yang, Yi/AAM-9280-2021</t>
  </si>
  <si>
    <t>HUANG, Yuxiong/0000-0001-8124-643X; Tague, Christina/0000-0003-1463-308X; Callery, Patrick/0000-0002-3395-0884; Anderson, Sarah/0000-0002-7522-2340; Bradley, Darcy/0000-0003-2581-8768; Feraud, Marina/0000-0002-3519-9211; Brandt, Ty/0000-0003-0962-3426; Adeleye, Adeyemi/0000-0002-2181-4922;</t>
  </si>
  <si>
    <t>Bren School of Environmental Science &amp; Management at the University of California, Santa Barbara</t>
  </si>
  <si>
    <t>We gratefully acknowledge the support of the Bren School of Environmental Science &amp; Management at the University of California, Santa Barbara. This paper is the product of an interdisciplinary PhD seminar. The first 15 authors were participants. Anderson and Tague were the faculty leads.</t>
  </si>
  <si>
    <t>1432-9840</t>
  </si>
  <si>
    <t>1435-0629</t>
  </si>
  <si>
    <t>Ecosystems</t>
  </si>
  <si>
    <t>10.1007/s10021-015-9842-4</t>
  </si>
  <si>
    <t>CE1XE</t>
  </si>
  <si>
    <t>WOS:000351605400011</t>
  </si>
  <si>
    <t>Diviacco, P; Iurcev, M; Carbajales, RJ; Potleca, N</t>
  </si>
  <si>
    <t>Diviacco, Paolo; Iurcev, Massimiliano; Carbajales, Rodrigo Jose; Potleca, Nikolas</t>
  </si>
  <si>
    <t>First Results of the Application of a Citizen Science-Based Mobile Monitoring System to the Study of Household Heating Emissions</t>
  </si>
  <si>
    <t>ATMOSPHERE</t>
  </si>
  <si>
    <t>air quality; particulate matter; low-cost sensors; citizen science; crowdsourcing; liquid fuels; solid fuels; residential wood combustion</t>
  </si>
  <si>
    <t>RESIDENTIAL WOOD; AIR-QUALITY; SENSOR; USER</t>
  </si>
  <si>
    <t>This work aims at understanding whether a citizen science-based monitoring system could be adequate to detect the effects, in terms of air quality, of solid and liquid fuel combustion for household heating. Citizen science is known to be able to improve the coverage and resolution of measurements at a very low cost. On the other hand, it also has severe limitations. Since low-cost sensors are to be used, measurements are problematic in terms of precision and accuracy. In order to test these aspects, we developed a system named COCAL that supports all the phases of air quality monitoring, from data acquisition, georeferencing, transmission, and processing up to web mapping. In this work, we focus on particulate matter. To address the limitations of the citizen science approach, we carefully tested all the parts of the system and, in particular, the performances of the low-cost sensors. We highlighted that their precision is acceptable, while their accuracy is insufficient. Measurements taken within such a paradigm cannot be used, therefore, as reference values. They can be used, instead, as relative values, in order to identify and to map trends, anomalies and hotspots. We used COCAL extensively in the city of Trieste and were able to identify different behaviors in different areas of the city. In the city center, PM values increase constantly during the day. In the rural suburbs of the city, we observed that PM values are low during the day but increase very rapidly after 5 p.m. It is important to note that, in the city center, household heating is based almost completely on natural gas. In the rural areas, household heating is generally based on wood burning stoves or liquid and solid fuel. A possible explanation of the different behavior between the two areas can then be related to commuters living in the rural areas but working in the city center. When they return home in the evening, they switch on the heating systems triggering the release of large quantities of particulate matter. We were able to map peaks of particulate matter values and highlight that they are initially located within the village centers to later propagate to the areas around them. The possibility of mapping air quality with the coverage and resolution we were able to obtain within a citizen science approach is very encouraging. This can be very helpful in understanding the impact that liquid and solid fuel combustion can have on the environment and human health. In addition, we think that this opportunity can be very important considering the current geopolitical situation where a (hopefully only temporary) shift toward pollutant fuels is expected in the near future.</t>
  </si>
  <si>
    <t>[Diviacco, Paolo; Iurcev, Massimiliano; Carbajales, Rodrigo Jose; Potleca, Nikolas] Natl Inst Oceanog &amp; Appl Geophys, Borgo Grotta Gigante 42-C, I-34010 Sgonico, Italy</t>
  </si>
  <si>
    <t>Istituto Nazionale di Oceanografia e di Geofisica Sperimentale</t>
  </si>
  <si>
    <t>Diviacco, P (corresponding author), Natl Inst Oceanog &amp; Appl Geophys, Borgo Grotta Gigante 42-C, I-34010 Sgonico, Italy.</t>
  </si>
  <si>
    <t>pdiviacco@ogs.it</t>
  </si>
  <si>
    <t>; Iurcev, Massimiliano/LPP-6646-2024</t>
  </si>
  <si>
    <t>Diviacco, Paolo/0000-0001-9404-9611; Carbajales, Roigo Jose/0000-0003-0705-3626; Iurcev, Massimiliano/0000-0003-2958-3134; Potleca, Nikolas/0000-0003-2976-6766</t>
  </si>
  <si>
    <t>Trieste Trasporti TPL, the local transportation authority of Trieste</t>
  </si>
  <si>
    <t>The authors would like to thank Trieste Trasporti TPL, the local transportation authority of Trieste, for its support, without which this work would not have been possible, and in particular, for their great help: Giuseppe Zottis, Fabrizio Godinich, and Fabio Vidotto.</t>
  </si>
  <si>
    <t>2073-4433</t>
  </si>
  <si>
    <t>ATMOSPHERE-BASEL</t>
  </si>
  <si>
    <t>Atmosphere</t>
  </si>
  <si>
    <t>10.3390/atmos13101689</t>
  </si>
  <si>
    <t>5O2MY</t>
  </si>
  <si>
    <t>WOS:000872315100001</t>
  </si>
  <si>
    <t>Pusceddu, M; Floris, I; Mannu, R; Cocco, A; Satta, A</t>
  </si>
  <si>
    <t>Pusceddu, Michelina; Floris, Ignazio; Mannu, Roberto; Cocco, Arturo; Satta, Alberto</t>
  </si>
  <si>
    <t>Using verified citizen science as a tool for monitoring the European hornet (Vespa crabro) in the island of Sardinia (Italy)</t>
  </si>
  <si>
    <t>NEOBIOTA</t>
  </si>
  <si>
    <t>Alien species; biological invasion; data quality; European hornet; public information</t>
  </si>
  <si>
    <t>DATA QUALITY; VELUTINA; HYMENOPTERA; COMPETITION; VOLUNTEERS; INVASIONS; ACCURACY; INSECTS; WASP; US</t>
  </si>
  <si>
    <t>The European hornet, Vespa crabro L. (Hymenoptera: Vespidae), is a eusocial insect native to Eurasia that was accidentally introduced in the island of Sardinia (Italy) in 2010. This alien generalist predator could impact on native insect species through predation or competition by modifying interspecific relations in sensitive island ecosystems. As part of the Interreg project ALIEM, the present work regarded the first monitoring activity of the European hornet conducted in Sardinia by means of verified citizen science. The main goals of this study were to define the distribution area of the wasp in 2018 and evaluate the profile and the performance of citizen scientists. Our results showed that V. crabro is mainly located in north-eastern Sardinia and that the hotspot was probably the commercial port of Olbia. Furthermore, data provided by contributors were very accurate and none of the parameters considered to define the participants (age, gender, education level, job category) was a true predictor of a volunteer's ability to recognise the wasp. In conclusion, this small-scale study suggests that citizen scientists could be a valuable aid to monitor already-established alien species and could be part of a surveillance network for early detection of other potentially invasive alien species not yet introduced in Sardinia, such as the yellow-legged hornet, Vespa velutina, which is already present in northern Italy.</t>
  </si>
  <si>
    <t>[Pusceddu, Michelina; Floris, Ignazio; Mannu, Roberto; Cocco, Arturo; Satta, Alberto] Univ Sassari, Sez Patol Vegetale &amp; Entomol, Dipartimento Agr, Viale Italia 39, I-07100 Sassari, Italy</t>
  </si>
  <si>
    <t>University of Sassari</t>
  </si>
  <si>
    <t>Satta, A (corresponding author), Univ Sassari, Sez Patol Vegetale &amp; Entomol, Dipartimento Agr, Viale Italia 39, I-07100 Sassari, Italy.</t>
  </si>
  <si>
    <t>albsatta@uniss.it</t>
  </si>
  <si>
    <t>Cocco, Arturo/P-3006-2014; Satta, Alberto/K-8597-2015; Mannu, Roberto/L-7709-2015; Floris, Ignazio/K-6657-2015; PUSCEDDU, Michelina/ABY-5580-2022</t>
  </si>
  <si>
    <t>Cocco, Arturo/0000-0002-8769-461X; Satta, Alberto/0000-0003-1296-3835; Mannu, Roberto/0000-0003-0693-0949; PUSCEDDU, Michelina/0000-0003-0915-6258</t>
  </si>
  <si>
    <t>Interreg ALIEM project Action pour Limiter les risques de diffusion des especes Introduites Envahissantes en Mediterranee</t>
  </si>
  <si>
    <t>The Interreg ALIEM project Action pour Limiter les risques de diffusion des especes Introduites Envahissantes en Mediterranee (PC IFM 2014-2020) financially supported the present study.</t>
  </si>
  <si>
    <t>1619-0033</t>
  </si>
  <si>
    <t>1314-2488</t>
  </si>
  <si>
    <t>NeoBiota</t>
  </si>
  <si>
    <t>10.3897/neobiota.50.37587</t>
  </si>
  <si>
    <t>JC9ZA</t>
  </si>
  <si>
    <t>WOS:000489633900001</t>
  </si>
  <si>
    <t>Katapally, TR; Bhawra, J; Leatherdale, ST; Ferguson, L; Longo, J; Rainham, D; Larouche, R; Osgood, N</t>
  </si>
  <si>
    <t>Katapally, Tarun Reddy; Bhawra, Jasmin; Leatherdale, Scott T.; Ferguson, Leah; Longo, Justin; Rainham, Daniel; Larouche, Richard; Osgood, Nathaniel</t>
  </si>
  <si>
    <t>The SMART Study, a Mobile Health and Citizen Science Methodological Platform for Active Living Surveillance, Integrated Knowledge Translation, and Policy Interventions: Longitudinal Study</t>
  </si>
  <si>
    <t>JMIR PUBLIC HEALTH AND SURVEILLANCE</t>
  </si>
  <si>
    <t>exercise; sedentary lifestyle; smartphone; ecological momentary assessments; epidemiological monitoring; translational medical research; health policy</t>
  </si>
  <si>
    <t>PHYSICAL-ACTIVITY QUESTIONNAIRE; SELF-DETERMINATION THEORY; SEDENTARY BEHAVIOR; NEIGHBORHOOD ENVIRONMENT; CARDIOVASCULAR RISK; BUILT-ENVIRONMENT; WELL; CHILDREN; YOUNG; OVERWEIGHT</t>
  </si>
  <si>
    <t>Background: Physical inactivity is the fourth leading cause of death worldwide, costing approximately US $67.5 billion per year to health care systems. To curb the physical inactivity pandemic, it is time to move beyond traditional approaches and engage citizens by repurposing sedentary behavior (SB)-enabling ubiquitous tools (eg, smartphones). Objective: The primary objective of the Saskatchewan, let's move and map our activity (SMART) Study was to develop a mobile and citizen science methodological platform for active living surveillance, knowledge translation, and policy interventions. This methodology paper enumerates the SMART Study platform's conceptualization, design, implementation, data collection procedures, analytical strategies, and potential for informing policy interventions. Methods: This longitudinal investigation was designed to engage participants (ie, citizen scientists) in Regina and Saskatoon, Saskatchewan, Canada, in four different seasons across 3 years. In spring 2017, pilot data collection was conducted, where 317 adult citizen scientists (=18 years) were recruited in person and online. Citizen scientists used a custom-built smartphone app, Ethica (Ethica Data Services Inc), for 8 consecutive days to provide a complex series of objective and subjective data. Citizen scientists answered a succession of validated surveys that were assigned different smartphone triggering mechanisms (eg, user-triggered and schedule-triggered). The validated surveys captured physical activity (PA), SB, motivation, perception of outdoor and indoor environment, and eudaimonic well-being. Ecological momentary assessments were employed on each day to capture not only PA but also physical and social contexts along with barriers and facilitators of PA, as relayed by citizen scientists using geo-coded pictures and audio files. To obtain a comprehensive objective picture of participant location, motion, and compliance, 6 types of sensor-based (eg, global positioning system and accelerometer) data were surveilled for 8 days. Initial descriptive analyses were conducted using geo-coded photographs and audio files. Results: Pictures and audio files (ie, community voices) showed that the barriers and facilitators of active living included intrinsic or extrinsic motivations, social contexts, and outdoor or indoor environment, with pets and favorable urban design featuring as the predominant facilitators, and work-related screen time proving to be the primary barrier. Conclusions: The preliminary pilot results show the flexibility of the SMART Study surveillance platform in identifying and addressing limitations based on empirical evidence. The results also show the successful implementation of a platform that engages participants to catalyze policy interventions. Although SMART Study is currently geared toward surveillance, using the same platform, active living interventions could be remotely implemented. SMART Study is the first mobile, citizen science surveillance platform utilizing a rigorous, longitudinal, and mixed-methods investigation to temporally capture behavioral data for knowledge translation and policy interventions.</t>
  </si>
  <si>
    <t>[Katapally, Tarun Reddy; Longo, Justin] Univ Regina, Johnson Shoyama Grad Sch Publ Policy, 110-2 Res Dr,Innovation Pl, Regina, SK S4S 7H9, Canada; [Katapally, Tarun Reddy] Univ Saskatchewan, Johnson Shoyama Grad Sch Publ Policy, Saskatoon, SK, Canada; [Katapally, Tarun Reddy] Univ Saskatchewan, Dept Community Hlth &amp; Epidemiol, Coll Med, Saskatoon, SK, Canada; [Bhawra, Jasmin; Leatherdale, Scott T.] Univ Waterloo, Sch Publ Hlth &amp; Hlth Syst, Waterloo, ON, Canada; [Ferguson, Leah] Univ Saskatchewan, Coll Kinesiol, Saskatoon, SK, Canada; [Rainham, Daniel] Dalhousie Univ, Environm Sci Program, Halifax, NS, Canada; [Larouche, Richard] Univ Lethbridge, Fac Hlth Sci, Lethbridge, AB, Canada; [Osgood, Nathaniel] Univ Saskatchewan, Dept Comp Sci, Coll Arts &amp; Sci, Saskatoon, SK, Canada</t>
  </si>
  <si>
    <t>University of Regina; University of Saskatchewan; University of Saskatchewan; University of Waterloo; University of Saskatchewan; Dalhousie University; University of Lethbridge; University of Saskatchewan</t>
  </si>
  <si>
    <t>Katapally, TR (corresponding author), Univ Regina, Johnson Shoyama Grad Sch Publ Policy, 110-2 Res Dr,Innovation Pl, Regina, SK S4S 7H9, Canada.</t>
  </si>
  <si>
    <t>tarun.katapally@uregina.ca</t>
  </si>
  <si>
    <t>; Leatherdale, Scott/AAE-4515-2022; Rainham, Daniel/C-4800-2009; Longo, Justin/HKE-8976-2023; Osgood, Nathaniel/L-1805-2016</t>
  </si>
  <si>
    <t>KATAPALLY, TARUN REDDY/0000-0001-5765-1435; Ferguson, Leah/0000-0002-1489-6472; Bhawra, Jasmin/0000-0001-9926-8442; Rainham, Daniel/0000-0002-3932-2942; Longo, Justin/0000-0001-6485-4441; Osgood, Nathaniel/0000-0002-3994-3298</t>
  </si>
  <si>
    <t>primary funding agency of SMART Study: Saskatchewan Health Research Foundation</t>
  </si>
  <si>
    <t>The authors would like to thank the primary funding agency of SMART Study: Saskatchewan Health Research Foundation. The Young Men's Christian Associations of Regina and Saskatoon were instrumental in providing the necessary support for the implementation of the study, and Social Sciences Research Laboratories at the University of Saskatchewan was an important partner in the recruitment of citizen scientists. The authors would also like to thank the Provost of the University of Regina, Dr Thomas Chase, for his continued support for the study. Finally, the authors acknowledge the entire SMART Study team, and especially Ms Kayla Stevenson and Ms Tracy Ma for their roles in the successful implementation of SMART Study.</t>
  </si>
  <si>
    <t>JMIR PUBLICATIONS, INC</t>
  </si>
  <si>
    <t>TORONTO</t>
  </si>
  <si>
    <t>130 QUEENS QUAY E, STE 1102, TORONTO, ON M5A 0P6, CANADA</t>
  </si>
  <si>
    <t>2369-2960</t>
  </si>
  <si>
    <t>JMIR PUBLIC HLTH SUR</t>
  </si>
  <si>
    <t>JMIR Public Health Surveill.</t>
  </si>
  <si>
    <t>JAN-MAR</t>
  </si>
  <si>
    <t>10.2196/publichealth.8953</t>
  </si>
  <si>
    <t>VJ0RN</t>
  </si>
  <si>
    <t>WOS:000526815300028</t>
  </si>
  <si>
    <t>Burian, A; Bruce, K; Tovela, E; Bakker, J; Balcells, L; Bennett, R; Chordekar, S; Costa, HM; Crampton-Platt, A; de Boer, H; Ross-Gillespie, V; de Sacramento, A; Sidat, N; Simbine, L; Ready, J; Tang, C; Mauvisseau, Q</t>
  </si>
  <si>
    <t>Burian, Alfred; Bruce, Kat; Tovela, Erica; Bakker, Judith; Balcells, Laura; Bennett, Rhett; Chordekar, Sarah; Costa, Hugo M.; Crampton-Platt, Alex; de Boer, Hugo; Ross-Gillespie, Vere; de Sacramento, Antonio; Sidat, Naseeba; Simbine, Luisa; Ready, Jonathan; Tang, Cuong; Mauvisseau, Quentin</t>
  </si>
  <si>
    <t>Merging two eDNA metabarcoding approaches and citizen-science-based sampling to facilitate fish community monitoring along vast Sub-Saharan coastlines</t>
  </si>
  <si>
    <t>MOLECULAR ECOLOGY RESOURCES</t>
  </si>
  <si>
    <t>12S; artisanal fisheries; citizen science; environmental DNA (eDNA); fish communities; metabarcoding; South-Western Indian Ocean (SWIO)</t>
  </si>
  <si>
    <t>ENVIRONMENTAL DNA; CLIMATE-CHANGE; FISHERIES; COMANAGEMENT; LESSONS; AFRICA; SEARCH</t>
  </si>
  <si>
    <t>The coastline of Sub-Saharan Africa hosts highly diverse fish communities of great conservation value, which are also key resources for local livelihoods. However, many costal ecosystems are threatened by overexploitation and their conservation state is frequently unknown due to their vast spatial extent and limited monitoring budgets. Here, we evaluated the potential of citizen science-based eDNA surveys to alleviate such chronic data deficiencies and assessed fish communities in Mozambique using two 12S metabarcoding primer sets. Samples were either collected by scientific personnel or trained community members and results from the two metabarcoding primers were combined using a new data merging approach. Irrespective of the background of sampling personnel, a high average fish species richness was recorded (38 +/- 20 OTUs per sample). Individual sections of the coastline largely differed in the occurrence of threatened and commercially important species, highlighting the need for regionally differentiated management strategies. A detailed comparison of the two applied primer sets revealed an important trade-off in primer choice with MiFish primers amplifying a higher number of species but Riaz primers performing better in the detection of threatened fish species. This trade-off could be partly resolved by applying our new data-merging approach, which was especially designed to increase the robustness of multiprimer assessments in regions with poor reference libraries. Overall, our study provides encouraging results but also highlights that eDNA-based monitoring will require further improvements of, for example, reference databases and local analytical infrastructure to facilitate routine applications in Sub-Saharan Africa.</t>
  </si>
  <si>
    <t>[Burian, Alfred] UFZ Helmholtz Ctr Environm Res, Dept Computat Landscape Ecol, Leipzig, Germany; [Burian, Alfred] Lurio Univ, Marine Ecol Dept, Nampula, Mozambique; [Bruce, Kat; Bakker, Judith; Balcells, Laura; Chordekar, Sarah; Crampton-Platt, Alex; Ross-Gillespie, Vere; Tang, Cuong] NatureMetrics, Guildford, England; [Tovela, Erica] Univ Eduardo Mondlane, Nat Hist Museum, Maputo, Mozambique; [Bennett, Rhett; Costa, Hugo M.; Sidat, Naseeba] Wildlife Conservat Soc, Maputo, Mozambique; [de Boer, Hugo; Mauvisseau, Quentin] Univ Oslo, Nat Hist Museum, Oslo, Norway; [de Sacramento, Antonio] Ocean Revolut ORM Mozamb, Inhambane, Mozambique; [Simbine, Luisa] Minist Mar Aguas Interiores &amp; Pescas, Inst Oceanog Mocamb, Maputo, Mozambique; [Ready, Jonathan] Fed Univ Fed, Ctr Estudos Avancados Biodiversidade, Grp Invest Biol Integrada, Belem, Brazil</t>
  </si>
  <si>
    <t>Helmholtz Association; Helmholtz Center for Environmental Research (UFZ); Eduardo Mondlane University; University of Oslo</t>
  </si>
  <si>
    <t>Burian, A (corresponding author), UFZ Helmholtz Ctr Environm Res, Dept Computat Landscape Ecol, Leipzig, Germany.;Mauvisseau, Q (corresponding author), Univ Oslo, Nat Hist Museum, Oslo, Norway.</t>
  </si>
  <si>
    <t>flinserl@hotmail.com; quentin.mauvisseau@gmail.com</t>
  </si>
  <si>
    <t>; Mauvisseau, Quentin/U-7976-2019; de Boer, Hugo/AAS-7585-2020</t>
  </si>
  <si>
    <t>Crampton-Platt, Alex/0000-0002-8096-615X; Mauvisseau, Quentin/0000-0003-1215-2987; Burian, Alfred/0000-0002-4928-0897; de Boer, Hugo/0000-0003-1985-7859; Chordekar, Sarah/0000-0002-9522-0668</t>
  </si>
  <si>
    <t>Innovate UK; Global Challenges Research Fund [45622]</t>
  </si>
  <si>
    <t>Innovate UK(UK Research &amp; Innovation (UKRI)Innovate UK); Global Challenges Research Fund</t>
  </si>
  <si>
    <t>Innovate UK and the Global Challenges Research Fund, Grant/Award Number: 45622</t>
  </si>
  <si>
    <t>1755-098X</t>
  </si>
  <si>
    <t>1755-0998</t>
  </si>
  <si>
    <t>MOL ECOL RESOUR</t>
  </si>
  <si>
    <t>Mol. Ecol. Resour.</t>
  </si>
  <si>
    <t>10.1111/1755-0998.13839</t>
  </si>
  <si>
    <t>R0XV5</t>
  </si>
  <si>
    <t>WOS:001031892900001</t>
  </si>
  <si>
    <t>Parretti, P; Monteiro, JG; Gizzi, F; Martínez-Escauriaza, R; Alves, F; Chebaane, S; Almeida, S; Pais, MP; Almada, F; Fernandez, M; Nogueira, N; Andrade, C; Canning-Clode, J</t>
  </si>
  <si>
    <t>Parretti, Paola; Monteiro, Joao Gama; Gizzi, Francesca; Martinez-Escauriaza, Roi; Alves, Filipe; Chebaane, Sahar; Almeida, Silvia; Pais, Miguel Pessanha; Almada, Frederico; Fernandez, Marc; Nogueira, Natacha; Andrade, Carlos; Canning-Clode, Joao</t>
  </si>
  <si>
    <t>Citizen Science and Expert Judgement: A Cost-Efficient Combination to Monitor and Assess the Invasiveness of Non-Indigenous Fish Escapees</t>
  </si>
  <si>
    <t>JOURNAL OF MARINE SCIENCE AND ENGINEERING</t>
  </si>
  <si>
    <t>non-indigenous species; risk assessment; GIS participatory mapping; ecosystem management; Madeira Island; Sparus aurata</t>
  </si>
  <si>
    <t>SPARUS-AURATA; BIOLOGICAL INVASIONS; MADEIRA ISLAND; AQUACULTURE; RISKS; CONSERVATION; BIODIVERSITY; TEMPERATURE; SEABREAM; EVENTS</t>
  </si>
  <si>
    <t>Mapping the distribution and evaluating the impacts of marine non-indigenous species (NIS) are two fundamental tasks for management purposes, yet they are often time consuming and expensive. This case study focuses on the NIS gilthead seabream Sparus aurata escaped from offshore farms in Madeira Island in order to test an innovative, cost-efficient combined approach to risk assessment and georeferenced dispersal data collection. Species invasiveness was screened using the Aquatic Species Invasiveness Screening Kit (AS-ISK), and revealed a high invasion risk. Occurrences of S. aurata were assessed involving citizens in GIS participatory mapping and data from recreational fishing contests. A probability map showed that S. aurata is well dispersed around Madeira Island. This assessment proved to be a cost-efficient early warning method for detecting NIS dispersal, highlighting the urgent need for additional surveys that should search for sexually mature individuals and assess the direct and indirect impacts in the native ecosystem.</t>
  </si>
  <si>
    <t>[Parretti, Paola; Monteiro, Joao Gama; Gizzi, Francesca; Alves, Filipe; Chebaane, Sahar; Almeida, Silvia; Fernandez, Marc; Andrade, Carlos; Canning-Clode, Joao] MARE Marine &amp; Environm Sci Ctr, Agencia Reg Desenvolvimento Invest Tecnol &amp; Inova, ARNET Aquat Res Network, Caminho Penteada Edif Madeira Tecnopolo, P-9020105 Funchal, Portugal; [Parretti, Paola] Univ Azores, Fac Sci &amp; Technol, Res Ctr Biodivers &amp; Genet Resources, InBIO Associate Lab,CIBIO, P-9500321 Ponta Delgada, Portugal; [Monteiro, Joao Gama] Univ Madeira, Fac Life Sci, P-9020105 Funchal, Portugal; [Martinez-Escauriaza, Roi; Alves, Filipe; Nogueira, Natacha; Andrade, Carlos] Agencia Reg Desenvolvimento Invest Tecnol &amp; Inova, OOM Ocean Observ Madeira, Caminho Penteada Edif Madeira Tecnopolo, P-9020105 Funchal, Portugal; [Pais, Miguel Pessanha] Univ Lisbon, Fac Ciencias, MARE Marine &amp; Environm Sci Ctr, ARNET Aquat Res Network, Campo Grande, P-1749016 Lisbon, Portugal; [Pais, Miguel Pessanha] Univ Lisbon, Dept Biol Anim, Fac Ciencias, P-1749016 Lisbon, Portugal; [Almada, Frederico] ISPA Inst Univ Ciencias Psicol Sociais &amp; Vida, MARE Marine &amp; Environm Sci Ctr, ARNET Aquat Res Network, P-1149041 Lisbon, Portugal; [Nogueira, Natacha] CIIMAR, Interdisciplinary Ctr Marine &amp; Environm Res, Terminal Cruzeiros Porto Leixoes, P-4450208 Matosinhos, Portugal; [Nogueira, Natacha; Andrade, Carlos] Mariculture Ctr Calheta, Reg Directorate Sea, P-9370133 Calheta, Portugal; [Canning-Clode, Joao] Smithsonian Environm Res Ctr, Edgewater, MD 21037 USA</t>
  </si>
  <si>
    <t>Universidade dos Acores; Universidade da Madeira; Universidade de Lisboa; Universidade de Lisboa; Instituto Superior Psicologia Aplicada (ISPA); Universidade do Porto; Smithsonian Institution; Smithsonian Environmental Research Center</t>
  </si>
  <si>
    <t>Canning-Clode, J (corresponding author), MARE Marine &amp; Environm Sci Ctr, Agencia Reg Desenvolvimento Invest Tecnol &amp; Inova, ARNET Aquat Res Network, Caminho Penteada Edif Madeira Tecnopolo, P-9020105 Funchal, Portugal.;Canning-Clode, J (corresponding author), Smithsonian Environm Res Ctr, Edgewater, MD 21037 USA.</t>
  </si>
  <si>
    <t>jcanning-clode@mare-centre.pt</t>
  </si>
  <si>
    <t>GIZZI, FRANCESCA/Q-4866-2019; Canning Clode, João/I-4343-2019; Fernandez, Marc/E-8263-2015; Almada, Frederico/AAC-4340-2020; Monteiro, Joao/MGV-9485-2025; Alves, Filipe/AFP-4882-2022; Parretti, Paola/AAH-9410-2020; chebaane, sahar/AAD-6189-2020; Pais, Miguel/B-1537-2012</t>
  </si>
  <si>
    <t>GIZZI, FRANCESCA/0000-0001-9447-8694; Canning Clode, João/0000-0003-2143-6535; Anade, Carlos/0000-0002-8166-0013; Fernandez Morron, Marc/0000-0002-8419-0942; Almeida, Silvia/0000-0003-2063-6826; Almada, Frederico/0000-0002-1389-8951; Monteiro, Joao/0000-0002-3401-6495; Alves, Filipe/0000-0003-3752-2745; Nogueira, Natacha/0000-0002-4557-3908; Parretti, Paola/0000-0002-3265-5453; chebaane, sahar/0000-0003-3700-8930; Pais, Miguel/0000-0003-4282-9995; Martinez-Escauriaza, Roi/0000-0003-1219-9937</t>
  </si>
  <si>
    <t>Fundo Regional de Ciencia e Tecnologia (FRCT) [M3.1.a/F/065/2015]; program ACORES 2020; Oceanic Observatory of Madeira (OOM) [1797]; CLEANATLANTIC project [ARDITI-CLEAN-ATLANTIC-2022-01]; ARDITI [ARDITI-M1420-09-5369-FSE-000002, ARDITI-RAGES-2019-001]; FCT-Fundacao para a Ciencia e a Tecnologia, I.P., under the Scientific Employment StimulusInstitutional Calls [CEEC-INST/00037/2021]; IMPLAMAC [MAC2/1.1a/265]; MIMAR+ [MAC2/4.6d/249]; OCEANLIT [MAC2/4.6d/302]; Oceanic Observatory of Madeira Project [M1420-01-0145FEDER-000001]; FCT [UIDB/04292/2020, UIDP/04292/2020, LA/P/0069/2020]; Agencia Regional para o Desenvolvimento da Investigacao, Tecnologia e Inovacao [ARDITI-M1420-09-5369-FSE-000002]; MARE [UI/BD/151020/2021]; FCT-Fundacao para a Ciencia e a Tecnologia [DL57/2016/CP1479/CT0020]; FCT-Fundacao para a Ciencia e Tecnologia, I.P., under the Scientific Employment Stimulus-Institutional Call [CEECINST/00098/2018]; [DL57/2016/CP1339/CT0003]; [MAC2/1.1a/347]</t>
  </si>
  <si>
    <t>Fundo Regional de Ciencia e Tecnologia (FRCT); program ACORES 2020; Oceanic Observatory of Madeira (OOM); CLEANATLANTIC project; ARDITI; FCT-Fundacao para a Ciencia e a Tecnologia, I.P., under the Scientific Employment StimulusInstitutional Calls; IMPLAMAC; MIMAR+; OCEANLIT; Oceanic Observatory of Madeira Project; FCT(Fundacao para a Ciencia e a Tecnologia (FCT)); Agencia Regional para o Desenvolvimento da Investigacao, Tecnologia e Inovacao; MARE; FCT-Fundacao para a Ciencia e a Tecnologia(Fundacao para a Ciencia e a Tecnologia (FCT)); FCT-Fundacao para a Ciencia e Tecnologia, I.P., under the Scientific Employment Stimulus-Institutional Call; ;</t>
  </si>
  <si>
    <t>P.P. was funded by a PhD grant ref. M3.1.a/F/065/2015 by Fundo Regional de Ciencia e Tecnologia (FRCT) and the program ACORES 2020; a research scholarship granted by Oceanic Observatory of Madeira (OOM) ref 1797; and by a post-doctoral research fellowship within the CLEANATLANTIC project (ARDITI-CLEAN-ATLANTIC-2022-01). J.G.M. was supported by post-doctoral research fellowship by ARDITI (ARDITI-M1420-09-5369-FSE-000002) and by national funds through FCT-Fundacao para a Ciencia e a Tecnologia, I.P., under the Scientific Employment StimulusInstitutional Calls-(CEEC-INST/00037/2021). F.G. was supported by a post-doctoral research fellowship granted by ARDITI in the framework of the projects RAGES (ARDITI-RAGES-2019-001), IMPLAMAC (MAC2/1.1a/265), MIMAR+ (MAC2/4.6d/249), and OCEANLIT (MAC2/4.6d/302). R.M.-E. was financially supported by the Oceanic Observatory of Madeira Project (M1420-01-0145FEDER-000001-Observatorio Oceanico da Madeira-OOM). F.A. (Filipe Alves) had the support of the FCT project through UIDB/04292/2020 and UIDP/04292/2020 granted to MARE. S.C. was financially supported by doctoral fellowships by Agencia Regional para o Desenvolvimento da Investigacao, Tecnologia e Inovacao (ARDITI-M1420-09-5369-FSE-000002). S.A. was financially supported by doctoral fellowship by MARE ref UI/BD/151020/2021. M.P.P. is funded by FCT-Fundacao para a Ciencia e a Tecnologia, through researcher contract DL57/2016/CP1479/CT0020. F.A. (Frederico Almada) had the support through researcher contract DL57/2016/CP1339/CT0003 and the FCT through the strategic project UIDB/04292/2020 awarded to MARE and through the project LA/P/0069/2020 granted to the Associate Laboratory ARNET. J.C.-C. is funded by national funds through FCT-Fundacao para a Ciencia e Tecnologia, I.P., under the Scientific Employment Stimulus-Institutional Call-[CEECINST/00098/2018]. This work was partially supported by the following projects: PLASMAR+ (MAC2/1.1a/347) in the framework of the INTERREG MAC 2014-2020 Programme. This study also had the support of FCT through the strategic project UIDB/04292/2020 awarded to MARE and through project LA/P/0069/2020 granted to the Associate Laboratory ARNET.</t>
  </si>
  <si>
    <t>2077-1312</t>
  </si>
  <si>
    <t>J MAR SCI ENG</t>
  </si>
  <si>
    <t>J. Mar. Sci. Eng.</t>
  </si>
  <si>
    <t>10.3390/jmse11020438</t>
  </si>
  <si>
    <t>Engineering, Marine; Engineering, Ocean; Oceanography</t>
  </si>
  <si>
    <t>Engineering; Oceanography</t>
  </si>
  <si>
    <t>9L2UB</t>
  </si>
  <si>
    <t>WOS:000941408400001</t>
  </si>
  <si>
    <t>White, SM; Mapleston, A; Pratchett, MS; Cabral, RB</t>
  </si>
  <si>
    <t>White, Sophie M.; Mapleston, Amos; Pratchett, Morgan S.; Cabral, Reniel B.</t>
  </si>
  <si>
    <t>The 20-year Queensland's fisheries citizen science program and its potential to support fisheries monitoring - The Keen Angler Program</t>
  </si>
  <si>
    <t>Keen Angler Program; Citizen science; Recreational fisheries; Recreational fisheries monitoring; Fisheries biology; Queensland; Department of primary industries; Australia</t>
  </si>
  <si>
    <t>Species biological and harvest data play a vital role in fisheries monitoring and understanding of the status of fish populations. This includes those dominated by recreational harvest. However, reporting in recreational fisheries is rarely compulsory, limiting the availability of catch or biological data, such as fish age and length, for use in stock assessments. Citizen science programs can be a viable way to collect large and diverse data on harvested fish species. Citizen science programs such as Queensland's (north-eastern Australian state) Department of Primary Industries' Keen Angler Program (KAP) may address this critical data gap. KAP has been in operation since 2005, and here, we describe for the first time KAP and the data collected in the program so far. In particular, we describe the number of donations and samples, the composition of samples, and patterns of donations (i.e., co-occurrence of donated species) collected through KAP over the past 20 years. Over the past 20 years, KAP has received over 55,000 fish from more than 9000 donations, with the south of Queensland having higher donation numbers compared to the north. Most of the fish donated were 'Inshore and Estuarine' species. However, there have been increasing samples of 'Coral reef' species, after their addition to the program in 2017. Recreational fishers also tended to supply multiple species in a single donation, providing insights into the targeting strategy of fishers and their use of marine habitats. The capacity to retain participants and continually contribute data could be a significant factor in the sustainability of the program. The high volume and consistent data of KAP could contribute to supporting fisheries monitoring and management.</t>
  </si>
  <si>
    <t>[White, Sophie M.; Pratchett, Morgan S.; Cabral, Reniel B.] James Cook Univ, Coll Sci &amp; Engn, Townsville, Australia; [White, Sophie M.; Cabral, Reniel B.] James Cook Univ, Ctr Sustainable Trop Fisheries &amp; Aquaculture, Townsville, Australia; [Mapleston, Amos] Dept Primary Ind, Townsville, Australia</t>
  </si>
  <si>
    <t>James Cook University; James Cook University; Department of Primary Industries &amp; Regional Development NSW</t>
  </si>
  <si>
    <t>White, SM; Cabral, RB (corresponding author), James Cook Univ, Coll Sci &amp; Engn, Townsville, Australia.</t>
  </si>
  <si>
    <t>sophie.white2@my.jcu.edu.au; reniel.cabral@jcu.edu.au</t>
  </si>
  <si>
    <t>Pratchett, Morgan/A-9256-2010</t>
  </si>
  <si>
    <t>10.1016/j.fishres.2026.107668</t>
  </si>
  <si>
    <t>DK5UM</t>
  </si>
  <si>
    <t>WOS:001685633700001</t>
  </si>
  <si>
    <t>Davies, TK; Stevens, G; Meekan, MG; Struve, J; Rowcliffe, JM</t>
  </si>
  <si>
    <t>Davies, Tim K.; Stevens, Guy; Meekan, Mark G.; Struve, Juliane; Rowcliffe, J. Marcus</t>
  </si>
  <si>
    <t>Can citizen science monitor whale-shark aggregations? Investigating bias in mark-recapture modelling using identification photographs sourced from the public</t>
  </si>
  <si>
    <t>abundance; flickr; photo-identification; online database; resight; survival; threatened species; YouTube</t>
  </si>
  <si>
    <t>RHINCODON-TYPUS; POPULATION-SIZE; SURVIVAL; PHOTOIDENTIFICATION; SEYCHELLES; PROGRAM; OCEAN; TIME</t>
  </si>
  <si>
    <t>Context. The conservation status of the whale shark, Rhincodon typus, remains uncertain. Throughout their range, whale sharks are a focus for wildlife tourism and many identification photographs taken by tourists have become available online, presenting a potentially valuable source of data for monitoring populations using mark-recapture techniques. However, the suitability of these photographs for mark-recapture models has yet to be investigated. Aims. We explore the suitability of identification-photographs available from online databases to produce assessments of life-history parameters and conservation status of whale sharks in the Maldives. Methods. To test the validity of using publically sourced images, we used photo-identification images collected from both experienced researchers and tourists between 2003 and 2008 to construct two databases. Images taken by tourists were compiled from online databases. Researcher and public databases were analysed separately and the results of mark-recapture models then compared. Key results. The dataset constructed from online public databases did not violate the assumptions of mark-recapture modelling. Estimates of parameters and abundance obtained from models using these data were similar to those produced using data provided by experienced researchers. Conclusions. Publically sourced data allowed for the accurate estimation of abundance of whale sharks. These estimates were not confounded by the suitability of photographs, probably because of the high encounter rate in the aggregation, the high residency rate of sharks and the retrospective nature of photo-identification, which limited heterogeneity in capture probability between marked and unmarked sharks. Implications. Our findings support the use of publically sourced data for use in mark-recapture studies of whale sharks, at least in situations where sharks are resident to the location. This approach will be useful in regions where data collected by tourists are available online, and research funding is limited.</t>
  </si>
  <si>
    <t>[Davies, Tim K.] Univ London Imperial Coll Sci Technol &amp; Med, Ascot SL5 7PY, Berks, England; [Stevens, Guy] Maldivian Manta Ray Project, Dorchester DT2 0NT, Dorset, England; [Meekan, Mark G.] Australian Inst Marine Sci, UWA Oceans Inst MO96, Crawley, WA 6009, Australia; [Struve, Juliane] Univ Florida, Gainesville, FL 32653 USA; [Rowcliffe, J. Marcus] Zool Soc London, Inst Zool, London NW1 4RY, England</t>
  </si>
  <si>
    <t>Imperial College London; Australian Institute of Marine Science; University of Western Australia; State University System of Florida; University of Florida; Zoological Society of London</t>
  </si>
  <si>
    <t>Davies, TK (corresponding author), Univ London Imperial Coll Sci Technol &amp; Med, Silwood Pk Campus, Ascot SL5 7PY, Berks, England.</t>
  </si>
  <si>
    <t>timothy.davies08@imperial.ac.uk</t>
  </si>
  <si>
    <t>; Rowcliffe, Marcus/G-3713-2018</t>
  </si>
  <si>
    <t>Meekan, Mark/0000-0002-3067-9427; Rowcliffe, Marcus/0000-0002-4286-6887</t>
  </si>
  <si>
    <t>10.1071/WR12092</t>
  </si>
  <si>
    <t>055YL</t>
  </si>
  <si>
    <t>WOS:000312453900005</t>
  </si>
  <si>
    <t>Gerovasileiou, V; Dailianis, T; Panteri, E; Michalakis, N; Gatti, G; Sini, M; Dimitriadis, C; Issaris, Y; Salomidi, M; Filiopoulou, I; Dogan, A; d'Avray, LTD; David, R; Çinar, ME; Koutsoubas, D; Féral, JP; Arvanitidis, C</t>
  </si>
  <si>
    <t>Gerovasileiou, Vasilis; Dailianis, Thanos; Panteri, Emmanouela; Michalakis, Nikitas; Gatti, Giulia; Sini, Maria; Dimitriadis, Charalampos; Issaris, Yiannis; Salomidi, Maria; Filiopoulou, Irene; Dogan, Alper; d'Avray, Laure Thierry de Ville; David, Romain; Cinar, Melih Ertan; Koutsoubas, Drosos; Feral, Jean-Pierre; Arvanitidis, Christos</t>
  </si>
  <si>
    <t>CIGESMED for divers: Establishing a citizen science initiative for the mapping and monitoring of coralligenous assemblages in the Mediterranean Sea</t>
  </si>
  <si>
    <t>Coralligenous assemblages; Coralligenous outcrops; coralline reefs; bioherms; biodiversity hotspot; monitoring; citizen science; SCUBA diving; Mediterranean Sea</t>
  </si>
  <si>
    <t>MARINE CONSERVATION; COMMUNITY</t>
  </si>
  <si>
    <t>Background Over the last decade, inventorying and monitoring of marine biodiversity has significantly benefited from the active engagement of volunteers. Although several Citizen Science projects concern tropical reef ecosystems worldwide, none of the existing initiatives has yet specifically focused on their Mediterranean equivalents. Mediterranean coralline reefs, known as coralligenous, are bioherms primarily built by calcifying rhodophytes on hard substrates under dim-light conditions; they are considered hotspots of biodiversity and are extremely popular among divers due to their complex structure, conspicuous biological wealth and high aesthetic value. Nevertheless, data on their distribution, structure and conservation status is lacking for several Mediterranean areas while they are vulnerable to an increasing number of threats. New information In the framework of CIGESMED SeasEra (ERAnet) project a specialized Citizen Science project was launched, aiming to engage enthusiast divers in the study and monitoring of Mediterranean coralligenous assemblages through the gathering of basic information regarding their spatial occurrence, assemblage structure and associated pressures or threats. For its active implementation, a data collection protocol and a multilingual website were developed, comprising an educational module and a data submission platform. Georeferenced data reporting focuses on: (a) basic topographic and abiotic features for the preliminary description of each site, and the creation of data series for sites receiving multiple visits; (b) presence and relative abundance of typical conspicuous species, as well as (c) existence of pressures and imminent threats, for the characterization and assessment of coralligenous assemblages. A variety of tools is provided to facilitate end users, while divers have the choice to report additional information and are encouraged to upload their photographs. The long-term goal is the development of an active community of amateur observers providing widespread and ecologically significant data on coralligenous assemblages.</t>
  </si>
  <si>
    <t>[Gerovasileiou, Vasilis; Dailianis, Thanos; Panteri, Emmanouela; Michalakis, Nikitas; Filiopoulou, Irene; Arvanitidis, Christos] Hellen Ctr Marine Res, Inst Marine Biol Biotechnol &amp; Aquaculture, Iraklion, Greece; [Gatti, Giulia; d'Avray, Laure Thierry de Ville; David, Romain; Feral, Jean-Pierre] Univ Avignon |, Aix Marseille Univ, CNRS,Stn Marine Endoume, Med Inst Biodivers &amp; Marine &amp; Terr Ecol IMBE,IRD, Marseille, France; [Sini, Maria; Koutsoubas, Drosos] Univ Aegean, Sch Environm, Dept Marine Sci, Mitilini, Greece; [Dimitriadis, Charalampos; Koutsoubas, Drosos] Natl Marine Pk Zakynthos, Zakynthos, Greece; [Issaris, Yiannis; Salomidi, Maria] Hellen Ctr Marine Res, Inst Oceanog, Athens, Greece; [Dogan, Alper; Cinar, Melih Ertan] Ege Univ, Fac Fisheries, Dept Hydrobiol, Izmir, Turkey</t>
  </si>
  <si>
    <t>Hellenic Centre for Marine Research; Centre National de la Recherche Scientifique (CNRS); Avignon Universite; Aix-Marseille Universite; Institut de Recherche pour le Developpement (IRD); University of Aegean; Hellenic Centre for Marine Research; Ege University</t>
  </si>
  <si>
    <t>Gerovasileiou, V (corresponding author), Hellen Ctr Marine Res, Inst Marine Biol Biotechnol &amp; Aquaculture, Iraklion, Greece.</t>
  </si>
  <si>
    <t>vgerovas@hcmr.gr</t>
  </si>
  <si>
    <t>; DOĞAN, Alper/ABC-1582-2020; FERAL, Jean-Pierre/N-1895-2018; DAVID, Romain/AAA-5373-2020; Arvanitidis, Christos/J-1540-2016; Gerovasileiou, Vasilis/H-6376-2019; CINAR, Melih Ertan/H-3737-2013; Dailianis, Thanos/G-9145-2011; Dimitriadis, Charalampos/AAF-6504-2020; Issaris, Yiannis/N-2402-2016</t>
  </si>
  <si>
    <t>FILIOPOULOU, EIRINI/0000-0003-0280-4777; DOĞAN, Alper/0000-0002-4871-4059; Salomidi, Maria/0000-0002-7514-3562; FERAL, Jean-Pierre/0000-0001-7627-0160; DAVID, Romain/0000-0003-4073-7456; Arvanitidis, Christos/0000-0002-6924-5255; Gerovasileiou, Vasilis/0000-0002-9143-7480; Panteri, Emmanouela/0000-0002-1075-4215; CINAR, Melih Ertan/0000-0002-1802-2801; Dailianis, Thanos/0000-0002-4102-9331; Dimitriadis, Charalampos/0000-0002-8381-4362; SINI, MARIA/0000-0002-9608-3503;</t>
  </si>
  <si>
    <t>e8692</t>
  </si>
  <si>
    <t>10.3897/BDJ.4.e8692</t>
  </si>
  <si>
    <t>VH0GB</t>
  </si>
  <si>
    <t>WOS:000449618200117</t>
  </si>
  <si>
    <t>Gisondi, S; Giardullo, P; Lenzi, A; Di Buccio, E; Roversi, PF; Campanaro, A</t>
  </si>
  <si>
    <t>Gisondi, Silvia; Giardullo, Paolo; Lenzi, Alice; Di Buccio, Emanuele; Roversi, Pio Federico; Campanaro, Alessandro</t>
  </si>
  <si>
    <t>Engaging me softly: Comparing social drivers for continuative citizens' participation in a long-term citizen science initiative on protected species monitoring</t>
  </si>
  <si>
    <t>ENGAGEMENT; CONSERVATION; SUPPORT; SPACE</t>
  </si>
  <si>
    <t>The engagement of volunteers in Citizen Science (CS) projects is a relevant issue that needs to be addressed to ensure long-term sustainability, scientific relevance, and public participation. Given this, the present paper analyses the social drivers of volunteers' involvement in a long-term CS initiative to monitor protected species and habitats all over Italian national territory. This initiative was initially born as the LIFE11 NAT/IT/000252 MIPP (Monitoring of Insects with Public Participation), then changed name to InNat benefitting from Italian national fundings, and it finally ended in 2024. Overall, it counts more than 1600 participants to whom a dedicated survey was submitted in 2022 to compare and analyse different factors potentially driving participation (potential enablers) and fostering engagement within the project. Based on the survey results (22.3% response rate of 1632 invitations sent), different drivers for participation are modelled (socio-demographic features, interest in scientific topics, environmental attitudes) considering the following main factors: (i) the level of commitment to the initiative, (ii) the seniority of the citizen scientist involved, (iii) the attitudes towards nature conservation and species monitoring, (iv) the value assigned to CS activities. In this context, socio-demographic variables have been compared to attitudes and practices connected to open-air monitoring activities (e.g., recording protected species and habitats by taking pictures in nature). The proposed analyses tackle a variety of cultural and social components as well as their relationship, highlighting some of the features (e.g., active interest in CS activities reverberating in both commitments to engage other volunteers and active search for CS initiatives) that characterize constant participation. We classified volunteers into two categories (i.e., Consistent Volunteers and Non-Consistent Volunteers), comparing these two categories along potential enablers of engagement. Results show homogeneity among volunteers for several parameters (e.g., similar education level, age, occupational status) but also differences in personal motivation and active interest in citizen science initiatives.</t>
  </si>
  <si>
    <t>[Gisondi, Silvia] CREA Res Ctr Plant Protect &amp; Certificat, Rome, Italy; [Giardullo, Paolo; Di Buccio, Emanuele] Univ Padua, Dept Philosophy Sociol Educ &amp; Appl Psychol, via Melchiorre Cesarotti, Padua, Italy; [Lenzi, Alice; Roversi, Pio Federico; Campanaro, Alessandro] CREA Res Ctr Plant Protect &amp; Certificat, Florence, Italy; [Lenzi, Alice] Univ Siena, Dept Life Sci, Siena, Italy; [Di Buccio, Emanuele] Univ Padua, Dept Informat Engn, Padua, Italy; [Di Buccio, Emanuele] Padova Univ, Dept Stat Sci, Padua, Italy</t>
  </si>
  <si>
    <t>University of Padua; University of Siena; University of Padua; University of Padua</t>
  </si>
  <si>
    <t>Giardullo, P (corresponding author), Univ Padua, Dept Philosophy Sociol Educ &amp; Appl Psychol, via Melchiorre Cesarotti, Padua, Italy.</t>
  </si>
  <si>
    <t>paolo.giardullo@unipd.it</t>
  </si>
  <si>
    <t>CAMPANARO, ALESSANO/B-4965-2010; Giardullo, Paolo/AAQ-1455-2021; Lenzi, Alice/MIK-9859-2025</t>
  </si>
  <si>
    <t>CAMPANARO, ALESSANO/0000-0003-4043-6362; Giardullo, Paolo/0000-0002-2560-9088;</t>
  </si>
  <si>
    <t>European Union-NextGenerationEU [3175]; [3138]</t>
  </si>
  <si>
    <t>European Union-NextGenerationEU;</t>
  </si>
  <si>
    <t>National Recovery and Resilience Plan (NRRP), Mission 4, Component 2 Investment 1.4-Call for tender No. 3138 of December 2021, rectified by Decree n.3175 of 18 December 2021 of Italian Ministry of University and Research funded by the European Union-NextGenerationEU. The funders had role in study design, data collection and analysis, decision to publish, or preparation of the manuscript.</t>
  </si>
  <si>
    <t>e0324701</t>
  </si>
  <si>
    <t>10.1371/journal.pone.0324701</t>
  </si>
  <si>
    <t>3TZ7C</t>
  </si>
  <si>
    <t>WOS:001508974100015</t>
  </si>
  <si>
    <t>Gibson, DJ; Benda, CD; Felsl, I; Kiefer, G</t>
  </si>
  <si>
    <t>Gibson, David J.; Benda, Christopher D.; Felsl, Ingrid; Kiefer, Gretel</t>
  </si>
  <si>
    <t>Challenges in the establishment of a rare plant species monitoring program using community science volunteers</t>
  </si>
  <si>
    <t>citizen science; community scientists; data quality; environmental engagement; rare plant monitoring; recruitment strategies; volunteers</t>
  </si>
  <si>
    <t>CITIZEN SCIENCE; FRAMEWORK; SCALE</t>
  </si>
  <si>
    <t>Community science programs enable the collection of large amounts of important data and enhance the appreciation of science among members of the public. However, there are challenges in the establishment of successful community science programs. We report the challenges associated with the recent establishment of a community science program to monitor rare plants in the geographically diverse southern Illinois, USA region. Over the first 3 years, our program has been successful in the collection of over 250 monitoring records for rare species through the recruitment of a group of passionate volunteers. However, our volunteers are predominantly middle-income, college educated, white females who are not representative of the population at large of the region. We propose a recruitment strategy to broaden the diversity of our volunteers by better engaging community members who are not typically involved with plant monitoring but are interested in hiking, walking in natural areas, gardening, and restoration activities, and others who would like the opportunity to collaborate with scientists and researchers in addressing an environmental issue. Practical implication: Community science plant monitoring programs face challenges in recruitment, retention, remoteness of field sites and data quality. Addressing these challenges through targeted recruitment strategies aimed at reducing structural and cultural barriers to participation, along with frequent program assessment, is necessary to enhance the success of these programs.</t>
  </si>
  <si>
    <t>[Gibson, David J.; Benda, Christopher D.] Southern Illinois Univ Carbondale, Sch Biol Sci, Carbondale, IL 62901 USA; [Benda, Christopher D.; Felsl, Ingrid; Kiefer, Gretel] Negaunee Inst Plant Conservat Sci &amp; Act, Chicago Bot Garden, Glencoe, IL USA</t>
  </si>
  <si>
    <t>Southern Illinois University System; Southern Illinois University</t>
  </si>
  <si>
    <t>Gibson, DJ (corresponding author), Southern Illinois Univ Carbondale, Sch Biol Sci, Carbondale, IL 62901 USA.</t>
  </si>
  <si>
    <t>djgibson@siu.edu</t>
  </si>
  <si>
    <t>Gion, David/HTQ-3690-2023</t>
  </si>
  <si>
    <t>Gion, David/0000-0002-0308-7506</t>
  </si>
  <si>
    <t>Southern Illinois University Carbondale [45 CFR 46.102]; Southern Illinois Plants of Concern Program [DUE 1758497]</t>
  </si>
  <si>
    <t>Southern Illinois University Carbondale; Southern Illinois Plants of Concern Program</t>
  </si>
  <si>
    <t>We thank the community science volunteers who contribute to the success of the southern Illinois Plants of Concern Program. The SIUC Institutional Review Board considered exempt our volunteer survey under the regulatory definition of human subject research at 45 CFR 46.102. The Southern Illinois Plants of Concern Program was supported by funds from an anonymous donor. D.J.G. and I.F. were partially supported by NSF award DUE 1758497 to Southern Illinois University Carbondale.</t>
  </si>
  <si>
    <t>NOV 30</t>
  </si>
  <si>
    <t>e12400</t>
  </si>
  <si>
    <t>10.1002/2688-8319.12400</t>
  </si>
  <si>
    <t>O3A7K</t>
  </si>
  <si>
    <t>WOS:001369905000001</t>
  </si>
  <si>
    <t>Wright-Ueda, JM; Dirzo, R; Mcfadden, TN</t>
  </si>
  <si>
    <t>Wright-Ueda, Julien M.; Dirzo, Rodolfo; Mcfadden, Tyler N.</t>
  </si>
  <si>
    <t>Mixed population trends inside a California protected area: Evidence from long-term community science monitoring</t>
  </si>
  <si>
    <t>citizen science; conservation; management; North American Breeding Bird Survey; R-INLA</t>
  </si>
  <si>
    <t>LAND-USE CHANGE; NESTING BIRDS; DIVERSITY; IMPACTS; EBIRD</t>
  </si>
  <si>
    <t>Protected areas are one of the most widespread and accepted conservation interventions, yet population trends of species within protected areas are rarely compared with regional trends to gain insight into their effectiveness. Here, we leverage two long-term community science datasets, finding mixed effects of protected areas on long-term bird population trends. We analysed 31 years of bird transect data recorded by community volunteers across all major habitats of Stanford University's Jasper Ridge Biological Preserve to determine the population trends for a sample of 66 species. We found that nearly a third of species experienced long-term declines, and on average, species declined by 12%. Further, we averaged species trends by conservation status and key life history attributes to identify correlates and possible drivers of these trends. Observed increases in some cavity-nesters and declines of scrub-associated species suggest that long-term fire suppression may be a key driver, reshaping bird communities through changes in forest and chaparral structure and composition. Additionally, we compared our results with those of the North American Breeding Bird Survey's Central California Coast region (n = 55 species) to place Jasper Ridge in a broader context. Most species experienced similar directional population trends inside and outside of the preserve and only eight species (14.5%) did better inside this small protected area. Therefore, we must identify relevant management strategies for declining populations and explicitly consider how existing protected areas target and manage each species. Further, this analysis underlines the importance of local and national community science for revealing long-term bird population trends.</t>
  </si>
  <si>
    <t>[Wright-Ueda, Julien M.; Dirzo, Rodolfo; Mcfadden, Tyler N.] Stanford Univ, Dept Biol, 371 Jane Stanford Way, Stanford, CA 94305 USA; [Mcfadden, Tyler N.] Oregon State Univ, Coll Earth Ocean &amp; Atmospher Sci, 104 CEOAS Admin Bldg, Corvallis, OR 97331 USA</t>
  </si>
  <si>
    <t>Stanford University; Oregon State University</t>
  </si>
  <si>
    <t>Wright-Ueda, JM (corresponding author), Stanford Univ, Dept Biol, 371 Jane Stanford Way, Stanford, CA 94305 USA.</t>
  </si>
  <si>
    <t>julien21@alumni.stanford.edu</t>
  </si>
  <si>
    <t>; McFadden, Tyler/AAG-7865-2021</t>
  </si>
  <si>
    <t>Wright-Ueda, Julien/0000-0002-2731-5497; McFadden, Tyler/0000-0002-9593-3895</t>
  </si>
  <si>
    <t>We thank the Muwekma Ohlone people for their millennia of stewardship of our study site; the Jasper Ridge Biological Preserve staff for their support, particularly Trevor Hbert for compiling the bird transect dataset; the many Jasper Ridge bird tra; Stanford University; Stanford University</t>
  </si>
  <si>
    <t>We thank the Muwekma Ohlone people for their millennia of stewardship of our study site; the Jasper Ridge Biological Preserve staff for their support, particularly Trevor Hbert for compiling the bird transect dataset; the many Jasper Ridge bird tra; Stanford University(Stanford University); Stanford University(Stanford University)</t>
  </si>
  <si>
    <t>Stanford University</t>
  </si>
  <si>
    <t>10.1111/ibi.13280</t>
  </si>
  <si>
    <t>R2Y9X</t>
  </si>
  <si>
    <t>WOS:001099825500001</t>
  </si>
  <si>
    <t>Torre, I; López-Baucells, A; Stefanescu, C; Freixas, L; Flaquer, C; Bartrina, C; Coronado, A; López-Bosch, D; Mas, M; Míguez, S; Muñoz, J; Páramo, F; Puig-Montserrat, X; Tuneu-Corral, C; Ubach, A; Arrizabalaga, A</t>
  </si>
  <si>
    <t>Torre, Ignasi; Lopez-Baucells, Adria; Stefanescu, Constanti; Freixas, Lidia; Flaquer, Carles; Bartrina, Carme; Coronado, Alba; Lopez-Bosch, David; Mas, Maria; Miguez, Silvia; Munoz, Joaquim; Paramo, Ferran; Puig-Montserrat, Xavier; Tuneu-Corral, Carme; Ubach, Andreu; Arrizabalaga, Antoni</t>
  </si>
  <si>
    <t>Concurrent Butterfly, Bat and Small Mammal Monitoring Programmes Using Citizen Science in Catalonia (NE Spain): A Historical Review and Future Directions</t>
  </si>
  <si>
    <t>bioindicators; volunteers; sampling protocols; species diversity; conservation; population trends</t>
  </si>
  <si>
    <t>DORMOUSE GLIS-GLIS; SPECIES RICHNESS; EDIBLE DORMOUSE; NORTHEAST SPAIN; BIODIVERSITY; POPULATIONS; FORESTS; BIRD; CONSERVATION; VOLUNTEERS</t>
  </si>
  <si>
    <t>The Biodiversity and Bioindicators research group (BiBIO), based at the Natural Sciences Museum of Granollers, has coordinated four long-term faunal monitoring programmes based on citizen science over more than two decades in Catalonia (NE Spain). We summarize the historical progress of these programmes, describing their main conservation outputs, the challenges overcome, and future directions. The Catalan Butterfly Monitoring Scheme (CBMS) consists of a network of nearly 200 recording sites where butterfly populations have been monitored through visual censuses along transects for nearly three decades. This programme provides accurate temporal and spatial changes in the abundance of butterflies and relates them to different environmental factors (e.g., habitat and weather conditions). The Bat Monitoring Programme has progressively evolved to include passive acoustic monitoring protocols, as well as bat box-, underground- and river-bat surveys, and community ecological indices have been developed to monitor bat responses at assemblage level to both landscape and climatic changes. The Monitoring of common small mammals in Spain (SEMICE), a common small mammal monitoring programme with almost 80 active live-trapping stations, provides information to estimate population trends and has underlined the relevance of small mammals as both prey (of several predators) and predators (of insect forest pests). The Dormouse Monitoring Programme represents the first monitoring programme in Europe using specific nest boxes for the edible dormouse, providing information about biological and demographic data of the species at the southern limit of its distribution range. The combination and complementarity of these monitoring programmes provide crucial data to land managers to improve the understanding of conservation needs and develop efficient protection laws.</t>
  </si>
  <si>
    <t>[Torre, Ignasi; Lopez-Baucells, Adria; Stefanescu, Constanti; Freixas, Lidia; Flaquer, Carles; Bartrina, Carme; Coronado, Alba; Lopez-Bosch, David; Mas, Maria; Miguez, Silvia; Munoz, Joaquim; Paramo, Ferran; Puig-Montserrat, Xavier; Tuneu-Corral, Carme; Ubach, Andreu; Arrizabalaga, Antoni] Nat Sci Museum Granollers, BiBio Res Grp, C Francesc Macia 51, Granollers 08402, Spain</t>
  </si>
  <si>
    <t>Torre, I (corresponding author), Nat Sci Museum Granollers, BiBio Res Grp, C Francesc Macia 51, Granollers 08402, Spain.</t>
  </si>
  <si>
    <t>itorre@mcng.cat; albaucells@mcng.cat; cstefanescu@mcng.cat; lfreixas@mcng.cat; cflaquer@mcng.cat; cbartrina@mcng.cat; acoronado@mcng.cat; dlbosch@mcng.cat; mmas@mcng.cat; smiguez@mcng.cat; qmunoz@mcng.cat; fparamo@mcng.cat; xpuig@mcng.cat; ctuneu@mcng.cat; aubach@mcng.cat; arrizabalaga@mcng.cat</t>
  </si>
  <si>
    <t>; López-Bosch, David/AFC-9753-2022; Flaquer, Carles/H-7559-2015; Mas, Maria/AFR-6949-2022; López-Baucells, Aià/H-6562-2019; Ubach, Aneu/KFB-1794-2024</t>
  </si>
  <si>
    <t>Coronado Gomis, Alba/0000-0002-3600-6231; Torre, Ignasi/0000-0002-4803-9524; López-Bosch, David/0000-0002-6185-4902; Freixas, Lídia/0009-0002-1314-0347; Flaquer, Carles/0000-0002-8618-9005; Mas, Maria/0000-0001-9309-5413; Stefanescu, Constanti/0000-0001-8952-7869; Míguez, Silvia/0009-0004-8838-8456; López-Baucells, Aià/0000-0001-8446-0108; Ubach, Aneu/0000-0002-0418-3794; Puig-Montserrat, Xavier/0000-0002-2670-321X</t>
  </si>
  <si>
    <t>Catalan Government (Generalitat de Catalunya) [DB201804]; Barcelona Provincial Council (Diputacio de Barcelona) [2015/3456, 2019/0007297]</t>
  </si>
  <si>
    <t>Catalan Government (Generalitat de Catalunya)(Generalitat de Catalunya); Barcelona Provincial Council (Diputacio de Barcelona)</t>
  </si>
  <si>
    <t>This research was funded by the Catalan Government (Generalitat de Catalunya, DB201804) and the Barcelona Provincial Council (Diputacio de Barcelona: reference numbers 2015/3456 and 2019/0007297).</t>
  </si>
  <si>
    <t>10.3390/d13090454</t>
  </si>
  <si>
    <t>UU8WI</t>
  </si>
  <si>
    <t>WOS:000699074700001</t>
  </si>
  <si>
    <t>Dubaic, JB; Lanner, J; Rohrbach, C; Meimberg, H; Wyatt, F; Cacija, M; Galesic, M; Jesovnik, A; Samurovic, K; Plecas, M; Raicevic, J; Cetkovic, A</t>
  </si>
  <si>
    <t>Dubaic, J. Bila; Lanner, J.; Rohrbach, C.; Meimberg, H.; Wyatt, F.; Cacija, M.; Galesic, M.; Jesovnik, A.; Samurovic, K.; Plecas, M.; Raicevic, J.; Cetkovic, A.</t>
  </si>
  <si>
    <t>Towards a real-time tracking of an expanding alien bee species in Southeast Europe through citizen science and floral host monitoring</t>
  </si>
  <si>
    <t>ENVIRONMENTAL RESEARCH COMMUNICATIONS</t>
  </si>
  <si>
    <t>Megachile sculpturalis; non-native range; Balkans; urban landscape; solitary wild bee</t>
  </si>
  <si>
    <t>MEGACHILE-SCULPTURALIS SMITH; 1853 HYMENOPTERA; RANGE EXPANSION; 1ST RECORDS; COLONIZATION; INVASIONS; APOIDEA; SERBIA; APIDAE</t>
  </si>
  <si>
    <t>Citizen science, a practice of public participation in scientific projects, is popular in Western countries, however, it is still a relatively novel approach in Southeast Europe. In this region, citizen science can be a useful tool for increasing the understanding of alien species. One such species is the sculptured resin bee, Megachile sculpturalis, a putatively invasive alien pollinator native to East Asia. It was introduced to France in 2008, from where it quickly spread across West and Central Europe. However, our knowledge of its eastern distribution is scarce since it is based mostly on isolated findings. We combined citizen science and data extraction from online sources (e.g., naturalist's databases and social media) covering 6 years, and 3 years of targeted floral resource monitoring in the search for M. sculpturalis across regions of southeastern Europe. We collected presence data and information on M. sculpturalis abundances across an urban-rural gradient from eight countries: Hungary, Slovenia, Croatia, Serbia, Bosnia and Herzegovina, Montenegro, Romania, Bulgaria, and the region of the Crimean Peninsula. We present the first country records for Romania, Bulgaria, and Montenegro, identify the dynamic expansion front in southern Serbia and provide new southernmost occurrences in Southeast Europe. We also collected data on species ecology (e.g., phenology, pollen/nectar sources, nest characteristics) and gathered evidence of reproducing populations of this species across the studied region. Citizen science data provided a five times larger spatial coverage, including recordings from remote locations, than the data collected by expert field surveys and provided critical additional data about the species biology, thanks to exceptionally engaged participants. We emphasize the importance of close collaboration between regional scientist teams and citizen participants and the benefits of this approach for monitoring a species with a continent-wide spread potential.</t>
  </si>
  <si>
    <t>[Dubaic, J. Bila; Plecas, M.; Raicevic, J.; Cetkovic, A.] Univ Belgrade, Fac Biol, Studentski Trg 16, Belgrade, Serbia; [Lanner, J.; Meimberg, H.; Wyatt, F.] Univ Nat Resources &amp; Life Sci, Inst Integrat Conservat Res, Dept Integrat Biol &amp; Biodivers Res, Gregor Mendel Str 33, A-1080 Vienna, Austria; [Rohrbach, C.] Univ Salzburg, Dept Geoinformat Z GIS, Kapitelgasse 4-6, Salzburg, Austria; [Cacija, M.; Galesic, M.] Univ Zagreb, Fac Agr, Svetosimunska Cesta 25, Zagreb, Croatia; [Jesovnik, A.] Inst Environm &amp; Nat, Nat Sect, Radnicka Cesta 80, Zagreb, Croatia; [Samurovic, K.] Singidunum Univ, Environm &amp; Sustainable Dev, Danijelova 32, Belgrade, Serbia</t>
  </si>
  <si>
    <t>University of Belgrade; BOKU University; Salzburg University; University of Zagreb</t>
  </si>
  <si>
    <t>Dubaic, JB (corresponding author), Univ Belgrade, Fac Biol, Studentski Trg 16, Belgrade, Serbia.</t>
  </si>
  <si>
    <t>jovanabila@bio.bg.ac.rs</t>
  </si>
  <si>
    <t>Raičević, Jovana/ODN-0834-2025; Bila Dubaić, Jovana/AAS-3661-2021; Čačija, Maja/K-3057-2018; Plećaš, Milan/AFN-6669-2022</t>
  </si>
  <si>
    <t>Raičević, Jovana/0000-0002-6171-909X; Samurović, Katarina/0000-0003-4665-8791; Rohrbach, Christa/0000-0001-6564-9036; Bila Dubaić, Jovana/0000-0001-8359-0680; Lanner, Julia/0000-0003-0540-5309; Galešić, Marija Anijana/0000-0002-9558-6758; Plećaš, Milan/0000-0001-5551-8550</t>
  </si>
  <si>
    <t>Ministry of Education, Science and Technological Development of the Republic of Serbia [III43001: 2011-2019, 451-03-68/2020-14/200178: 2020]; DOCFellowship of the Austrian Academy of Sciences at the Institute of Integrative Nature Conservation Research at the University of Natural Resources and Life Sciences; Agency for Education and Internationalization, Mobility Programs and Multilateral Cooperation (OeAD) [RS 11/2022]; GHGAuctioning Revenues for the Republic of Croatia from the EU ETS (European Emissions Trading System)</t>
  </si>
  <si>
    <t>Ministry of Education, Science and Technological Development of the Republic of Serbia(Ministry of Education, Science &amp; Technological Development, Serbia); DOCFellowship of the Austrian Academy of Sciences at the Institute of Integrative Nature Conservation Research at the University of Natural Resources and Life Sciences; Agency for Education and Internationalization, Mobility Programs and Multilateral Cooperation (OeAD); GHGAuctioning Revenues for the Republic of Croatia from the EU ETS (European Emissions Trading System)</t>
  </si>
  <si>
    <t>Weare grateful to everyone who contributed to disseminating information about our research projects. We sincerely thank all participants of our citizen science programs, especiallyCIvic, MMaric, A Zivadinovic, T Lainovic, P Radenovic, B Varga, DPetrovic, B Radeka, I Budinski, J Kolarski, VJanic, KMeszaros, MStevanovic, B Hric, T Stanojevic, FBuzleta, NPotrebic, DJovcev and B Gajic for their energy and time. Wewould also like to thank A. Stefan-Fotin for providing the first record of M. sculpturalis for Romania, KValcheva for providing details about the first Bulgarian record and Oleksandr Burkovsky and Kostiantyn Pylypiuk for details on nesting females in Odessa, Ukraine. Weexpress our gratitude to R. Samurovic for inventing and constructing an `emergence cage' that enabled nest observation and for providing us with a valuable photo documentation of nesting events. Wethank our youngest participant I. Samurovic for tireless observation of the nests. We acknowledge the support of our colleaguesDBevk, B Koderman, AGogala, B Vilotic, and P Eric for sharing their unpublished data. Special thanks go to our botanist colleague SDurovic, for helping us with plant identification. JBD and JL are co-first, equally contributing authors and conceived the study. JBD, JL, MP, JR, FW, MC, MG, HM, AJ, and ACacquired the data. The authors JBD, JL and CR developed the maps. KS andCR contributed as `super citizen scientists' in the framework of the participative programs. JBD, JL, ML, and ACwrote the manuscript. All authors contributed to the final manuscript and approved the content. Except for the co-first and last author, all others are listed alphabetically. Authors JBD, MP, JR, and ACwere partly supported through the long-term project funded by the Ministry of Education, Science and Technological Development of the Republic of Serbia (#III43001: 2011-2019;#451-03-68/2020-14/200178: 2020); JL was partly supported by a DOCFellowship of the Austrian Academy of Sciences at the Institute of Integrative Nature Conservation Research at the University of Natural Resources and Life Sciences. JL, HM, JBD, and ACwere partly supported by the Agency for Education and Internationalization, Mobility Programs and Multilateral Cooperation (OeAD, Project no. RS 11/2022). AJ is funded fromGHGAuctioning Revenues for the Republic of Croatia from the EU ETS (European Emissions Trading System).</t>
  </si>
  <si>
    <t>2515-7620</t>
  </si>
  <si>
    <t>ENVIRON RES COMMUN</t>
  </si>
  <si>
    <t>Environ. Res. Commun.</t>
  </si>
  <si>
    <t>10.1088/2515-7620/ac8398</t>
  </si>
  <si>
    <t>3P2VD</t>
  </si>
  <si>
    <t>WOS:000837395900001</t>
  </si>
  <si>
    <t>de Virgilio, M; Cifarelli, S; de Gennaro, P; Garofoli, G; Degryse, B</t>
  </si>
  <si>
    <t>de Virgilio, Maddalena; Cifarelli, Salvatore; de Gennaro, Paolo; Garofoli, Giuseppe; Degryse, Bernard</t>
  </si>
  <si>
    <t>A first attempt of citizen science in the genetic monitoring of a Posidonia oceanica meadow in the Italian Southern Adriatic Sea</t>
  </si>
  <si>
    <t>Posidonia oceanica; Seagrass; Underwater visual census; Micro satellite genotyping; Citizen science; Epiphyte</t>
  </si>
  <si>
    <t>SEAGRASS MEADOWS; SPATIAL VARIABILITY; DIVERSITY; NUTRIENT; ASSEMBLAGES; DYNAMICS; PATTERNS; REPRODUCTION; ECOSYSTEMS; EPIPHYTES</t>
  </si>
  <si>
    <t>The endemic Mediterranean seagrass Posidonia oceanica (L.) Delile forms meadows of great ecological importance that are presently under elevated anthropogenic pressures. In this study, a model of citizens' observatory has been translated into practice to observe and monitor the health status of the Site of Community Importance, the Posidonia oceanica meadow named San Vito-Barletta extending along the coast of Apulia region in the Italian Southern Adriatic Sea. This meadow has been lately classified as disturbed. With the goal of gathering relevant data for the management and conservation of this meadow, we conducted underwater visual census of the epiphytes on P. oceanica leaves. Complementarily, population genetics analysis using highly variable microsatellites markers was carried out. Two campaigns of surveys in three different stations (Molfetta, Giovinazzo and Mola di Bari) revealed that the distribution of the epiphytic communities was not uniform among the meadow. In Molfetta station, the leaf-epiphytes biomass was visibly more abundant with increased filamentous epiphytes. The genetic analysis revealed that the San Vito-Barletta meadow shows an excess of heterozygosity and demonstrated the existence of at least two subpopulations. Since the sampling areas are situated along the coasts of different Apulian cities, this situation may reflect the diverse anthropogenic factors that vary from city to city. Therefore, as local citizens' observatory, we now have to undertake the necessary actions to raise general public awareness of the need of this species protection at Apulian level and to promote good conservation practices before the meadow regresses irreversibly.</t>
  </si>
  <si>
    <t>[de Virgilio, Maddalena; Cifarelli, Salvatore; de Gennaro, Paolo; Garofoli, Giuseppe; Degryse, Bernard] Osservatorio Mare Molfetta, Via San Domenico 36, I-70056 Molfetta, BA, Italy; [de Virgilio, Maddalena] Natl Council Res, Inst Biosci &amp; Bioresources, Via Amendola 165-A, I-70056 Bari, Italy</t>
  </si>
  <si>
    <t>de Virgilio, M (corresponding author), Osservatorio Mare Molfetta, Via San Domenico 36, I-70056 Molfetta, BA, Italy.</t>
  </si>
  <si>
    <t>This research did not receive any specific grant from funding agencies in the public, commercial, or not-for-profit sectors. This work was financially supported by volunteers/members of the Osservatorio del Mare a Molfetta, Italy.</t>
  </si>
  <si>
    <t>10.1016/j.jnc.2020.125826</t>
  </si>
  <si>
    <t>MV1UH</t>
  </si>
  <si>
    <t>WOS:000556148300002</t>
  </si>
  <si>
    <t>Khalighifar, A; Jiménez-García, D; Campbell, LP; Ahadji-Dabla, KM; Aboagye-Antwi, F; Ibarra-Juárez, LA; Peterson, AT</t>
  </si>
  <si>
    <t>Khalighifar, Ali; Jimenez-Garcia, Daniel; Campbell, Lindsay P.; Ahadji-Dabla, Koffi Mensah; Aboagye-Antwi, Fred; Arturo Ibarra-Juarez, Luis; Peterson, A. Townsend</t>
  </si>
  <si>
    <t>Application of Deep Learning to Community-Science-Based Mosquito Monitoring and Detection of Novel Species</t>
  </si>
  <si>
    <t>convolutional neural networks; bioacoustics; vector-borne diseases; transfer learning; smartphones</t>
  </si>
  <si>
    <t>FLIGHT TONE; AUTOMATED IDENTIFICATION; ANOPHELES-GAMBIAE; CLIMATE-CHANGE; DIPTERA; DENGUE</t>
  </si>
  <si>
    <t>Mosquito-borne diseases account for human morbidity and mortality worldwide, caused by the parasites (e.g., malaria) or viruses (e.g., dengue, Zika) transmitted through bites of infected female mosquitoes. Globally, billions of people are at risk of infection, imposing significant economic and public health burdens. As such, efficient methods to monitor mosquito populations and prevent the spread of these diseases are at a premium. One proposed technique is to apply acoustic monitoring to the challenge of identifying wingbeats of individual mosquitoes. Although researchers have successfully used wingbeats to survey mosquito populations, implementation of these techniques in areas most affected by mosquito-borne diseases remains challenging. Here, methods utilizing easily accessible equipment and encouraging community-scientist participation are more likely to provide sufficient monitoring. We present a practical, community-science-based method of monitoring mosquito populations using smartphones. We applied deep-learning algorithms (TensorFlow Inception v3) to spectrogram images generated from smartphone recordings associated with six mosquito species to develop a multiclass mosquito identification system, and flag potential invasive vectors not present in our sound reference library. Though TensorFlow did not flag potential invasive species with high accuracy, it was able to identify species present in the reference library at an 85% correct identification rate, an identification rate markedly higher than similar studies employing expensive recording devices. Given that we used smartphone recordings with limited sample sizes, these results are promising. With further optimization, we propose this novel technique as a way to accurately and efficiently monitor mosquito populations in areas where doing so is most critical.</t>
  </si>
  <si>
    <t>[Khalighifar, Ali; Jimenez-Garcia, Daniel; Peterson, A. Townsend] Univ Kansas, Biodivers Inst, Lawrence, KS 66045 USA; [Khalighifar, Ali; Peterson, A. Townsend] Univ Kansas, Dept Ecol &amp; Evolutionary Biol, Lawrence, KS 66045 USA; [Jimenez-Garcia, Daniel] Benemerita Univ Autonoma Puebla, Ctr Agroecol &amp; Ambiente, Puebla 72960, Mexico; [Campbell, Lindsay P.] Univ Florida, Florida Med Entomol Lab, Vero Beach, FL 32962 USA; [Campbell, Lindsay P.] Univ Florida, Dept Entomol &amp; Nematol, Gainesville, FL 32608 USA; [Ahadji-Dabla, Koffi Mensah] Univ Lome, Fac Sci, Dept Zool &amp; Anim Biol, 01 BP 1515, Lome 01, Togo; [Aboagye-Antwi, Fred] Univ Ghana, Dept Anim Biol &amp; Conservat Sci, POB LG 80, Legon, Ghana; [Arturo Ibarra-Juarez, Luis] Inst Ecol AC, Red Estudios Mol Avanzados, Xalapa 91070, Veracruz, Mexico; [Arturo Ibarra-Juarez, Luis] Inst Ecol AC, Catedras CONACyT, Carretera Antigua Coatepec 351, Xalapa 91073, Veracruz, Mexico; [Khalighifar, Ali] Colorado State Univ, Colorado Cooperat Fish &amp; Wildlife Res Unit, Ft Collins, CO 80521 USA</t>
  </si>
  <si>
    <t>University of Kansas; University of Kansas; Benemerita Universidad Autonoma de Puebla; State University System of Florida; University of Florida; State University System of Florida; University of Florida; University of Lome; University of Ghana; Instituto de Ecologia - Mexico; Instituto de Ecologia - Mexico; Consejo Nacional de Ciencia y Tecnologia (CONACyT); Colorado State University System; Colorado State University Fort Collins</t>
  </si>
  <si>
    <t>Khalighifar, A (corresponding author), Univ Kansas, Biodivers Inst, Lawrence, KS 66045 USA.;Khalighifar, A (corresponding author), Univ Kansas, Dept Ecol &amp; Evolutionary Biol, Lawrence, KS 66045 USA.;Khalighifar, A (corresponding author), Colorado State Univ, Colorado Cooperat Fish &amp; Wildlife Res Unit, Ft Collins, CO 80521 USA.</t>
  </si>
  <si>
    <t>a.khalighifar@colostate.edu</t>
  </si>
  <si>
    <t>Jiménez-García, Daniel/HTL-4808-2023; Peterson, A Townsend/I-5697-2013; AHADJI-DABLA, Koffi Mensah/GPX-8078-2022; Khalighifar, Ali/AAF-3587-2020; Campbell, Lindsay/KYR-3074-2024</t>
  </si>
  <si>
    <t>Jiménez-García, Daniel/0000-0002-2237-3305; Peterson, A Townsend/0000-0003-0243-2379; AHADJI-DABLA, Koffi Mensah/0000-0002-1097-5325; Khalighifar, Ali/0000-0002-2949-8143; Campbell, Lindsay/0000-0001-6069-1198</t>
  </si>
  <si>
    <t>10.1093/jme/tjab161</t>
  </si>
  <si>
    <t>YK1XT</t>
  </si>
  <si>
    <t>WOS:000745015200038</t>
  </si>
  <si>
    <t>Camins, E; Correia, M; Vincent, ACJ</t>
  </si>
  <si>
    <t>Camins, Elsa; Correia, Miguel; Vincent, Amanda C. J.</t>
  </si>
  <si>
    <t>Harnessing Community Science for Seahorse Population Monitoring: Insights From the iSeahorse Programme in Tampa Bay</t>
  </si>
  <si>
    <t>citizen science; community science; conservation; population monitoring; seahorse</t>
  </si>
  <si>
    <t>CITIZEN-SCIENCE; HIPPOCAMPUS-ERECTUS; MARINE; CONSERVATION; ACCURACY; ECOLOGY; HABITAT; ESTUARY</t>
  </si>
  <si>
    <t>Community science provides a valuable approach for population monitoring, offering benefits such as public engagement, cost-effectiveness and broad geographic coverage. Seahorses are excellent candidates for community science monitoring because they are iconic and sedentary and because their cryptic nature and patchy distribution hampers formal professional research. We analysed data collected by a non-profit organization for the iSeahorse programme. Data were collected by community members over a 5-year period in two locations in Tampa Bay, Florida, using otter trawls and seines. Their data for the two local seahorse species (Hippocampus erectus and Hippocampus zosterae) were valuable in complementing professional science. Densities found in community monitoring were orders of magnitude lower than those found professionally, at least partly because the areas differed. However, sex ratios were similar in both areas, being predominantly female-biased. Community data on timing of pregnancy confirmed professional findings but also extended the season. Usefully, community science provided the first published torso lengths of H. zosterae anywhere and of H. erectus in Tampa Bay. Beyond the biological, we interviewed the project leaders for their opinions on the programme's impact, challenges and areas for improvement, to give a societal context to the study. It became clear that there should had been more and ongoing communication between the non-profit organization and the iSeahorse programme during the course of the surveys. Overall, our analysis endorses the strong potential of community science for population monitoring and its complementarity with professional science.</t>
  </si>
  <si>
    <t>[Camins, Elsa; Correia, Miguel; Vincent, Amanda C. J.] Univ British Columbia, Inst Oceans &amp; Fisheries, Project Seahorse, Vancouver, BC, Canada; [Camins, Elsa; Correia, Miguel; Vincent, Amanda C. J.] IUCN Species Survival Commiss, Pipefish &amp; Seadragon Specialist Grp, Seahorse, Gland, Switzerland</t>
  </si>
  <si>
    <t>University of British Columbia</t>
  </si>
  <si>
    <t>Camins, E (corresponding author), Univ British Columbia, Inst Oceans &amp; Fisheries, Project Seahorse, Vancouver, BC, Canada.;Camins, E (corresponding author), IUCN Species Survival Commiss, Pipefish &amp; Seadragon Specialist Grp, Seahorse, Gland, Switzerland.</t>
  </si>
  <si>
    <t>e.camins@oceans.ubc.ca</t>
  </si>
  <si>
    <t>; Camins, Elsa/NXC-1773-2025; Correia, Miguel/E-8149-2010</t>
  </si>
  <si>
    <t>Vincent, Amanda/0000-0002-1058-0251; Camins Martinez, Elsa/0009-0007-6725-6763;</t>
  </si>
  <si>
    <t>Guylian Chocolates Belgium</t>
  </si>
  <si>
    <t>This is a contribution from Project Seahorse. We are most grateful to Tampa Bay Watch, especially Aubrey Malone and Katie Mastenbrook, for their valuable observations and warm welcome in Tampa Bay. We thank Heather Mason and Emily Rose for their insights into bay monitoring and providing a scientific backdrop for analysis of community findings. And we are grateful for the statistical advice provided by Dr. Jana McPherson.</t>
  </si>
  <si>
    <t>JAN 27</t>
  </si>
  <si>
    <t>e70059</t>
  </si>
  <si>
    <t>10.1002/aqc.70059</t>
  </si>
  <si>
    <t>T6O1X</t>
  </si>
  <si>
    <t>WOS:001406164700001</t>
  </si>
  <si>
    <t>Lovászi, P; Nagy, K; Görögh, Z; Szép, T</t>
  </si>
  <si>
    <t>Lovaszi, Peter; Nagy, Karoly; Gorogh, Zoltan; Szep, Tibor</t>
  </si>
  <si>
    <t>Monitoring population change using 'citizen science' data: case study of the Hungarian White Stork (Ciconia ciconia) population between 1999 and 2021</t>
  </si>
  <si>
    <t>ORNIS HUNGARICA</t>
  </si>
  <si>
    <t>White Stork; national census; breeding population; citizen science</t>
  </si>
  <si>
    <t>LONG-DISTANCE MIGRANT; BREEDING SUCCESS; PRODUCTIVITY; SURVIVAL; NUMBER</t>
  </si>
  <si>
    <t>In Hungary, changes in the White Stork population are monitored using two methods that involve a large number of volunteers: nest surveys since 1941, and since 1999 within the framework of the Common Bird Monitoring Scheme (MMM) programme. In our article, we briefly present the results of the nest survey data between 1999 and 2021, the population trend calculated on the basis of them, and the comparison of the latter with the trends shown by the MMM programme, which - among other species - counts all stork individuals on 2.5x2.5 km sample areas. Both sets of data show a decreasing trend, but there is a significant difference between them, which may be partly due to the inaccuracies of the nest database, considering the fact that the MMM also counts non-breeding adult and immature individuals. However, both methods have the characteristics that make them suitable for monitoring population trends.</t>
  </si>
  <si>
    <t>[Lovaszi, Peter; Nagy, Karoly; Gorogh, Zoltan] MME BirdLife Hungary, Kolto Utca 21, H-1121 Budapest, Hungary; [Szep, Tibor] Univ Nyiregyhaza, Sostoi Ut 31-B, H-4400 Nyiregyhaza, Hungary</t>
  </si>
  <si>
    <t>University of Nyiregyhaza</t>
  </si>
  <si>
    <t>Lovászi, P (corresponding author), MME BirdLife Hungary, Kolto Utca 21, H-1121 Budapest, Hungary.</t>
  </si>
  <si>
    <t>lovaszi.peter@mme.hu</t>
  </si>
  <si>
    <t>Szép, Tibor/HTN-1072-2023</t>
  </si>
  <si>
    <t>1215-1610</t>
  </si>
  <si>
    <t>2061-9588</t>
  </si>
  <si>
    <t>Ornis Hungarica</t>
  </si>
  <si>
    <t>10.2478/orhu-2022-0021</t>
  </si>
  <si>
    <t>6Y5ZB</t>
  </si>
  <si>
    <t>WOS:000897171800006</t>
  </si>
  <si>
    <t>Murindahabi, MM; Hoseni, A; Vreugdenhil, LCC; van Vliet, AJH; Umupfasoni, J; Mutabazi, A; Hakizimana, E; Poortvliet, PM; Mutesa, L; Takken, W; Koenraadt, CJM</t>
  </si>
  <si>
    <t>Murindahabi, Marilyn Milumbu; Hoseni, Arash; Vreugdenhil, L. C. Corne; van Vliet, Arnold J. H.; Umupfasoni, Jackie; Mutabazi, Alphonse; Hakizimana, Emmanuel; Poortvliet, P. Marijn; Mutesa, Leon; Takken, Willem; Koenraadt, Constantianus J. M.</t>
  </si>
  <si>
    <t>Citizen science for monitoring the spatial and temporal dynamics of malaria vectors in relation to environmental risk factors in Ruhuha, Rwanda</t>
  </si>
  <si>
    <t>Citizen science; Environmental risk factors; Malaria; Perceived mosquito nuisance; Rwanda</t>
  </si>
  <si>
    <t>MOSQUITO; IDENTIFICATION; TRANSMISSION; IRRIGATION; ABUNDANCE; IMPACT; KENYA; ELISA</t>
  </si>
  <si>
    <t>Background As part of malaria prevention and control efforts, the distribution and density of malaria mosquitoes requires continuous monitoring. Resources for long-term surveillance of malaria vectors, however, are often limited. The aim of the research was to evaluate the value of citizen science in providing insight into potential malaria vector hotspots and other malaria relevant information, and to determine predictors of malaria vector abundance in a region where routine mosquito monitoring has not been established to support vector surveillance. Methods A 1-year citizen science programme for malaria mosquito surveillance was implemented in five villages of the Ruhuha sector in Bugesera district, Rwanda. In total, 112 volunteer citizens were enrolled and reported monthly data on mosquitoes collected in their peridomestic environment using handmade carbon-dioxide baited traps. Additionally, they reported mosquito nuisance experienced as well as the number of confirmed malaria cases in their household. Results In total, 3793 female mosquitoes were collected, of which 10.8% were anophelines. For the entire period, 16% of the volunteers reported having at least one confirmed malaria case per month, but this varied by village and month. During the study year 66% of the households reported at least one malaria case. From a sector perspective, a higher mosquito and malaria vector abundance was observed in the two villages in the south of the study area. The findings revealed significant positive correlations among nuisance reported and confirmed malaria cases, and also between total number of Culicidae and confirmed malaria cases, but not between the numbers of the malaria vector Anopheles gambiae and malaria cases. At the sector level, of thirteen geographical risk factors considered for inclusion in multiple regression, distance to the river network and elevation played a role in explaining mosquito and malaria mosquito abundance. Conclusions The study demonstrates that a citizen science approach can contribute to mosquito monitoring, and can help to identify areas that, in view of limited resources for control, are at higher risk of malaria.</t>
  </si>
  <si>
    <t>[Murindahabi, Marilyn Milumbu; Takken, Willem; Koenraadt, Constantianus J. M.] Wageningen Univ &amp; Res, Lab Entomol, Wageningen, Netherlands; [Murindahabi, Marilyn Milumbu] Univ Rwanda, Coll Sci &amp; Technol, Kigali, Rwanda; [Hoseni, Arash; Vreugdenhil, L. C. Corne] Wageningen Univ &amp; Res, Lab Geoinformat Sci &amp; Remote Sensing, Wageningen, Netherlands; [van Vliet, Arnold J. H.] Wageningen Univ &amp; Res, Environm Syst Anal Grp, Wageningen, Netherlands; [Umupfasoni, Jackie; Mutabazi, Alphonse; Hakizimana, Emmanuel] Biomed Ctr, Malaria &amp; Other Parasit Dis Div, Kigali, Rwanda; [Poortvliet, P. Marijn] Wageningen Univ &amp; Res, Strateg Commun Grp, Wageningen, Netherlands; [Mutesa, Leon] Univ Rwanda, Coll Med &amp; Hlth Sci, Kigali, Rwanda</t>
  </si>
  <si>
    <t>Wageningen University &amp; Research; University of Rwanda; Wageningen University &amp; Research; Wageningen University &amp; Research; Wageningen University &amp; Research; University of Rwanda</t>
  </si>
  <si>
    <t>van Vliet, Arnold/0000-0001-9426-3511</t>
  </si>
  <si>
    <t>This publication is part of the project Environmental Virtual Observatories for Connective Action (EVOCA), project duration 2016-2020, funded by Wageningen University, The Netherlands through its Interdisciplinary Research and Education Fund (INREF) (2100710609).</t>
  </si>
  <si>
    <t>DEC 3</t>
  </si>
  <si>
    <t>10.1186/s12936-021-03989-4</t>
  </si>
  <si>
    <t>XI4CX</t>
  </si>
  <si>
    <t>WOS:000726062900002</t>
  </si>
  <si>
    <t>Uelmen, JA Jr; Clark, A; Palmer, J; Kohler, J; Van Dyke, LC; Low, R; Mapes, CD; Carney, RM</t>
  </si>
  <si>
    <t>Uelmen Jr, Johnny A.; Clark, Andrew; Palmer, John; Kohler, Jared; Van Dyke, Landon C.; Low, Russanne; Mapes, Connor D.; Carney, Ryan M.</t>
  </si>
  <si>
    <t>Global mosquito observations dashboard (GMOD): creating a user-friendly web interface fueled by citizen science to monitor invasive and vector mosquitoes</t>
  </si>
  <si>
    <t>INTERNATIONAL JOURNAL OF HEALTH GEOGRAPHICS</t>
  </si>
  <si>
    <t>Anopheles stephensi; Citizen science; Data; Dashboard; GIS; Malaria; Mosquito; Open source; Surveillance; Vector-borne disease</t>
  </si>
  <si>
    <t>Background Mosquitoes and the diseases they transmit pose a significant public health threat worldwide, causing more fatalities than any other animal. To effectively combat this issue, there is a need for increased public awareness and mosquito control. However, traditional surveillance programs are time-consuming, expensive, and lack scalability. Fortunately, the widespread availability of mobile devices with high-resolution cameras presents a unique opportunity for mosquito surveillance. In response to this, the Global Mosquito Observations Dashboard (GMOD) was developed as a free, public platform to improve the detection and monitoring of invasive and vector mosquitoes through citizen science participation worldwide. Methods GMOD is an interactive web interface that collects and displays mosquito observation and habitat data supplied by four datastreams with data generated by citizen scientists worldwide. By providing information on the locations and times of observations, the platform enables the visualization of mosquito population trends and ranges. It also serves as an educational resource, encouraging collaboration and data sharing. The data acquired and displayed on GMOD is freely available in multiple formats and can be accessed from any device with an internet connection. Results Since its launch less than a year ago, GMOD has already proven its value. It has successfully integrated and processed large volumes of real-time data (similar to 300,000 observations), offering valuable and actionable insights into mosquito species prevalence, abundance, and potential distributions, as well as engaging citizens in community-based surveillance programs. Conclusions GMOD is a cloud-based platform that provides open access to mosquito vector data obtained from citizen science programs. Its user-friendly interface and data filters make it valuable for researchers, mosquito control personnel, and other stakeholders. With its expanding data resources and the potential for machine learning integration, GMOD is poised to support public health initiatives aimed at reducing the spread of mosquito-borne diseases in a cost-effective manner, particularly in regions where traditional surveillance methods are limited. GMOD is continually evolving, with ongoing development of powerful artificial intelligence algorithms to identify mosquito species and other features from submitted data. The future of citizen science holds great promise, and GMOD stands as an exciting initiative in this field.</t>
  </si>
  <si>
    <t>[Uelmen Jr, Johnny A.; Mapes, Connor D.; Carney, Ryan M.] Univ South Florida USF, Dept Integrat Biol, Tampa, FL 33620 USA; [Clark, Andrew; Low, Russanne] Inst Global Environm Strategies, Arlington, VA 22202 USA; [Palmer, John] Univ Pompeau Fabra, Dept Polit &amp; Social Sci, Barcelona 08005, Spain; [Kohler, Jared] Esri, Redlands, CA 92373 USA; [Van Dyke, Landon C.] US Dept State, Washington, DC 20520 USA; [Mapes, Connor D.] Univ Glasgow, Dept Geog, Glasgow G12 8QQ, Scotland</t>
  </si>
  <si>
    <t>State University System of Florida; University of South Florida; Pompeu Fabra University; Environmental Systems Research Institute, Inc. (ESRI); University of Glasgow</t>
  </si>
  <si>
    <t>Uelmen, JA Jr (corresponding author), Univ South Florida USF, Dept Integrat Biol, Tampa, FL 33620 USA.</t>
  </si>
  <si>
    <t>johnny.uelmen@duke.edu</t>
  </si>
  <si>
    <t>Uelmen, Johnny/JPK-4002-2023; Palmer, John RB/N-8620-2014</t>
  </si>
  <si>
    <t>Uelmen, Johnny/0000-0003-3057-5107; Palmer, John RB/0000-0002-2648-7860</t>
  </si>
  <si>
    <t>We are especially grateful for all the users from around the world who have submitted data to any of the platforms used to feed GMOD. The future of global mosquito surveillance is reliant upon the frequent, high-quality submissions of curious and driven ci</t>
  </si>
  <si>
    <t>We are especially grateful for all the users from around the world who have submitted data to any of the platforms used to feed GMOD. The future of global mosquito surveillance is reliant upon the frequent, high-quality submissions of curious and driven citizen scientists.</t>
  </si>
  <si>
    <t>1476-072X</t>
  </si>
  <si>
    <t>INT J HEALTH GEOGR</t>
  </si>
  <si>
    <t>Int. J. Health Geogr.</t>
  </si>
  <si>
    <t>10.1186/s12942-023-00350-7</t>
  </si>
  <si>
    <t>W5QI5</t>
  </si>
  <si>
    <t>WOS:001092167100001</t>
  </si>
  <si>
    <t>Woods, SM; Daskolia, M; Joly, A; Bonnet, P; Soacha, K; Liñan, S; Woods, T; Piera, J; Ceccaroni, L</t>
  </si>
  <si>
    <t>Woods, Sasha Marie; Daskolia, Maria; Joly, Alexis; Bonnet, Pierre; Soacha, Karen; Linan, Sonia; Woods, Tim; Piera, Jaume; Ceccaroni, Luigi</t>
  </si>
  <si>
    <t>How Networks of Citizen Observatories Can Increase the Quality and Quantity of Citizen-Science-Generated Data Used to Monitor SDG Indicators</t>
  </si>
  <si>
    <t>citizen science; citizen observatory; Sustainable Development Goals; interoperability; co-design; education</t>
  </si>
  <si>
    <t>There is a growing acknowledgement that citizen observatories, and other forms of citizen-generated data, have a significant role in tracking progress towards the Sustainable Development Goals. This is evident in the increasing number of Sustainable Development Goals' indicators for which such data are already being used and in the high-level recognition of the potential role that citizen science can play. In this article, we argue that networks of citizen observatories will help realise this potential. Drawing on the Cos4Cloud project as an example, we highlight how such networks can make citizen-generated data more interoperable and accessible (among other qualities), increasing their impact and usefulness. Furthermore, we highlight other, perhaps overlooked, advantages of citizen observatories and citizen-generated data: educating and informing citizen scientists about the Sustainable Development Goals and co-creating solutions to the global challenges they address.</t>
  </si>
  <si>
    <t>[Woods, Sasha Marie; Ceccaroni, Luigi] Earthwatch Europe, Oxford OX2 7DE, England; [Daskolia, Maria] Natl &amp; Kapodistrian Univ Athens, Dept Educ Studies, Environm Educ Lab, Univ Campus, Athens 15784, Greece; [Joly, Alexis] Univ Montpellier, INRIA, F-34090 Montpellier, France; [Bonnet, Pierre] Univ Montpellier, French Agr Res Ctr Int Dev CIRAD, French Natl Ctr Sci Res CNRS,French Natl Inst Agr, Bot &amp; Modeling Plant Architecture &amp; Vegetat AMAP, F-34398 Montpellier, France; [Soacha, Karen; Linan, Sonia; Piera, Jaume] Spanish Res Council ICM CSIC, EMBIMOS Grp, Inst Marine Sci, Barcelona 08003, Spain; [Soacha, Karen] Open Univ Catalonia UOC, Doctoral Sch, Informat &amp; Knowledge, Barcelona 08035, Spain; [Woods, Tim] European Citizen Sci Assoc ECSA, Invalidenstr 43, D-10115 Berlin, Germany</t>
  </si>
  <si>
    <t>National &amp; Kapodistrian University of Athens; Inria; Universite de Montpellier; INRAE; Universite de Montpellier; CIRAD; Centre National de la Recherche Scientifique (CNRS); AgroParisTech; Consejo Superior de Investigaciones Cientificas (CSIC); CSIC - Centro Mediterraneo de Investigaciones Marinas y Ambientales (CMIMA); CSIC - Instituto de Ciencias del Mar (ICM); UOC Universitat Oberta de Catalunya</t>
  </si>
  <si>
    <t>Woods, SM (corresponding author), Earthwatch Europe, Oxford OX2 7DE, England.</t>
  </si>
  <si>
    <t>swoods@earthwatch.org.uk; mdaskol@eds.uoa.gr; alexisjoly@inria.fr; pierre.bonnet@cirad.fr; soacha@icm.csic.es; slinan@icm.csic.es; t.woods@drk.de; jpiera@icm.csic.es; lceccaroni@earthwatch.org.uk</t>
  </si>
  <si>
    <t>; joly, alexis/AAV-3101-2021; Piera, Jaume/I-1152-2015; Bonnet, Pierre/AAG-6819-2020</t>
  </si>
  <si>
    <t>Liñán, Sonia/0000-0003-0431-4683; Piera, Jaume/0000-0001-5818-9836; Ceccaroni, Luigi/0000-0002-3116-0811; Woods, Tim/0000-0002-2663-3848; Bonnet, Pierre/0000-0002-2828-4389; Daskolia, Maria/0000-0001-7350-948X</t>
  </si>
  <si>
    <t>European Commission - European Union [863463, 824711]; Severo Ochoa Centre of Excellence [CEX2019-000928-S]</t>
  </si>
  <si>
    <t>European Commission - European Union(European Union (EU)European Commission Joint Research Centre); Severo Ochoa Centre of Excellence</t>
  </si>
  <si>
    <t>The research described in this paper was funded by the European Commission via the Cos4Cloud and MICS projects, which have received funding from the European Union's Horizon 2020 research and innovation programme under grant agreements 863463 and 824711. ICM-CSIC authors acknowledge the institutional support of the Severo Ochoa Centre of Excellence accreditation (CEX2019-000928-S). The opinions expressed in this work are those of the authors and are not necessarily those of the Cos4Cloud or MICS partners or the European Commission.</t>
  </si>
  <si>
    <t>10.3390/su14074078</t>
  </si>
  <si>
    <t>0L2MT</t>
  </si>
  <si>
    <t>WOS:000781314800001</t>
  </si>
  <si>
    <t>Blanco-Ramírez, S; Bañales-Seguel, C; Guardado-Torrez, C; Seibert, J; Van Meerveld, I</t>
  </si>
  <si>
    <t>Blanco-Ramirez, Sara; Banales-Seguel, Camila; Guardado-Torrez, Clara; Seibert, Jan; Van Meerveld, Ilja</t>
  </si>
  <si>
    <t>Implementation of a Global Citizen Science App in Community-Based Water Monitoring: Lessons Learned from the CrowdWater Experiences in Latin America</t>
  </si>
  <si>
    <t>community engagement; water monitoring; workshops; mobile phone app; participatory science; qualitative methods</t>
  </si>
  <si>
    <t>CONTEXTS</t>
  </si>
  <si>
    <t>Citizen science and community-based monitoring are based on the participation of people outside research institutes in the collection and sometimes also analysis of scientific data. Most of the literature on this practice focuses on the benefits for science and society or the accuracy of the data. Recently, a few studies have stressed the need to also reflect on other aspects to prevent adverse impacts, especially when these approaches are applied in the Global South. Herein, we discuss our experiences in implementing the use of a citizen science app for hydrological data collection in community-based water monitoring in five countries in Latin America. In each country, we collaborated with a community-based water monitoring group and held workshops to describe and explain the use of the app. We learned that direct communication with users improves the use of the app but a mismatch of goals between users and scientists and technological barriers can limit the use of the app, and inclusive data management practices are required to ensure that users' needs are met. The critical evaluation of our experiences and lessons learned contributes to methodological recommendations for better citizen science practices that are particularly useful for other (global) citizen science projects that want to collaborate with community-based monitoring groups in Latin America.</t>
  </si>
  <si>
    <t>[Blanco-Ramirez, Sara; Seibert, Jan; Van Meerveld, Ilja] Univ Zurich, Dept Geog, Zurich, Switzerland; [Banales-Seguel, Camila] Univ Austral Chile CEHUM, Ctr Humedales Rio Cruces, Valdivia, Chile; [Banales-Seguel, Camila] ANID, Nucleo Milenio Tecnociencia Ciudadana Transformac, Santiago, Chile; [Guardado-Torrez, Clara] Geneva Grad Inst Int &amp; Dev Studies, Albert Hirschman Ctr Democracy, Geneva, Switzerland; [Seibert, Jan] Swedish Univ Agr Sci, Fac Nat Resources &amp; Agr Sci, Dept Aquat Sci &amp; Assessment, Uppsala, Sweden</t>
  </si>
  <si>
    <t>University of Zurich; Swedish University of Agricultural Sciences</t>
  </si>
  <si>
    <t>Blanco-Ramírez, S (corresponding author), Univ Zurich, Dept Geog, Zurich, Switzerland.</t>
  </si>
  <si>
    <t>sara.blanco@geo.uzh.ch</t>
  </si>
  <si>
    <t>; Blanco Ramírez, Sara/JZD-3078-2024; van Meerveld, HJ/C-5146-2011</t>
  </si>
  <si>
    <t>Bañales-Seguel, Camila/0000-0002-5206-8141; Blanco Ramírez, Sara/0000-0002-9638-6272; van Meerveld, HJ/0000-0002-7547-3270</t>
  </si>
  <si>
    <t>Swiss National Science Foundation [163008, 192125]</t>
  </si>
  <si>
    <t>Swiss National Science Foundation(Swiss National Science Foundation (SNSF))</t>
  </si>
  <si>
    <t>This work is part of the CrowdWater project that is funded by the Swiss National Science Foundation (projects: 163008 (CrowdWater) and 192125 (CrowdWater II) ) .</t>
  </si>
  <si>
    <t>10.5334/cstp.749</t>
  </si>
  <si>
    <t>WOS:001558117500004</t>
  </si>
  <si>
    <t>Bounas, A; Tsiopelas, N; Evangelidis, A; Barboutis, C</t>
  </si>
  <si>
    <t>Bounas, Anastasios; Tsiopelas, Nikos; Evangelidis, Angelos; Barboutis, Christos</t>
  </si>
  <si>
    <t>Migration Phenology and Spatial Distribution of Soaring Birds in Greece: From Citizen Science Data to Implications for Monitoring and Conservation Strategies</t>
  </si>
  <si>
    <t>BIRDS</t>
  </si>
  <si>
    <t>raptor migration; soaring birds; migration phenology; citizen science; eBird data; generalized additive models (GAMs); bird conservation; Greece</t>
  </si>
  <si>
    <t>RAPTOR MIGRATION; POPULATION; EVOLUTION; EBIRD</t>
  </si>
  <si>
    <t>Timing and spatial distribution patterns of migratory birds are crucial for their conservation, particularly in Greece, which serves as a vital migratory corridor between Europe, Asia, and Africa. Traditional monitoring methods face challenges due to resource limitations and the country's complex geography. This study aimed to determine the migration phenology and spatial distribution of 18 species of raptors and soaring birds in Greece using citizen science data from eBird, analyzed with generalized additive models (GAMs). We processed 15,940 checklists for spring migration and 9131 for autumn migration from 2010 to 2023. GAMs successfully modeled the migration phenology for most species, revealing variable peak migration dates in spring and more synchronized migration in autumn, with most species migrating in early September. A spatial analysis highlighted the importance of coastal areas and islands (particularly the Aegean islands and Crete) as key migratory routes and stopover sites. Validation with standardized counts from the Antikythira Bird Observatory showed some discrepancies, emphasizing the limitations of relying on a single monitoring site and the value of broad-scale citizen science data. Our findings demonstrate the effectiveness of integrating citizen science data with robust analytical techniques to fill knowledge gaps, providing valuable insights for designing monitoring programs and informing conservation strategies.</t>
  </si>
  <si>
    <t>[Bounas, Anastasios; Tsiopelas, Nikos; Evangelidis, Angelos; Barboutis, Christos] Hellen Ornithol Soc, BirdLife Greece, 52 Ag Konstantinou Str, GR-10437 Athens, Greece; [Bounas, Anastasios] Univ Ioannina, Dept Biol Applicat &amp; Technol, GR-45110 Ioannina, Greece</t>
  </si>
  <si>
    <t>University of Ioannina</t>
  </si>
  <si>
    <t>Bounas, A (corresponding author), Hellen Ornithol Soc, BirdLife Greece, 52 Ag Konstantinou Str, GR-10437 Athens, Greece.;Bounas, A (corresponding author), Univ Ioannina, Dept Biol Applicat &amp; Technol, GR-45110 Ioannina, Greece.</t>
  </si>
  <si>
    <t>abounas@uoi.gr; ntsiopelas@ornithologiki.gr; evangelidis@ornithologiki.gr; cbarboutis@ornithologiki.gr</t>
  </si>
  <si>
    <t>Barboutis, Christos/0000-0002-5644-4327; Bounas, Anastasios/0000-0002-6724-0151</t>
  </si>
  <si>
    <t>GREEN FUND; GREEN FUND in the framework of the funding program Natural Environment &amp; Innovative Actions</t>
  </si>
  <si>
    <t>This research was funded by the GREEN FUND in the framework of the funding program Natural Environment &amp; Innovative Actions with the citizens 2023.</t>
  </si>
  <si>
    <t>2673-6004</t>
  </si>
  <si>
    <t>BIRDS-BASEL</t>
  </si>
  <si>
    <t>Birds</t>
  </si>
  <si>
    <t>JAN 16</t>
  </si>
  <si>
    <t>10.3390/birds6010006</t>
  </si>
  <si>
    <t>2HR0T</t>
  </si>
  <si>
    <t>WOS:001482891000001</t>
  </si>
  <si>
    <t>Méndez, M; de Jaime, C; Alcántara, MA</t>
  </si>
  <si>
    <t>Mendez, Marcos; de Jaime, Chabier; Alcantara, Manuel A.</t>
  </si>
  <si>
    <t>Habitat description and interannual variation in abundance and phenology of the endangered beetle Lucanus cervus L. (Coleoptera) using citizen science monitoring</t>
  </si>
  <si>
    <t>Conservation; Habitat fragmentation; Saproxylic beetles; Stag beetle; Weather; Time series</t>
  </si>
  <si>
    <t>STAG BEETLE; DEAD-WOOD; CONSERVATION; LUCANIDAE; FOREST; PERIOD</t>
  </si>
  <si>
    <t>Conservation of threatened saproxylic beetles, which are often elusive, faces the problem of efficient monitoring. Lack of standard monitoring protocols has hindered the much needed assessment of temporal trends in phenology and abundance of the stag beetle, Lucanus cervus, and the development of landscape ecology studies. Our main objective was to illustrate how transects at dusk, implemented by means of citizen science projects, could provide reliable information on habitat characterization and population trends in the stag beetle. Abundance and phenology was studied in a longitudinal study during 7 years in E Spain. Habitat characterization was studied in a transversal study in N Spain. Our longitudinal study detected between-year variation in phenology (up to 4 weeks in peak activity) and abundance (twofold among maxima and minima recorded). In addition, both our longitudinal and transversal studies detected variation among sites in abundance, that was related to rainfall in the previous winter. In this sense, transects at dusk were a suitable monitoring method. Abundance variation could not be related to habitat variables. Nevertheless, we provide one of the few descriptions available of stag beetle habitat at scales of tens to hundreds of meters. Forest was the dominant vegetation in a 25 m buffer around the transects. However, open natural vegetation prevailed in a 1000 m buffer around the transects, indicating strong habitat fragmentation. We conclude that transects at dusk are easily implemented in citizen science projects and provide much needed information about temporal trends in abundance, phenology and habitat description of stag beetles.</t>
  </si>
  <si>
    <t>[Mendez, Marcos] Univ Rey Juan Carlos, Area Biodiversidad &amp; Conservac, C Tulipan S-N, Madrid 28933, Spain; [de Jaime, Chabier] IES Valle Jiloca, Dept Biol &amp; Geol, Avda Zaragoza 42, Calamocha 44200, Teruel, Spain; [Alcantara, Manuel A.] C Luis Bunuel 129A, Santander 39011, Spain</t>
  </si>
  <si>
    <t>Universidad Rey Juan Carlos</t>
  </si>
  <si>
    <t>Méndez, M (corresponding author), Univ Rey Juan Carlos, Area Biodiversidad &amp; Conservac, C Tulipan S-N, Madrid 28933, Spain.</t>
  </si>
  <si>
    <t>marcos.mendez@urjc.es</t>
  </si>
  <si>
    <t>Méndez, Marcos/A-3745-2009</t>
  </si>
  <si>
    <t>Méndez, Marcos/0000-0002-0144-643X</t>
  </si>
  <si>
    <t>5-6</t>
  </si>
  <si>
    <t>10.1007/s10841-017-0030-z</t>
  </si>
  <si>
    <t>FP4TD</t>
  </si>
  <si>
    <t>WOS:000417608400015</t>
  </si>
  <si>
    <t>Bedessem, B; Torres, AC; Fontaine, C; Deguines, N</t>
  </si>
  <si>
    <t>Bedessem, Baptiste; Torres, Ana-Cristina; Fontaine, Colin; Deguines, Nicolas</t>
  </si>
  <si>
    <t>Science learning in biodiversity citizen science: Inputs from the analysis of online social interactions within a contributory project for pollinators' monitoring</t>
  </si>
  <si>
    <t>Citizen science; Biodiversity; Science learning; Procedural skills; Seasonal cycles</t>
  </si>
  <si>
    <t>KNOWLEDGE</t>
  </si>
  <si>
    <t>Biodiversity citizen science projects are both valued for their contribution to scientific research and for their impact on participants' science learning and engagement towards the environment. In this paper, we assess the impact of participation in a biodiversity citizen science project (the Spipoll, dedicated to pollinators' monitoring) through the analysis of online interactions within the program's data sharing platform. By drawing on a previous qualitative analysis of the comments exchanged by the participants within this platform, we focus on those comments which share items on aspects of biology and ecology related to the Spipoll program. This sample gathers 2009 comments from 2010 to 2018. We first classified the different constitutive elements from these comments into seven categories following the topics they deal with. We then studied the temporal change in occurrence of each of these topics from 2010 to 2018. We show that long-term participation is associated with the growing expression of scientific procedural skills: formulation of hypothesis and explanation, proposition of new research questions. To our knowledge, our study is the first one that detects the acquisition of such pro-cedural skills in biodiversity citizen science. We also show that long-term participation is associated with the growing attention to natural seasonal cycles. This study finally illustrates the value of the online traces of citizen scientists' activities to analyze participants' outcomes of citizen science. Consequently, it should encourage the development of such online communication spaces within contributory projects, without restricting them to online citizen science.</t>
  </si>
  <si>
    <t>[Bedessem, Baptiste; Fontaine, Colin] MNHN, Ctr ecol &amp; Sci conservat, UMR7204, CNRS,SU, 43 rue Buffon, F-75005 Paris, France; [Torres, Ana-Cristina] Univ Paris Est Creteil, LABURBA, F-94010 Creteil, France; [Deguines, Nicolas] Univ Poitiers, CNRS, EBI, Poitiers, France</t>
  </si>
  <si>
    <t>Museum National d'Histoire Naturelle (MNHN); Sorbonne Universite; Centre National de la Recherche Scientifique (CNRS); CNRS - Institute of Ecology &amp; Environment (INEE); Universite Paris-Est-Creteil-Val-de-Marne (UPEC); Centre National de la Recherche Scientifique (CNRS); Universite de Poitiers</t>
  </si>
  <si>
    <t>Bedessem, B (corresponding author), MNHN, Ctr ecol &amp; Sci conservat, UMR7204, CNRS,SU, 43 rue Buffon, F-75005 Paris, France.</t>
  </si>
  <si>
    <t>baptiste.bedessemp@gmail.com</t>
  </si>
  <si>
    <t>Deguines, Nicolas/N-7818-2018; Fontaine, Colin/N-6469-2015</t>
  </si>
  <si>
    <t>Bedessem, Baptiste/0000-0002-9603-6686; Fontaine, Colin/0000-0001-5367-5675</t>
  </si>
  <si>
    <t>ANR; [ANR-16-CE23-0015]</t>
  </si>
  <si>
    <t>ANR(Agence Nationale de la Recherche (ANR));</t>
  </si>
  <si>
    <t>We warmly thank the Spipoll participants, the Vigie-Nature team and the OPIE for giving us the opportunity to develop this study. We also thank two anonymous reviewers, Gregoire Lois and all the CESCO members, and Mathieu de Flores for useful comments and information. We also thank the ANR project Headwork (ANR-16-CE23-0015).</t>
  </si>
  <si>
    <t>10.1016/j.biocon.2022.109807</t>
  </si>
  <si>
    <t>6O5XZ</t>
  </si>
  <si>
    <t>WOS:000890316100014</t>
  </si>
  <si>
    <t>Craig, AT; Kama, N Jr; Fafale, G; Bugoro, H</t>
  </si>
  <si>
    <t>Craig, Adam T.; Kama, Nathan; Fafale, George; Bugoro, Hugo</t>
  </si>
  <si>
    <t>Citizen science as a tool for arboviral vector surveillance in a resourced-constrained setting: results of a pilot study in Honiara, Solomon Islands, 2019</t>
  </si>
  <si>
    <t>Arboviral disease; Vector-borne disease; Dengue; Zika; Chikungunya; Surveillance; Citizen science; Community participation; Solomon Islands; Pacific</t>
  </si>
  <si>
    <t>EPIDEMIC SURVEILLANCE; CHIKUNGUNYA; OUTBREAKS; DENGUE; TRAPS</t>
  </si>
  <si>
    <t>BackgroundRecent arboviral disease outbreaks highlight the value a better understanding of the spread of disease-carrying mosquitoes across spatial-temporal scales can provide. Traditional surveillance tools are limited by jurisdictional boundaries, workforce constraints, logistics, and cost; factors that in low- and middle-income countries often conspire to undermine public health protection efforts. To overcome these, we undertake a pilot study designed to explore if citizen science provides a feasible strategy for arboviral vector surveillance in small developing Pacific island contexts.MethodsWe recruited, trained, and equipped community volunteers to trap and type mosquitos within their household settings, and to report count data to a central authority by short-message-service. Mosquito catches were independently assessed to measure participants' mosquito identification accuracy. Other data were collected to measure the frequency and stability of reporting, and volunteers' experiences.ResultsParticipants collected data for 78.3% of the study period, and agreement between the volunteer citizen scientists' and the reviewing entomologist's mosquito identification was 94%. Opportunity to contribute to a project of social benefit, the chance to learn new skills, and the frequency of engagement with project staff were prime motivators for participation. Unstable electricity supply (required to run the trap's fan), insufficient personal finances (to buy electricity and phone credit), and inconvenience were identified as barriers to sustained participation.ConclusionsWhile there are challenges to address, our findings suggest that citizen science offers an opportunity to overcome the human resource constraints that conspire to limit health authorities' capacity to monitor arboviral vectors across populations. We note that the success of citizen science-based surveillance is dependent on the appropriate selection of equipment and participants, and the quality of engagement and support provided.</t>
  </si>
  <si>
    <t>[Craig, Adam T.] Univ New South Wales Sydney, Sydney, NSW, Australia; [Kama, Nathan] Solomon Isl Minist Hlth &amp; Med Serv, Vector Borne Dis Unit, Honiara, Solomon Islands; [Fafale, George] Honiara City Council, Environm Hlth Unit, Honiara, Solomon Islands; [Bugoro, Hugo] Solomon Isl Natl Univ, Honiara, Solomon Islands</t>
  </si>
  <si>
    <t>University of New South Wales Sydney</t>
  </si>
  <si>
    <t>Bugoro, H (corresponding author), Solomon Isl Natl Univ, Honiara, Solomon Islands.</t>
  </si>
  <si>
    <t>hugo.bugoro@sinu.edu.sb</t>
  </si>
  <si>
    <t>Craig, Adam/0000-0002-9287-8755</t>
  </si>
  <si>
    <t>Joint TDR/WPRO Small Grants Scheme [2019/884822-0]</t>
  </si>
  <si>
    <t>Joint TDR/WPRO Small Grants Scheme</t>
  </si>
  <si>
    <t>This work was funded by the Joint TDR/WPRO Small Grants Scheme (Reference 2019/884822-0). The funding body did not contribute to the design of the study, data collection, analysis of data, or in writing the manuscript.</t>
  </si>
  <si>
    <t>MAR 16</t>
  </si>
  <si>
    <t>10.1186/s12889-021-10493-6</t>
  </si>
  <si>
    <t>QY5OW</t>
  </si>
  <si>
    <t>WOS:000630090200003</t>
  </si>
  <si>
    <t>Brewin, RJW; Sun, XR; Wood, JL; Brewin, TG; Mcbride, D; Frensley, BT; Bresnahan, PJ; Simis, SGH; Schmidt, N; George, G; Stoy, AC; Menon, NN; Chekidhenkuzhiyil, J; Abdulaziz, A; Sathyendranath, S; Krug, LA; Das, N; Sarker, S; Pasche, N; Haller, L; Ghadyani, Y; Odermatt, D; Camus, A; Mader, S; Bonny, A; Pochelon, A; Akinnigbagbe, AE; Noernberg, MA; Mahu, E; Diankha, O; Gonzalez-Silvera, A; Ahmed, W; Kidwai, S; Hernandez-Moresino, R; Mohamed, AH; Panassa, WE; Purba, NP; Betancur-Turizo, SP; Bernawis, LI; Smeti, H; Moshi, HA</t>
  </si>
  <si>
    <t>Brewin, Robert J. W.; Sun, Xuerong; Wood, Joanne L.; Brewin, Thomas G.; Mcbride, Delaney; Frensley, B. Troy; Bresnahan, Philip J.; Simis, Stefan G. H.; Schmidt, Norbert; George, Grinson; Stoy, Ancy C.; Menon, Nandini N.; Chekidhenkuzhiyil, Jasmin; Abdulaziz, Anas; Sathyendranath, Shubha; Krug, Lilian A.; Das, Nabanita; Sarker, Subrata; Pasche, Natacha; Haller, Laurence; Ghadyani, Yasmin; Odermatt, Daniel; Camus, Alexandre; Mader, Suzanne; Bonny, Adrien; Pochelon, Alexis; Akinnigbagbe, Akintoye Edward; Noernberg, Mauricio Almeida; Mahu, Edem; Diankha, Ousmane; Gonzalez-Silvera, Adriana; Ahmed, Waqar; Kidwai, Samina; Hernandez-Moresino, Rodrigo; Mohamed, Ahmed Hussein; Panassa, Wilfried Essowe; Purba, Noir Primadona; Betancur-Turizo, Stella Patricia; Bernawis, Lamona Irmudyawati; Smeti, Houssem; Moshi, Happiness Anold</t>
  </si>
  <si>
    <t>An innovation of two established methods for monitoring water colour and clarity: participatory science using the mini- and midi- secchi disks</t>
  </si>
  <si>
    <t>Secchi disk; Forel-Ule; water clarity; water colour; participatory science</t>
  </si>
  <si>
    <t>CITIZEN SCIENCE; OCEAN COLOR</t>
  </si>
  <si>
    <t>Measurements of water colour and clarity are used to track the environmental status of lakes, estuaries and oceans. The oldest standardised methods for measuring water clarity and colour are the Secchi disk and Forel-Ule colour scale. Both techniques were developed in the 19th century and require use of the human eye. Despite the advent of optoelectronic-based sensing, these visual methods are still used today, owing to their sensitivity, affordability, simplicity and long history of use. Recently, a hand-held device was developed for measuring the Secchi depth and Forel-Ule colour (presented in two formats, named the mini- and midi-Secchi disk). Designed to be small, light and convenient-to-use, it is well suited for participatory science projects that involve monitoring water colour and clarity. To date, over 900 mini- and midi-Secchi disks have been distributed to citizens and scientists, primarily through six projects, with data mostly transferred via mobile phone applications to data servers and dashboards. In this paper, we describe the methods used in the projects and show some characteristics of the datasets collected so far. We showcase how the device can be used for scientific applications, such as verifying satellite data products, gaining new scientific insights, and supporting public engagement and education. Finally, we provide suggestions for methodological improvements and future developments.</t>
  </si>
  <si>
    <t>[Brewin, Robert J. W.; Sun, Xuerong; Wood, Joanne L.] Univ Exeter, Ctr Geog &amp; Environm Sci, Dept Earth &amp; Environm Sci, Cornwall, England; [Brewin, Robert J. W.; Brewin, Thomas G.] Brewtek Ltd, Broadstairs, Kent, England; [Brewin, Thomas G.] Chatham &amp; Clarendon Grammar Sch, Ramsgate, England; [Mcbride, Delaney; Frensley, B. Troy] Univ North Carolina Wilmington, Environm Sci, Wilmington, NC USA; [Bresnahan, Philip J.] Univ North Carolina Wilmington, Ctr Marine Sci, Dept Earth &amp; Ocean Sci, Wilmington, NC USA; [Simis, Stefan G. H.; Sathyendranath, Shubha] Plymouth Marine Lab, Plymouth, England; [Schmidt, Norbert] DDQ Pocket Sci, Heerlen, Netherlands; [George, Grinson; Stoy, Ancy C.] Indian Council Agr Res ICAR, Cent Marine Fisheries Res Inst, Fishery Resources Assessment Econ &amp; Extens Div FRA, Cochin, India; [Stoy, Ancy C.] Cochin Univ Sci &amp; Technol CUSAT, Sch Marine Sci, Dept Marine Biol, Microbiol,Biochem, Kochi, India; [Menon, Nandini N.; Chekidhenkuzhiyil, Jasmin] Nansen Environm Res Ctr India, Cochin, India; [Abdulaziz, Anas] Council Sci &amp; Ind Res CSIR, Natl Inst Oceanog, Reg Ctr Cochin, Cochin, India; [Krug, Lilian A.] Partnership Observat Global Ocean POGO, Plymouth, England; [Krug, Lilian A.] Ctr Ciencias Mar Algarve CCMAR CIMAR LA, Faro, Portugal; [Das, Nabanita] Partnership Observat Global Ocean, Plymouth, England; [Sarker, Subrata] Shahjalal Univ Sci &amp; Technol, Dept Oceanog, Sylhet, Bangladesh; [Pasche, Natacha; Haller, Laurence] Ecole Polytech Fed Lausanne EPFL, Limnol Ctr, Lausanne, Switzerland; [Ghadyani, Yasmin; Odermatt, Daniel] Eawag Swiss Fed Inst Aquat Sci &amp; Technol, Dept Surface Waters Res &amp; Management, Dubendorf, Switzerland; [Odermatt, Daniel] Univ Zurich, Dept Geog, Zurich, Switzerland; [Camus, Alexandre] Univ Lausanne, Unite Rech Act Collaborat &amp; Participat, Lausanne, Switzerland; [Mader, Suzanne; Bonny, Adrien; Pochelon, Alexis] Assoc Sauvegarde Leman, Geneva, Switzerland; [Akinnigbagbe, Akintoye Edward] Nigerian Inst Oceanog &amp; Marine Res, Lagos, Nigeria; [Noernberg, Mauricio Almeida] Univ Fed Parana, Ctr Marine Studies, Pontal Do Parana, Brazil; [Mahu, Edem] Univ Ghana, Dept Marine &amp; Fisheries Sci, Legon, Ghana; [Diankha, Ousmane] Univ Iba THIAM, Dept Hydro Sci &amp; Environm, UFR Sci &amp; Technol, Thies, Senegal; [Gonzalez-Silvera, Adriana] Univ Autonoma Baja California, Fac Marine Sci, Ensenada, Mexico; [Ahmed, Waqar] Natl Inst Oceanog, Karachi, Pakistan; [Kidwai, Samina] Bahria Univ, Sch Maritime &amp; Appl Sci, Karachi Campus, Karachi, Pakistan; [Hernandez-Moresino, Rodrigo] Ctr Estudio Sistemas Marinos CESIMAR CONICET, Puerto Madryn, Chubut, Argentina; [Mohamed, Ahmed Hussein] Edinburgh Napier Univ, Sch Appl Sci, Edinburgh, Scotland; [Panassa, Wilfried Essowe] Univ Kara, Fac Sci &amp; Technol FaST, Dept Phys, Kara, Togo; [Purba, Noir Primadona] Univ Padjadjaran, Fac Fishery &amp; Marine Sci, Dept Marine Sci, Bandung, West Java, Indonesia; [Betancur-Turizo, Stella Patricia] Ctr Invest Oceanog &amp; Hidrog Caribe, Direcc Gen Maritima, Cartagena, Colombia; [Bernawis, Lamona Irmudyawati] Inst Teknol Bandung, Fac Earth Sci &amp; Technol, Res Grp Environm &amp; Appl Oceanog, Bandung, Indonesia; [Smeti, Houssem] Sustainable Seas Sci Studies, Victoria, BC, Canada; [Smeti, Houssem] Univ Monastir, Higher Inst Biotechnol, Monastir, Tunisia; [Moshi, Happiness Anold] Univ Dar Es Salaama, Sch Aquat Sci &amp; Fisheries Technol, Dar Essalaam, Tanzania; [Moshi, Happiness Anold] Aga Khan Univ, Arusha Climate &amp; Environm Res Ctr, Dar Essalaam, Tanzania</t>
  </si>
  <si>
    <t>University of Exeter; University of North Carolina; University of North Carolina Wilmington; University of North Carolina; University of North Carolina Wilmington; Plymouth Marine Laboratory; Indian Council of Agricultural Research (ICAR); ICAR - Central Marine Fisheries Research Institute; Cochin University Science &amp; Technology; Council of Scientific &amp; Industrial Research (CSIR) - India; CSIR - National Institute of Oceanography (NIO); Shahjalal University of Science &amp; Technology (SUST); Swiss Federal Institutes of Technology Domain; Ecole Polytechnique Federale de Lausanne; Swiss Federal Institutes of Technology Domain; Swiss Federal Institute of Aquatic Science &amp; Technology (EAWAG); University of Zurich; University of Lausanne; Universidade Federal do Parana; University of Ghana; Universidad Autonoma de Baja California; PCSIR Laboratories Complex; Bahria University; Edinburgh Napier University; Universitas Padjadjaran; Centro de Investigaciones Oceanograficas e Hidrograficas DIMAR; Direccion General Maritima; Institute Technology of Bandung; Universite de Monastir; Aga Khan University</t>
  </si>
  <si>
    <t>Brewin, RJW (corresponding author), Univ Exeter, Ctr Geog &amp; Environm Sci, Dept Earth &amp; Environm Sci, Cornwall, England.;Brewin, RJW (corresponding author), Brewtek Ltd, Broadstairs, Kent, England.</t>
  </si>
  <si>
    <t>r.brewin@exeter.ac.uk</t>
  </si>
  <si>
    <t>George, Grinson/M-1484-2019; Das, Nabanita/KBA-5722-2024; Mahu, Edem/ACK-5773-2022; Bresnahan, Phil/HJP-0498-2023; Abdulaziz, Anas/AAI-5681-2020; Bernawis, Lamona/KEE-8297-2024; Noernberg, Mauricio/C-6784-2013; Simis, Stefan/B-1703-2008; Purba, Noir/JAC-8344-2023; Gonzalez-Silvera, Aiana/F-7923-2018; Odermatt, Daniel/A-9379-2011; Krug, Lilian/LKJ-3601-2024</t>
  </si>
  <si>
    <t>Gonzalez-Silvera, Aiana/0000-0001-7817-5343; Tofield Pasche, Natacha/0000-0002-9578-9301; Odermatt, Daniel/0000-0001-8449-0593; Hernández-Moresino, Roigo Daniel/0000-0002-2654-2372; Krug, Lilian/0000-0002-0066-7679</t>
  </si>
  <si>
    <t>UK Research and Innovation10.13039/100014013</t>
  </si>
  <si>
    <t>We are strongly indebted to all participants that contributed to the dataset used in the paper, without which this work would not be possible. We thank Carla Berghoff and Sutaporn Bunyajetpong from the NANO-DOAP group. We thank Nima Pahlevan and William Wainwright for guidance on the use of STREAM products. We thank Oghenede Esther Kar for a photo used in Figure 6. We thank the two reviewers for their constructive comments that helped us improve the manuscript.</t>
  </si>
  <si>
    <t>JUL 1</t>
  </si>
  <si>
    <t>10.3389/fenvs.2025.1610130</t>
  </si>
  <si>
    <t>5JR6V</t>
  </si>
  <si>
    <t>WOS:001537295800001</t>
  </si>
  <si>
    <t>Forrest, SA; Holman, L; Murphy, M; Vermaire, JC</t>
  </si>
  <si>
    <t>Forrest, Shaun A.; Holman, Larissa; Murphy, Meaghan; Vermaire, Jesse C.</t>
  </si>
  <si>
    <t>Citizen science sampling programs as a technique for monitoring microplastic pollution: results, lessons learned and recommendations for working with volunteers for monitoring plastic pollution in freshwater ecosystems</t>
  </si>
  <si>
    <t>Citizen science; Microplastics; Ottawa River; Microfibers; Wastewater treatment; Anthropocene</t>
  </si>
  <si>
    <t>TREATMENT PLANTS; RIVER; CONTAMINATION; CALIFORNIA; ABUNDANCE; DEBRIS; DUST</t>
  </si>
  <si>
    <t>A citizen science microplastic monitoring method was developed to engage the public and quantify microplastic contamination at various sites along an approximately 550km length of the Ottawa River from Lake Temiskaming to Hawkesbury, Ontario, Canada. The volunteers filtered 100L of river water through a 100-m mesh at their desired location along the Ottawa River. All but one of the river samples (n=43) contained microplastics, with the vast majority of microplastics identified as microfibers. Microplastic concentrations ranged from 0.02 to 0.41 microplastic pieces per litre. We noted numerous advantages in working with citizen scientists including actively engaging citizens in the research, ease of recruiting volunteers within the established Ottawa Riverkeeper network, and expanded spatial coverage at minimal additional costs. Despite these important advantages, there are some important considerations with citizen scientist sampling including the rare events where volunteers mislabelled sample sheets (e.g. labelling as control instead of river sample) and the relatively low volume of water (100L) that the volunteers could easily sample using our methodology. Recommendations for future citizen science projects for freshwater microplastic research include utilising an established and engaged network, running both field and lab control samples (blanks) to obtain estimates of contamination with microplastic fibres, and increasing the amount of water filtered to obtain more reliable estimates of microplastic pollution in our freshwater ecosystems.</t>
  </si>
  <si>
    <t>[Forrest, Shaun A.; Vermaire, Jesse C.] Carleton Univ, Dept Geog &amp; Environm Studies, 1125 Colonel Dr, Ottawa, ON K1S 5B6, Canada; [Holman, Larissa; Murphy, Meaghan] Ottawa Riverkeeper, 301-275 Bay St, Ottawa, ON K1R 5Z5, Canada; [Vermaire, Jesse C.] Carleton Univ, Inst Environm &amp; Interdisciplinary Sci, 1125 Colonel Dr, Ottawa, ON K1S 5B6, Canada</t>
  </si>
  <si>
    <t>Carleton University; Carleton University</t>
  </si>
  <si>
    <t>Forrest, SA (corresponding author), Carleton Univ, Dept Geog &amp; Environm Studies, 1125 Colonel Dr, Ottawa, ON K1S 5B6, Canada.</t>
  </si>
  <si>
    <t>shaunforrest@cmail.carleton.ca</t>
  </si>
  <si>
    <t>Forrest, Shaun/AGI-3318-2022</t>
  </si>
  <si>
    <t>Forrest, Shaun/0000-0003-2472-9747; Vermaire, Jesse/0000-0002-9921-6148</t>
  </si>
  <si>
    <t>10.1007/s10661-019-7297-3</t>
  </si>
  <si>
    <t>HM0UN</t>
  </si>
  <si>
    <t>WOS:000459163100002</t>
  </si>
  <si>
    <t>Jones, JS; Guézou, A; Medor, S; Nickson, C; Savage, G; Alarcón-Ruales, D; Galloway, TS; Muñoz-Pérez, JP; Nelms, SE; Porter, A; Thiel, M; Lewis, C</t>
  </si>
  <si>
    <t>Jones, Jen S.; Guezou, Anne; Medor, Sara; Nickson, Caitlin; Savage, Georgie; Alarcon-Ruales, Daniela; Galloway, Tamara S.; Pablo Munoz-Perez, Juan; Nelms, Sarah E.; Porter, Adam; Thiel, Martin; Lewis, Ceri</t>
  </si>
  <si>
    <t>Microplastic distribution and composition on two Galapagos island beaches, Ecuador: Verifying the use of citizen science derived data in long-term monitoring</t>
  </si>
  <si>
    <t>ENVIRONMENTAL POLLUTION</t>
  </si>
  <si>
    <t>Community science; Plastic pollution; Monitoring; Eastern pacific; Marine debris</t>
  </si>
  <si>
    <t>ANTHROPOGENIC MARINE DEBRIS; LITTER; SCALE; ACCUMULATION; ABUNDANCE; WATERS; WORLDS; SEA</t>
  </si>
  <si>
    <t>Monitoring beach plastic contamination across space and time is necessary for understanding its sources and ecological effects, and for guiding mitigation. This is logistically and financially challenging, especially for microplastics. Citizen science represents an option for sampling accessible sites to support long term monitoring, but challenges persist around data validation. Here we test a simple citizen science methodology to monitor visible microplastic contamination on sandy beaches using a standard quadrat unit (50 cm x 50 cm x 5 cm depth) sieved to 1 mm, to support the analysis of microplastic on two islands within the marine protected area of the Galapagos Archipelago, Ecuador (San Cristobal and Santa Cruz islands). High school and university students undertook supervised sampling of two beaches in 2019-2020 collecting over 7000 particles. A sub-sample of the suspected microplastics collected (n = 2,213, similar to 30% total) were analysed using FTIR spectrometry, confirming 93% of particles &gt;1 mm visually identified by students were microplastics or rubber, validating this method as a crowd-sourced indicator for microplastic contamination. These data provide important insights into the plastic contamination of Galapagos, revealing plastic abundances of 0-2524 particles m(-2) over the two beaches (the highest reported in Galapagos). Strong accumulation gradients were measured parallel to the waterline at Punta Pitt (San Cristobal island) and perpendicular to the waterline at Tortuga Bay (Santa Cruz island), where four-fold higher concentrations were recorded at the sea turtle nesting habitat on the back-beach dune. No significant seasonal trends were measured during one year. These results demonstrate the value of citizen science in filling spatiotemporal knowledge gaps of beach contamination to support intervention design and conservation.</t>
  </si>
  <si>
    <t>[Jones, Jen S.; Guezou, Anne] Galapagos Conservat Trust, 7-14 Great Dover St, London SE1 4YR, England; [Jones, Jen S.; Nickson, Caitlin; Savage, Georgie; Galloway, Tamara S.; Porter, Adam; Lewis, Ceri] Univ Exeter, Coll Life &amp; Environm Sci, Biosci, Exeter EX4 4QD, Devon, England; [Medor, Sara; Alarcon-Ruales, Daniela; Pablo Munoz-Perez, Juan] Univ San Francisco Quito USFQ, Av Alsacio Northia, Isla San Cristobal, Galapagos, Ecuador; [Medor, Sara; Alarcon-Ruales, Daniela; Pablo Munoz-Perez, Juan] UNC Chapel Hill Galapagos Sci Ctr GSC, Av Alsacio Northia, Isla San Cristobal, Galapagos, Ecuador; [Pablo Munoz-Perez, Juan] Univ Sunshine Coast, Sch Sci &amp; Engn, Hervey Bay, Qld, Australia; [Nelms, Sarah E.] Univ Exeter, Ctr Ecol &amp; Conservat, Penryn TR10 9FE, England; [Thiel, Martin] Univ Catolica Norte, Fac Ciencias Mar, Larrondo 1281, Coquimbo, Chile; [Thiel, Martin] Millennium Nucleus Ecol &amp; Sustainable Management, Coquimbo, Chile; [Thiel, Martin] Ctr Estudios Avanzados Zonas Aridas CEAZA, Coquimbo, Chile</t>
  </si>
  <si>
    <t>University of Exeter; Universidad San Francisco de Quito; University of the Sunshine Coast; University of Exeter; Universidad Catolica del Norte</t>
  </si>
  <si>
    <t>Lewis, C (corresponding author), Univ Exeter, Coll Life &amp; Environm Sci, Biosci, Exeter EX4 4QD, Devon, England.</t>
  </si>
  <si>
    <t>c.n.lewis@exeter.ac.uk</t>
  </si>
  <si>
    <t>Galloway, Tamara/C-1662-2009; Muñoz-Pérez, Juan Pablo/HZJ-0675-2023; Porter, Adam/JRY-1562-2023; Nelms, Sarah/AAQ-4704-2021; Jones, Jen/OGQ-4462-2025</t>
  </si>
  <si>
    <t>Galloway, Tamara/0000-0002-7466-6775; Muñoz-Pérez, Juan Pablo/0000-0002-9792-5653; Medor, Sara/0000-0002-5012-1834; Porter, Adam/0000-0002-8493-3216; Savage, Georgie/0000-0001-7986-5813; Nel, Sarah/0000-0002-2780-2877; Nickson, Caitlin/0000-0002-1379-8694; thiel, martin/0000-0001-7535-3888;</t>
  </si>
  <si>
    <t>Galapagos Conservation Trust; Wood-spring Trust; British Embassy Quito; University of Exeter; Global Challenges Research Fund [NE/V005448/1]</t>
  </si>
  <si>
    <t>Galapagos Conservation Trust; Wood-spring Trust; British Embassy Quito; University of Exeter; Global Challenges Research Fund</t>
  </si>
  <si>
    <t>We acknowledge the hard work of the citizen scientists and educa-tors particularly Maria Luisa Buitron, Kevin Cabrera, Ana Belen Jar-amillo, Pablo Jaramillo, Lady Marquez, Marlon Mora, Anais Suntaxi, Henry Vivanco, Fiorella Vizuete, the Mola Mola Club of Ecology Project International and the Marine Reserve Student Participation Project. We would like to thank the Gal?apagos Science Center, Manuel Ye?pez from SharkSky Travel &amp; Conservation and the Gal?apagos National Park Directorate. This study is part of the ?Plastic Pollution Free Gal?apagos? initiative and falls under the ?Understanding the Effects of Marine Debris in the Gal?apagos? permit authorised by the Gal?apagos National Park Directorate (PC-23-19) . We would also like thank Dr D. Santillo for ?FT-IR support under a Research Partnership Agreement between the Greenpeace Research Laboratories and PerkinElmer. This research was funded by grants to JJ from Galapagos Conservation Trust, the Wood-spring Trust and the British Embassy Quito and to CL from individual donors at the University of Exeter and the Global Challenges Research Fund (NE/V005448/1) . For the purpose of open access, the author has applied a Creative Commons Attribution (CC BY) licence to any Author Accepted Manuscript version arising. The research data supporting this publication are openly available from NERC EDS British Oceanographic Data Centre NOC at: https:// www.bodc.ac.uk/data/published_data _library/catalogue/10.5285/e548efb8-84eb-78bc-e053-6c86abc08fe7/.</t>
  </si>
  <si>
    <t>0269-7491</t>
  </si>
  <si>
    <t>1873-6424</t>
  </si>
  <si>
    <t>ENVIRON POLLUT</t>
  </si>
  <si>
    <t>Environ. Pollut.</t>
  </si>
  <si>
    <t>OCT 15</t>
  </si>
  <si>
    <t>10.1016/j.envpol.2022.120011</t>
  </si>
  <si>
    <t>4X3KJ</t>
  </si>
  <si>
    <t>WOS:000860744600007</t>
  </si>
  <si>
    <t>Pecl, GT; Stuart-Smith, J; Walsh, P; Bray, DJ; Kusetic, M; Burgess, M; Frusher, SD; Gledhill, DC; George, O; Jackson, G; Keane, J; Martin, VY; Nursey-Bray, M; Pender, A; Robinson, LM; Rowling, K; Sheaves, M; Moltschaniwskyj, N</t>
  </si>
  <si>
    <t>Pecl, Gretta T.; Stuart-Smith, Jemina; Walsh, Peter; Bray, Dianne J.; Kusetic, Martha; Burgess, Michael; Frusher, Stewart D.; Gledhill, Daniel C.; George, Oliver; Jackson, Gary; Keane, John; Martin, Victoria Y.; Nursey-Bray, Melissa; Pender, Andrew; Robinson, Lucy M.; Rowling, Keith; Sheaves, Marcus; Moltschaniwskyj, Natalie</t>
  </si>
  <si>
    <t>Redmap Australia: Challenges and Successes With a Large-Scale Citizen Science-Based Approach to Ecological Monitoring and Community Engagement on Climate Change</t>
  </si>
  <si>
    <t>citizen science program; climate change ecology; community-based monitoring; data verification; range-shift; science communication; species identification; species redistribution</t>
  </si>
  <si>
    <t>FISH; IDENTIFICATION; ABUNDANCE; HOTSPOTS; REVEALS; SHIFTS; TOOL</t>
  </si>
  <si>
    <t>Citizen science includes a suite of research approaches that involves participation by citizens, who are not usually trained scientists, in scientific projects. Citizen science projects have the capacity to record observations of species with high precision and accuracy, offering the potential for collection of biological data to support a diversity of research investigations. Moreover, via the involvement of project participants, these projects have the potential to engage the public on scientific issues and to possibly contribute to changes in community knowledge, attitudes and behaviors. However, there are considerable challenges in ensuring that large-scale collection and verification of species data by the untrained public is a robust and useful long-term endeavor, and that project participants are indeed engaged and acquiring knowledge. Here, we describe approaches taken to overcome challenges in creation and maintenance of a website-based national citizen science initiative where fishers, divers, and other coastal users submit opportunistic photographic observations of 'out-of-range' species. The Range Extension Database and Mapping Project (Redmap Australia) has two objectives, (1) ecological monitoring for the early detection of species that may be extending their geographic distribution due to environmental change, and (2) engaging the public on the ecological impacts of climate change, using the public's own data. Semi-automated `managed crowd-sourcing' of an Australia-wide network of scientists with taxonomic expertise is used to verify every photographic observation. This unique system is supported by efficient workflows that ensures the rigor of data submitted. Moreover, ease of involvement for participants and prompt personal feedback has contributed to generating and maintaining ongoing interest. The design of Redmap Australia allows co-creation of knowledge with the community - without participants requiring formal training - providing an opportunity to engage sectors of the community that may not necessarily be willing to undergo training or otherwise be formally involved or engaged in citizen science. Given that capturing changes in our natural environment requires many observations spread over time and space, identifying factors and processes that support large-scale citizen science monitoring projects is increasingly critical.</t>
  </si>
  <si>
    <t>[Pecl, Gretta T.; Stuart-Smith, Jemina; Walsh, Peter; Frusher, Stewart D.; Keane, John; Pender, Andrew] Univ Tasmania, Inst Marine &amp; Antarctic Studies, Hobart, Tas, Australia; [Pecl, Gretta T.; Frusher, Stewart D.] Ctr Marine Socioecol, Hobart, Tas, Australia; [Bray, Dianne J.] Museum Victoria, Melbourne, Vic, Australia; [Kusetic, Martha; Sheaves, Marcus] James Cook Univ, Townsville, Qld, Australia; [Burgess, Michael] Fishcare Victoria Inc, Bairnsdale, Vic, Australia; [Gledhill, Daniel C.] Dept Primary Ind Pk Water &amp; Environm, Div Water &amp; Marine Resources, Hobart, Tas, Australia; [George, Oliver] Condense Ply Ltd, Hobart, Tas, Australia; [Jackson, Gary] Govt Western Australia, Dept Primary Ind &amp; Reg Dev, North Beach, WA, Australia; [Martin, Victoria Y.] Cornell Univ, Cornell Lab Ornithol, Ithaca, NY USA; [Nursey-Bray, Melissa] Univ Adelaide, Geog Environm &amp; Populat, Adelaide, SA, Australia; [Robinson, Lucy M.] Univ Western Australia, Oceans Inst, Perth, WA, Australia; [Robinson, Lucy M.] Univ Western Australia, Oceans Grad Sch, Perth, WA, Australia; [Robinson, Lucy M.] CSIRO Oceans &amp; Atmosphere, Crawley, WA, Australia; [Rowling, Keith] PIRSA Fisheries &amp; Aquaculture, Adelaide, SA, Australia; [Moltschaniwskyj, Natalie] Govt New South Wales, Dept Primary Ind, Sydney, NSW, Australia; [Moltschaniwskyj, Natalie] Univ Newcastle, Sch Environm &amp; Life Sci, Callaghan, NSW, Australia</t>
  </si>
  <si>
    <t>University of Tasmania; Museum Victoria; James Cook University; Government of Western Australia; Department of Primary Industries &amp; Regional Development NSW; Cornell University; Adelaide University; University of Adelaide; University of Western Australia; University of Western Australia; Commonwealth Scientific &amp; Industrial Research Organisation (CSIRO); Department of Primary Industries &amp; Regional Development NSW; University of Newcastle</t>
  </si>
  <si>
    <t>Pecl, GT (corresponding author), Univ Tasmania, Inst Marine &amp; Antarctic Studies, Hobart, Tas, Australia.;Pecl, GT (corresponding author), Ctr Marine Socioecol, Hobart, Tas, Australia.</t>
  </si>
  <si>
    <t>gretta.pecl@utas.edu.au</t>
  </si>
  <si>
    <t>Frusher, Stewart/G-5117-2014; Pecl, Gretta/D-7267-2011; Sheaves, Marcus/G-4283-2012; Martin, Vicki/J-2131-2019; Moltschaniwskyj, Natalie/AAB-7236-2019; Nursey-Bray, Melissa/J-8183-2019</t>
  </si>
  <si>
    <t>Pecl, Gretta/0000-0003-0192-4339; Keane, John Patrick/0000-0001-8950-5176; y-Bray, Melissa/0000-0002-4121-5177; Moltschaniwskyj, Natalie/0000-0001-9709-9876; Robinson, Lucy/0000-0001-9324-401X;</t>
  </si>
  <si>
    <t>Tasmanian Community Fund; Inspiring Australia; Australian National Data Service; Fishwise; Department of Agriculture Fisheries and Forestry; Climate Connect; ARC; Western Australia Department of Fisheries; IMAS at the University of Tasmania; ARC Future Fellowship</t>
  </si>
  <si>
    <t>Tasmanian Community Fund; Inspiring Australia; Australian National Data Service; Fishwise; Department of Agriculture Fisheries and Forestry(Australian GovernmentDepartment of Agriculture and Water Resources); Climate Connect; ARC(Australian Research Council); Western Australia Department of Fisheries; IMAS at the University of Tasmania; ARC Future Fellowship(Australian Research Council)</t>
  </si>
  <si>
    <t>Funding for Redmap Tasmania was initially through the Tasmanian Community Fund; subsequent funding has included Inspiring Australia, Australian National Data Service, Fishwise, Department of Agriculture Fisheries and Forestry, Climate Connect, ARC, Western Australia Department of Fisheries, and IMAS at the University of Tasmania. GP was supported by an ARC Future Fellowship.</t>
  </si>
  <si>
    <t>JUN 28</t>
  </si>
  <si>
    <t>10.3389/fmars.2019.00349</t>
  </si>
  <si>
    <t>IG0MG</t>
  </si>
  <si>
    <t>WOS:000473484200001</t>
  </si>
  <si>
    <t>Vétek, G; Melifronidou-Pantelidou, A; Koukkoularidou, D; Martinou, A</t>
  </si>
  <si>
    <t>Vetek, Gabor; Melifronidou-Pantelidou, Anthemis; Koukkoularidou, Despina; Martinou, Angeliki</t>
  </si>
  <si>
    <t>Initiation of a monitoring programme for early detection of Halyomorpha halys in Cyprus by using pheromone-baited traps and involving citizen science</t>
  </si>
  <si>
    <t>brown marmorated stink bug; semiochemical-baited trap; public awareness; island country; biosecurity</t>
  </si>
  <si>
    <t>MARMORATED STINK BUG; HETEROPTERA-PENTATOMIDAE; HEMIPTERA-PENTATOMIDAE; STAL HETEROPTERA; 1ST RECORDS; DAMAGE; HISTORY; BIOLOGY; PEST</t>
  </si>
  <si>
    <t>The invasive brown marmorated stink bug Halyomorpha halys is native to East Asia and was first detected in Switzerland, Europe in 2004. It is now widespread throughout continental Europe and has recently been reported on several islands in the Mediterranean Sea. In the Eastern Mediterranean, it has been recorded in Greece, Turkey and most probably Egypt, but there is no information regarding its occurrence in the Republic of Cyprus. Therefore, in September 2019, a survey at potential points of entry and arrivals was carried out by setting pheromone traps of the pest in the vicinity of airports, harbours as well as next to importers' trade warehouses in the country. This stink bug monitoring programme in September and October was completed with an awareness campaign, which consisted of the establishment of a citizen science initiative for the early warning of this alien pest by disseminating an alert letter titled Bug Alert Cyprus in English and Greek to various target groups. To the best of our knowledge, this is the first CS initiative in Cyprus focusing on the early detection of a polyphagous agricultural and nuisance pest. The lack of H. halys captured during the trapping period, and the absence of reports from citizens seem to indicate that H. halys had not reached this European island country up to January 2020. The methodology we applied and our further recommendations may foster further CS activities combined with targeted trappings to give an early warning and enable the detection of H. halys as effectively as possible on European islands as well as on other remote or isolated parts of the world not yet invaded by this pest.</t>
  </si>
  <si>
    <t>[Vetek, Gabor] Szent Istvan Univ, Inst Plant Protect, Dept Entomol, Villanyi Ut 29-43, H-1118 Budapest, Hungary; [Melifronidou-Pantelidou, Anthemis; Koukkoularidou, Despina] Minist Agr Rural Dev &amp; Environm, Dept Agr, Plant Hlth &amp; Mkt Stand Agr Prod Sect, Loukis Akritas Ave, CY-1412 Nicosia, Cyprus; [Martinou, Angeliki] Royal Air Force Akrotiri, Joint Serv Hlth Unit, Lab Vector Ecol &amp; Appl Entomol, British Forces PO 57, Akrotiri, Cyprus; [Martinou, Angeliki] Cyprus Inst, 20 Konstantinou Kavafi St, CY-2121 Aglantzia, Cyprus; [Martinou, Angeliki] Enalia Physis, Akropoleos 2, CY-2101 Aglangia, Cyprus</t>
  </si>
  <si>
    <t>HUN-REN; HUN-REN Centre for Agricultural Research; Plant Protection Institute - HAS; Hungarian University of Agriculture &amp; Life Sciences</t>
  </si>
  <si>
    <t>Vétek, G (corresponding author), Szent Istvan Univ, Inst Plant Protect, Dept Entomol, Villanyi Ut 29-43, H-1118 Budapest, Hungary.</t>
  </si>
  <si>
    <t>Vetek.Gabor@szie.hu; amelifronidou@da.moa.gov.cy; dkoukkoularidou@da.moa.gov.cy; A.martinou@cyi.ac.cy</t>
  </si>
  <si>
    <t>COST Action 'Increasing understanding of alien species through citizen science' (ALIEN-CSI) [CA17122]; Hungarian Ministry for Innovation and Technology within the framework of the Higher Education Institutional Excellence Program in the scope of plant breeding and plant protection research of Szent Istvan University [NKFIH-1159-6/2019]; [NKTH 2017-2.3.3-TET-VN-201700006]</t>
  </si>
  <si>
    <t>COST Action 'Increasing understanding of alien species through citizen science' (ALIEN-CSI); Hungarian Ministry for Innovation and Technology within the framework of the Higher Education Institutional Excellence Program in the scope of plant breeding and plant protection research of Szent Istvan University;</t>
  </si>
  <si>
    <t>This research was supported by the COST Action `Increasing understanding of alien species through citizen science' (ALIEN-CSI) CA17122 by providing financial support for Gabor Vetek to conduct the research in Cyprus. This research was also supported by the Hungarian Ministry for Innovation and Technology within the framework of the Higher Education Institutional Excellence Program (NKFIH-1159-6/2019) in the scope of plant breeding and plant protection research of Szent Istvan University, and the NKTH 2017-2.3.3-TET-VN-201700006 research project by supporting Gabor Vetek in the preparation of the article.</t>
  </si>
  <si>
    <t>10.3391/mbi.2021.12.2.08</t>
  </si>
  <si>
    <t>RN8TA</t>
  </si>
  <si>
    <t>WOS:000640623900008</t>
  </si>
  <si>
    <t>Lauer, KJ; Soboyisi, M; Kassam, CA; Mseu, D; Oberth, G; Baptiste, SL</t>
  </si>
  <si>
    <t>Lauer, Krista J.; Soboyisi, Melikhaya; Kassam, Carol Ameera; Mseu, Dennis; Oberth, Gemma; Baptiste, Solange L.</t>
  </si>
  <si>
    <t>Defining community-led monitoring and its role in programme-embedded learning: lessons from the Citizen Science Project in Malawi and South Africa</t>
  </si>
  <si>
    <t>JOURNAL OF THE INTERNATIONAL AIDS SOCIETY</t>
  </si>
  <si>
    <t>community-led monitoring; COVID-19; HIV; key populations; participatory action research; Programme Science</t>
  </si>
  <si>
    <t>Introduction: Programme Science (PS) and community-led monitoring (CLM) intersect in unexpected and promising ways. This commentary examines a CLM initiative in Malawi and South Africa to highlight the crucial role of CLM in bolstering the PS framework. By leveraging data sources often overlooked by conventional research and evaluation approaches, CLM emerges as a pivotal element in enhancing programme effectiveness. This paper delineates the fundamental principles of CLM, presents programme outcomes derived from CLM methodologies and contextualizes these findings within the broader framework of PS. Discussion: The Citizen Science Project implements CLM continuously at 33 health facilities: 14 in Malawi (eight in Kasungu District and six in Dedza District), and 19 in South Africa (all in the West Rand District), representing a total catchment area of 989,848 people. Monitoring indicators are developed in an iterative process with community groups. The indicators are unique to each country, but both focus on the uptake of health services (quantitative) and barriers to access (qualitative). Monthly clinic records surveys capture 34 indicators in Malawi and 20 in South Africa and are supplemented by qualitative interviews with care recipients and healthcare workers. Qualitative interviews provide additional granularity and help confirm and explain the more macro trends in service coverage as described in quantitative data. The resulting data analysis reveals key themes that help stakeholders and decision-makers to solve problems collaboratively. Noteworthy outcomes include a substantial increase in multi-month dispensing of antiretroviral therapy (ART) during COVID-19 (from 6% to 31%) with a subsequent recovery surpassing of HIV service benchmarks in Malawi post-pandemic. Conclusions: While quantifying direct impact remains challenging due to the project's design, CLM proves to be a robust methodology that generates credible data and produces impactful outcomes. Its potential extends beyond the health sector, empowering community leadership and fostering interventions aligned with community needs. As CLM continues to evolve, its integration into PS promises to improve relevance, quality and impact across diverse disciplines.</t>
  </si>
  <si>
    <t>[Lauer, Krista J.; Baptiste, Solange L.] Int Treatment Preparedness Coalit Global ITPC, Johannesburg, South Africa; [Soboyisi, Melikhaya] Networking HIV &amp; AIDS Community Southern Africa N, Cape Town, South Africa; [Kassam, Carol Ameera] Bwaila Hosp, Lilongwe, Malawi; [Mseu, Dennis] Malawi Network Religious Leaders Living Personall, Lilongwe, Malawi; [Oberth, Gemma] Univ Cape Town, Ctr Social Sci Res, Cape Town, South Africa</t>
  </si>
  <si>
    <t>University of Cape Town</t>
  </si>
  <si>
    <t>Lauer, KJ (corresponding author), Int Treatment Preparedness Coalit Global, 1 Wedgewood Link, ZA-2196 Bryanston, South Africa.</t>
  </si>
  <si>
    <t>klauer@itpcglobal.org</t>
  </si>
  <si>
    <t>Baptiste, Solange/0000-0002-8409-765X; Lauer, Krista/0009-0000-1991-8127; Oberth, Gemma/0000-0002-9322-1923</t>
  </si>
  <si>
    <t>Bill and Melinda Gates Foundation Funding Source: Medline</t>
  </si>
  <si>
    <t>Bill and Melinda Gates Foundation(Bill &amp; Melinda Gates Foundation)</t>
  </si>
  <si>
    <t>We acknowledge Dr. Jane Harries, University of Cape Town, for guiding the qualitative elements of the study and providing expert support throughout implementation. We acknowledge all CLM implementers, data collectors, managers and analysts at implementing partners MANERELA+, NACOSA and ITPC. We thank all members of the Community Consultative Groups in Malawi and South Africa for their ongoing efforts and collaboration, including government partners.</t>
  </si>
  <si>
    <t>JOHN WILEY &amp; SONS LTD</t>
  </si>
  <si>
    <t>CHICHESTER</t>
  </si>
  <si>
    <t>THE ATRIUM, SOUTHERN GATE, CHICHESTER PO19 8SQ, W SUSSEX, ENGLAND</t>
  </si>
  <si>
    <t>1758-2652</t>
  </si>
  <si>
    <t>J INT AIDS SOC</t>
  </si>
  <si>
    <t>J. Int. AIDS Soc.</t>
  </si>
  <si>
    <t>e26277</t>
  </si>
  <si>
    <t>10.1002/jia2.26277</t>
  </si>
  <si>
    <t>Immunology; Infectious Diseases</t>
  </si>
  <si>
    <t>YC7U5</t>
  </si>
  <si>
    <t>WOS:001266361800008</t>
  </si>
  <si>
    <t>Rodrigues, FS; Moraes, AO</t>
  </si>
  <si>
    <t>Rodrigues, F. S.; Moraes, A. O.</t>
  </si>
  <si>
    <t>ScintPi: A Low-Cost, Easy-to-Build GPS Ionospheric Scintillation Monitor for DASI Studies of Space Weather, Education, and Citizen Science Initiatives</t>
  </si>
  <si>
    <t>EARTH AND SPACE SCIENCE</t>
  </si>
  <si>
    <t>ionosphere; scintillation; irregularities; space weather; Raspberry Pi</t>
  </si>
  <si>
    <t>EQUATORIAL SPREAD-F; REAL-TIME; IRREGULARITIES; AURORASAURUS; CLIMATOLOGY; BRAZIL; RADAR</t>
  </si>
  <si>
    <t>We report the proposal and results of a low-cost, easy-to-build GPS-based sensor for detection and monitoring ionospheric irregularities through the detection of amplitude scintillation. The system is based on the Raspberry Pi single-board computer combined with an Adafruit Ultimate GPS peripheral, which is capable of measuring (at 10-Hz rate) the intensity of the L1 signals transmitted by GPS satellites. We introduce and discuss results of short- and long-term observations obtained with a prototype of this system deployed in Presidente Prudente, a low magnetic latitude site in Brazil. The deployment and observations were carried out to test the ability of the system to detect ionospheric scintillations and, therefore, monitor the occurrence of ionospheric irregularities associated with equatorial spread F. Our results show that this low-cost sensor is indeed capable of detecting scintillation events associated with equatorial spread F. Comparison with simultaneous, collocated measurements made by a commercial scintillation monitor are also presented. The joint observations allowed us to quantify the performance of the low-cost monitor and to identify sources of potential limitations. While the sensor cannot (and it was not intended to) substitute commercial scintillation monitors, the low cost allows its use in studies of ionospheric irregularities (space weather) that require observations made by distributed arrays of small instruments (DASI). Furthermore, the simplicity of the sensor design stimulates its use in educational and citizen science initiatives.</t>
  </si>
  <si>
    <t>[Rodrigues, F. S.] Univ Texas Dallas, Richardson, TX 75083 USA; [Moraes, A. O.] IAE, Sao Paulo, Brazil</t>
  </si>
  <si>
    <t>University of Texas System; University of Texas Dallas</t>
  </si>
  <si>
    <t>Rodrigues, FS (corresponding author), Univ Texas Dallas, Richardson, TX 75083 USA.</t>
  </si>
  <si>
    <t>fabiano@utdallas.edu</t>
  </si>
  <si>
    <t>de Oliveira Moraes, Alison/N-5584-2017</t>
  </si>
  <si>
    <t>de Oliveira Moraes, Alison/0000-0002-6493-1694; da Silveira Roigues, Fabiano/0000-0002-3555-8165</t>
  </si>
  <si>
    <t>NSF [AGS-1554926, AST-1547048]; CNPq [314043/2018-7, 465648/2014-2]; FAPESP [2017/50115-0]; Fundacao de Amparo a Pesquisa do Estado de Sao Paulo (FAPESP) [17/50115-0] Funding Source: FAPESP</t>
  </si>
  <si>
    <t>NSF(National Science Foundation (NSF)); CNPq(Conselho Nacional de Desenvolvimento Cientifico e Tecnologico (CNPQ)Fundacao de Amparo a Pesquisa do Estado de Sao Paulo (FAPESP)); FAPESP(Fundacao de Amparo a Pesquisa do Estado de Sao Paulo (FAPESP)); Fundacao de Amparo a Pesquisa do Estado de Sao Paulo (FAPESP)(Fundacao de Amparo a Pesquisa do Estado de Sao Paulo (FAPESP))</t>
  </si>
  <si>
    <t>Work at UT Dallas was supported by NSF (Awards AGS-1554926 and AST-1547048). A. O. M. was supported by CNPq Award 314043/2018-7. The PolaRx5S observations used in this study were collected as part of the CIGALA/CALIBRA Network, currently maintained by CNPq 465648/2014-2 and FAPESP 2017/50115-0. The authors would like to thank the technical support provided by Galera Monico, Italo Tsuchiya, and Marcelo Pirro from UNESP. All the ScintPi measurements (S4 indices) made during 2018 in Presidente Prudente are available on a public repository (DOI: 10.5281/zenodo.3261804). We also made raw (10 Hz) measurements for 11 February 2018 available on the same repository. Septentrio data used in this paper are from the CIGALA/CALIBRA network and are available to be downloaded through the website (http://is-cigalacalibra.fct.unesp.br/is/index.php).</t>
  </si>
  <si>
    <t>AMER GEOPHYSICAL UNION</t>
  </si>
  <si>
    <t>2000 FLORIDA AVE NW, WASHINGTON, DC 20009 USA</t>
  </si>
  <si>
    <t>2333-5084</t>
  </si>
  <si>
    <t>EARTH SPACE SCI</t>
  </si>
  <si>
    <t>Earth Space Sci.</t>
  </si>
  <si>
    <t>10.1029/2019EA000588</t>
  </si>
  <si>
    <t>Astronomy &amp; Astrophysics; Geosciences, Multidisciplinary</t>
  </si>
  <si>
    <t>Astronomy &amp; Astrophysics; Geology</t>
  </si>
  <si>
    <t>JE8QT</t>
  </si>
  <si>
    <t>WOS:000490955600017</t>
  </si>
  <si>
    <t>Gurnell, AM; England, J; Shuker, L; Wharton, G</t>
  </si>
  <si>
    <t>Gurnell, Angela M.; England, Judy; Shuker, Lucy; Wharton, Geraldene</t>
  </si>
  <si>
    <t>The contribution of citizen science volunteers to river monitoring and management: International and national perspectives and the example of the MoRPh survey</t>
  </si>
  <si>
    <t>bio-physical river habitat monitoring; citizen science; citizen river science; Modular River Survey; Riverfly Plus</t>
  </si>
  <si>
    <t>STATE; TOOL</t>
  </si>
  <si>
    <t>The contribution of citizen scientists to worldwide environmental monitoring has increased rapidly, particularly over the last two decades, as initiatives have become increasingly wide ranging in scope and style. River monitoring and assessment faces many challenges, especially over the longer-term. Difficult decisions are being made over what can be measured and where. Citizen scientists are helping address these challenges by providing information on properties of river ecosystems, in particular biotic and water quality indicators, at lower cost and higher spatial and temporal coverage than would otherwise be possible and by contributing to data interpretation especially through their local knowledge. A notable deficit, however, has been the monitoring of physical characteristics and outcomes of physical interventions. Furthermore, the development of frameworks, such as the catchment partnership approach in the United Kingdom, within which volunteers, non-governmental organisations, charities, and statutory bodies collaborate to improve understanding of river environments and decision making, is facilitating the engagement needed to support a new generation of integrated citizen science surveys. Within the United Kingdom, citizen scientists use the Modular River Survey to record river habitat data at a range of spatial scales to monitor physical changes and complement biological monitoring, notably the Riverfly Monitoring Initiative and associated Riverfly Plus surveys. They also collect geomorphological data and provide data for restoration appraisal. We present and analyse Modular River Survey data to illustrate how such new generation, multiscale, multipurpose monitoring methods can extract maximum value from the ever-increasing citizen river science approach.</t>
  </si>
  <si>
    <t>[Gurnell, Angela M.; Wharton, Geraldene] Queen Mary Univ London, Sch Geog, Mile End Rd, London E1 4NS, England; [England, Judy] Environm Agcy, Res, Wallingford, Oxon, England; [Shuker, Lucy] Thames21, London, England</t>
  </si>
  <si>
    <t>University of London; Queen Mary University London</t>
  </si>
  <si>
    <t>Gurnell, AM (corresponding author), Queen Mary Univ London, Sch Geog, Mile End Rd, London E1 4NS, England.</t>
  </si>
  <si>
    <t>a.m.gurnell@qmul.ac.uk</t>
  </si>
  <si>
    <t>10.1002/rra.3483</t>
  </si>
  <si>
    <t>JUL 2019</t>
  </si>
  <si>
    <t>JK6HU</t>
  </si>
  <si>
    <t>WOS:000478419100001</t>
  </si>
  <si>
    <t>Owens, E; Heard, SB; Johns, RC</t>
  </si>
  <si>
    <t>Owens, Emily; Heard, Stephen B.; Johns, Rob C.</t>
  </si>
  <si>
    <t>Having it all: hybridizing conventional and community science monitoring for enhanced data quality and cost savings</t>
  </si>
  <si>
    <t>financial costs; population monitoring; geospatial distribution; spruce budworm; citizen science; community science</t>
  </si>
  <si>
    <t>Large-scale monitoring is used to track population trends for many ecologically and economically important wildlife species. Often, population monitoring involves professional staff travelling to collect data (i.e., conventional monitoring) or in efforts to reduce monitoring costs, by engaging volunteers (i.e., community science). Although many studies have discussed the advantages and disadvantages of conventional vs. community science monitoring, few have made direct, quantitative comparisons between these two approaches. We compared data quality and financial costs between contemporaneous and overlapping conventional and community science programs for monitoring a major forest pest, the spruce budworm (Choristoneura fumiferanae Clem.). Although community science trapping sites were clumped around urban areas, abundance estimates from the programs were strongly spatially correlated. However, annual program expenditures were nearly four times lower in the community science versus the conventional program. We modelled a hypothetical hybrid model of the two programs, which provided full spatial coverage and potentially the same data, but at half the cost of the conventional program and with the added opportunity for public engagement. Our study provides a unique quantitative analysis of merits and costs of conventional versus community science monitoring. Our study offers insights on how to assess wildlife monitoring programs where multiple approaches exist.</t>
  </si>
  <si>
    <t>[Owens, Emily; Johns, Rob C.] Nat Resources Canada, Canadian Forest Serv, Atlantic Forestry Ctr, Fredericton, NB E3B 5P7, Canada; [Owens, Emily; Heard, Stephen B.; Johns, Rob C.] Univ New Brunswick, Fac Biol, Populat Ecol &amp; Evolut Res Grp, Fredericton, NB E3B 5A3, Canada</t>
  </si>
  <si>
    <t>Natural Resources Canada; Canadian Forest Service; University of New Brunswick</t>
  </si>
  <si>
    <t>Owens, E (corresponding author), Nat Resources Canada, Canadian Forest Serv, Atlantic Forestry Ctr, Fredericton, NB E3B 5P7, Canada.;Owens, E (corresponding author), Univ New Brunswick, Fac Biol, Populat Ecol &amp; Evolut Res Grp, Fredericton, NB E3B 5A3, Canada.</t>
  </si>
  <si>
    <t>emily.owens@canada.ca</t>
  </si>
  <si>
    <t>Heard, Stephen/C-2737-2012</t>
  </si>
  <si>
    <t>Natural Resources Canada</t>
  </si>
  <si>
    <t>Natural Resources Canada(Natural Resources CanadaCanadian Forest Service)</t>
  </si>
  <si>
    <t>First and foremost, we thank our many Budworm Trackers who are too numerous to list by namethey are the backbone of this program and we are grateful for their continued participation and enthusiasm. We would also thank the dedicated groups that are instrumental in maintaining this program on a year-to-year basis and the program's provincial and state leaders. We would like to thank Eric Knopf, Justin Chase, Doug Winters, and Drew Carleton for their assistance in obtaining the conventional monitoring program costs. We thank Ian DeMerchant for assistance in ArcGIS on an earlier version of this paper's methods. We also thank Dr. Sara Edwards in her assistance with managing the Budworm Tracker program's data and the R code for this paper. Financial support was provided by Natural Resources Canada.</t>
  </si>
  <si>
    <t>DEC 9</t>
  </si>
  <si>
    <t>10.1139/facets-2021-0013</t>
  </si>
  <si>
    <t>XN9AU</t>
  </si>
  <si>
    <t>WOS:000729790500001</t>
  </si>
  <si>
    <t>Fraisl, D; See, L; Estevez, D; Tomaska, N; Macfeely, S</t>
  </si>
  <si>
    <t>Fraisl, Dilek; See, Linda; Estevez, Diana; Tomaska, Nola; Macfeely, Steve</t>
  </si>
  <si>
    <t>Citizen science for monitoring the health and well-being related Sustainable Development Goals and the World Health Organization's Triple Billion Targets</t>
  </si>
  <si>
    <t>FRONTIERS IN PUBLIC HEALTH</t>
  </si>
  <si>
    <t>Sustainable Development Goals (SDGs); Triple Billion Targets; data gaps and needs; official statistics; citizen science; health and well-being; health and well-being indicators</t>
  </si>
  <si>
    <t>INDICATORS; TOOL</t>
  </si>
  <si>
    <t>Achieving the health and well-being related Sustainable Development Goals (SDGs) and the World Health Organization's (WHO) Triple Billion Targets depends on informed decisions that are based on concerted data collection and monitoring efforts. Even though data availability has been increasing in recent years, significant gaps still remain for routine surveillance to guide policies and actions. The COVID-19 crisis has shown that more and better data and strengthened health information systems are needed to inform timely decisions that save lives. Traditional sources of data such as nationally representative surveys are not adequate for addressing this challenge alone. Additionally, the funding required to measure all health and well-being related SDG indicators and Triple Billion Targets using only traditional sources of data is a challenge to achieving efficient, timely and reliable monitoring systems. Citizen science, public participation in scientific research and knowledge production, can contribute to addressing some of these data gaps efficiently and sustainably when designed well, and ultimately, could contribute to the achievement of the health and well-being related SDGs and Triple Billion Targets. Through a systematic review of health and well-being related indicators, as well as citizen science initiatives, this paper aims to explore the potential of citizen science for monitoring health and well-being and for mobilizing action toward the achievement of health and well-being related targets as outlined in the SDG framework and Triple Billion Targets. The results demonstrate that out of 58 health and well-being related indicators of the SDGs and Triple Billion Targets covered in this study, citizen science could potentially contribute to monitoring 48 of these indicators and their targets, mostly at a local and community level, which can then be upscaled at a national level with the projection to reach global level monitoring and implementation. To integrate citizen science with official health and well-being statistics, the main recommendation is to build trusted partnerships with key stakeholders including National Statistical Offices, governments, academia and the custodian agencies, which is mostly the WHO for these health and well-being related targets and indicators.</t>
  </si>
  <si>
    <t>[Fraisl, Dilek; See, Linda] Int Inst Appl Syst Anal, Laxenburg, Austria; [Estevez, Diana; Tomaska, Nola; Macfeely, Steve] WHO, Geneva, Switzerland; [Macfeely, Steve] Univ Coll Cork, Cork, Ireland</t>
  </si>
  <si>
    <t>International Institute for Applied Systems Analysis (IIASA); World Health Organization; University College Cork</t>
  </si>
  <si>
    <t>Estevez, Dimitri/AAR-7321-2021; Fraisl, Dilek/ITT-4754-2023</t>
  </si>
  <si>
    <t>Fraisl, Dilek/0000-0001-7523-7967</t>
  </si>
  <si>
    <t>This research was supported by the World Health Organization (WHO). The authors are responsible for the views expressed in this article and they do not necessarily represent the decisions, policy, or views of the World Health Organization. Additionally, DF; World Health Organization (WHO); National Member Organizations</t>
  </si>
  <si>
    <t>This research was supported by the World Health Organization (WHO). The authors are responsible for the views expressed in this article and they do not necessarily represent the decisions, policy, or views of the World Health Organization. Additionally, DF; World Health Organization (WHO)(World Health Organization); National Member Organizations</t>
  </si>
  <si>
    <t>This research was supported by the World Health Organization (WHO). The authors are responsible for the views expressed in this article and they do not necessarily represent the decisions, policy, or views of the World Health Organization. Additionally, DF and LS gratefully acknowledge funding from IIASA and the National Member Organizations that support the institute.</t>
  </si>
  <si>
    <t>2296-2565</t>
  </si>
  <si>
    <t>FRONT PUBLIC HEALTH</t>
  </si>
  <si>
    <t>Front. Public Health</t>
  </si>
  <si>
    <t>AUG 9</t>
  </si>
  <si>
    <t>10.3389/fpubh.2023.1202188</t>
  </si>
  <si>
    <t>P9RW8</t>
  </si>
  <si>
    <t>WOS:001053989300001</t>
  </si>
  <si>
    <t>Focal Plant Observations as a Standardised Method for Pollinator Monitoring: Opportunities and Limitations for Mass Participation Citizen Science (vol 11, e0150794, 2016)</t>
  </si>
  <si>
    <t>Pocock, Michael/0000-0003-4375-0445;</t>
  </si>
  <si>
    <t>e0155571</t>
  </si>
  <si>
    <t>10.1371/journal.pone.0155571</t>
  </si>
  <si>
    <t>DM7YQ</t>
  </si>
  <si>
    <t>WOS:000376576700067</t>
  </si>
  <si>
    <t>Rodríguez-Rojas, JJ; Fernández-Figueroa, EA; Salas-Rodríguez, PD; Ortiz-Barrera, JS; Huerta, H; González-Reyes, MO; Sánchez-Casas, RM; Fernández-Salas, I; Gutiérrez-Granados, G; Rodríguez-Moreno, A</t>
  </si>
  <si>
    <t>Rodriguez-Rojas, Jorge Jesus; Fernandez-Figueroa, Edith Araceli; Salas-Rodriguez, Pilar de Jesus; Ortiz-Barrera, Josue Severo; Huerta, Heron; Gonzalez-Reyes, Mario Octavio; Sanchez-Casas, Rosa Maria; Fernandez-Salas, Ildefonso; Gutierrez-Granados, Gabriel; Rodriguez-Moreno, Angel</t>
  </si>
  <si>
    <t>Citizen science to complement the surveillance of Triatominae (Hemiptera: Reduviidae) with data of Trypanosoma cruzi (Kinetoplastea: Trypanosomatidae) infection and spatial distribution models in northeast Mexico</t>
  </si>
  <si>
    <t>Citizen participation; Ecological niche; Inaturalist; Triatoma gerstaeckeri; Trypanosomatids</t>
  </si>
  <si>
    <t>CHAGAS-DISEASE; GEOGRAPHIC-DISTRIBUTION; VECTORS; TRANSMISSION; KNOWLEDGE; DIMIDIATA; YUCATAN</t>
  </si>
  <si>
    <t>The primary transmission of Trypanosoma cruzi, causative agent of Chagas disease, to humans and animals is through the feces and urine of Triatominae. Therefore, knowledge of their ecology and distribution is crucial for establishing effective surveillance programs with citizen participation. This is coupled with geographic distribution models to predict the risk of transmission in the areas most affected by Chagas disease. Therefore, this study aims to: a) document and validate citizen participation on the iNaturalist in the collection and observation of triatomines, as well as exploring risk factors; b) detect natural T. cruzi infection in triatomines using molecular and parasitological methods; c) to review the historical and recent literature of Triatoma gerstaeckeri (St &amp; aring;l 1859) in Mexico, and d) develop current and potential distribution models of T. gerstaeckeri to infer risk zones for parasite transmission in Mexico. Data of T. gerstaeckeri were collected from three sources: iNaturalist (n = 87), fieldwork data (n = 68), and scientific articles and theses (n = 882). iNaturalist observations were validated from photographs, specimen capture, and distribution overlap. The prevalence of natural infection by T. cruzi was 21.73 % (5/23) in T. gerstaeckeri from Nuevo Leon, with DTU strains TcI and TcIII, the first reports of DTU in the state. Citizen participation data like iNaturalist can potentially document the presence of triatomines at broad spatial scales. Still, they also represent an opportunity to engage and educate the public in the surveillance and control of these insect vectors associated with Chagas disease.</t>
  </si>
  <si>
    <t>[Rodriguez-Rojas, Jorge Jesus] Univ Autonoma Nuevo Leon, Fac Agron, Campus Ciencias Agr, Gen Escobedo, Nuevo Leon, Mexico; [Fernandez-Figueroa, Edith Araceli] Inst Nacl Med Genom Nucleo Innovac Med Precis, Ciudad De Mexico, Mexico; [Salas-Rodriguez, Pilar de Jesus; Sanchez-Casas, Rosa Maria] Univ Autonoma Nuevo Leon, Fac Med Vet &amp; Zootecnia, Campus Ciencias Agr, Gen Escobedo, NL, Mexico; [Ortiz-Barrera, Josue Severo] Univ Autonoma Nuevo Leon, Fac Ciencias Biol, Lab Entomol Med, San Nicolas De Los Garza, Nuevo Leon, Mexico; [Huerta, Heron; Gonzalez-Reyes, Mario Octavio] Secretaria Salud, Inst Diagnost &amp; Referencia Epidemiol Dr Manuel Mar, Ciudad De Mexico, Mexico; [Fernandez-Salas, Ildefonso] Ctr Reg Invest Salud Publ, Inst Nacl Salud Publ, Tapachula, Chiapas, Mexico; [Gutierrez-Granados, Gabriel] Univ Nacl Autonoma Mexico, Fac Estudios Super Zaragoza, Unidad Multidisciplinaria Invest Expt Zaragoza, Ciudad De Mexico, Mexico; [Rodriguez-Moreno, Angel] Univ Nacl Autonoma Mexico, Dept Zool, Inst Biol, Pabellon Nacl Biodivers, Ciudad De Mexico, Mexico</t>
  </si>
  <si>
    <t>Universidad Autonoma de Nuevo Leon; Universidad Autonoma de Nuevo Leon; Universidad Autonoma de Nuevo Leon; Instituto Nacional de Salud Publica; Universidad Nacional Autonoma de Mexico; Universidad Nacional Autonoma de Mexico</t>
  </si>
  <si>
    <t>Gutiérrez-Granados, G (corresponding author), Univ Nacl Autonoma Mexico, Fac Estudios Super Zaragoza, Unidad Multidisciplinaria Invest Expt Zaragoza, Ciudad De Mexico, Mexico.;Rodríguez-Moreno, A (corresponding author), Univ Nacl Autonoma Mexico, Dept Zool, Inst Biol, Pabellon Nacl Biodivers, Ciudad De Mexico, Mexico.</t>
  </si>
  <si>
    <t>gabriel.gutierrez@zaragoza.unam.mx; angel.rodriguez@st.ib.unam.mx</t>
  </si>
  <si>
    <t>SANCHEZ CASAS, ROSA MARIA/IYS-7292-2023; Rodríguez-Rojas, Jorge Jesús/O-4714-2017; Gutierrez, Gabriel/AAY-6491-2020</t>
  </si>
  <si>
    <t>SANCHEZ CASAS, ROSA MARIA/0000-0002-2626-7227; Gutierrez, Gabriel/0000-0002-5967-7425; Rodríguez-Rojas, Jorge Jesús/0000-0002-4807-5146; Huerta, Heron/0000-0002-7935-9758; Moreno, Angel Roiguez/0000-0002-1577-2471;</t>
  </si>
  <si>
    <t>Secretariat of Science, Humanities, Technology and Innovation (SECIHTI) [CBF2023-2024-2141]</t>
  </si>
  <si>
    <t>Secretariat of Science, Humanities, Technology and Innovation (SECIHTI)</t>
  </si>
  <si>
    <t>We greatly appreciate the participation of Roberto Castillo from Lampazos de Naranjo, thanks to whom we obtained the largest number of samples, as well as his constant participation in iNaturalist. We also thank all the people and communities that participated in the fieldwork, as well as to each iNaturalist user for demonstrating with their photographs the biodiversity that surrounds us.Funding sources: This work was supported by Secretariat of Science, Humanities, Technology and Innovation (SECIHTI), formerly the National Council of Humanities, Sciences and Technologies (CONAHCYT), Mexico with number CBF2023-2024-2141.</t>
  </si>
  <si>
    <t>10.1016/j.actatropica.2025.107921</t>
  </si>
  <si>
    <t>L0251</t>
  </si>
  <si>
    <t>WOS:001629146200002</t>
  </si>
  <si>
    <t>Porter, JD; Bradford, L; Jardine, TD; Neapetung, M; Bharadwaj, LA; Strickert, G; Burns, J</t>
  </si>
  <si>
    <t>Porter, Jaclyn D.; Bradford, Lori; Jardine, Tim D.; Neapetung, Myron; Bharadwaj, Lalita A.; Strickert, Graham; Burns, Justin</t>
  </si>
  <si>
    <t>Nutrient Monitoring and Comparison of On-Site Community Science Data Collection Methods for Indigenous Water Protection</t>
  </si>
  <si>
    <t>nutrient; monitoring; water quality; community science; Indigenous; water management</t>
  </si>
  <si>
    <t>CLIMATE-CHANGE; PHOSPHORUS; IMPACTS; RUNOFF; HEALTH; SASKATCHEWAN; GOVERNANCE; NITROGEN; ALGAE</t>
  </si>
  <si>
    <t>Excessive nutrient loading in freshwater is a water quality and safety concern for Indigenous communities, especially those with inadequate water treatment. Continuous nutrient monitoring efforts in collaboration with community members require cost-effective but information-rich methods. Data gathered through community-science approaches could enhance source water protection programs and can provide first-hand knowledge and expertise through reciprocal information exchange with local community members. Yet, there are still misconceptions about the validity of data gathered by community scientists. This study validates the use of two inexpensive nutrient monitoring devices (YSI 9500 Photometer and the Nutrient Smartphone App) for community-based environmental research by testing the accuracy of each device, identifying nutrient hotspots, and determining if nutrient concentrations relate to precipitation patterns in a drought-prone region of Saskatchewan within the Lake Winnipeg Basin in Canada. We found that the measurement accuracy of these devices varied depending on the compound tested, with the poorest results for nitrate (r2 = 0.07) and the best results for phosphate (r2 = 0.89) when using the photometer. Seasonal nutrient concentration patterns differed between the years of moderate (2019) and low (2021) precipitation, but there was no correlation between rainfall amounts and nutrient concentrations, suggesting other drivers. This study identifies the strengths and weaknesses of cost-effective nutrient testing devices, guiding continuous monitoring efforts with communities.</t>
  </si>
  <si>
    <t>[Porter, Jaclyn D.; Strickert, Graham] Univ Saskatchewan, Sch Environm &amp; Sustainabil, Saskatoon, SK S7N 5A9, Canada; [Bradford, Lori] Univ Saskatchewan, Coll Engn, Ron &amp; Jane Graham Sch Profess Dev, Saskatoon, SK S7N 5A9, Canada; [Jardine, Tim D.] Univ Saskatchewan, Toxicol Ctr, Saskatoon, SK S7N 5A9, Canada; [Neapetung, Myron] Yellow Quill First Natn, Community Based Res Partner, Yellow Quill, SK S0A 3A0, Canada; [Bharadwaj, Lalita A.] Univ Saskatchewan, Coll Med, Saskatoon, SK S7N 5A9, Canada; [Burns, Justin] Councilor &amp; Community Based Res Partner, James Smith Cree Nation, Melfort, SK S0E 1A0, Canada</t>
  </si>
  <si>
    <t>University of Saskatchewan; University of Saskatchewan; University of Saskatchewan; University of Saskatchewan</t>
  </si>
  <si>
    <t>Bradford, L (corresponding author), Univ Saskatchewan, Coll Engn, Ron &amp; Jane Graham Sch Profess Dev, Saskatoon, SK S7N 5A9, Canada.</t>
  </si>
  <si>
    <t>jdp218@campus.usask.ca; lori.bradford@usask.ca; tim.jardine@usask.ca; myron.neapetung@gmail.com; lalita.bharadwaj@usask.ca; graham.strickert@usask.ca; hulker0110@gmail.com</t>
  </si>
  <si>
    <t>Bradford, Lori/AFB-8752-2022; Jardine, Timothy/AFZ-4837-2022</t>
  </si>
  <si>
    <t>Bradford, Lori/0000-0002-0926-2010;</t>
  </si>
  <si>
    <t>Lake Winnipeg Basin Program, Environment Climate Change Canada; Global Water Futures program at the University of Saskatchewan; [LW-SK-2019n008]</t>
  </si>
  <si>
    <t>Lake Winnipeg Basin Program, Environment Climate Change Canada; Global Water Futures program at the University of Saskatchewan(University of Saskatchewan);</t>
  </si>
  <si>
    <t>This work was supported by the Lake Winnipeg Basin Program, Environment Climate Change Canada, under Grant LW-SK-2019n008, and the Global Water Futures program at the University of Saskatchewan.</t>
  </si>
  <si>
    <t>MAY 5</t>
  </si>
  <si>
    <t>10.3390/w17091386</t>
  </si>
  <si>
    <t>2MG0I</t>
  </si>
  <si>
    <t>WOS:001486003100001</t>
  </si>
  <si>
    <t>Arizaga, J; Crespo, A; Iraeta, A</t>
  </si>
  <si>
    <t>Arizaga, Juan; Crespo, Arine; Iraeta, Agurtzane</t>
  </si>
  <si>
    <t>Lowering the cost of citizen science: can we reduce the number of sampling visits in a constant ringing effort-based monitoring program?</t>
  </si>
  <si>
    <t>JOURNAL OF ORNITHOLOGY</t>
  </si>
  <si>
    <t>Citizen science; Conservation status; Monitoring schemes; Passerines</t>
  </si>
  <si>
    <t>POPULATION; SURVIVAL</t>
  </si>
  <si>
    <t>Volunteer-based (i.e., citizen science) monitoring schemes constitute a basic piece for the long-term monitoring of bird populations. This work aims to determine whether we can reduce the sampling effort, in terms of number of sampling journeys per yearly campaign, of a long-term breeding bird monitoring ringing scheme in Spain. With that goal, we test to what extent a progressive decreasing number of journeys (from the original effort of seven visits in a season to four visits) will have an impact on indices of adult abundance and/or productivity. Reducing the number of visits did not affect the estimate of abundance of adults, either if we consider a full-period population change index which takes into account the numbers of the last survey year in relation to the first one in the series, or if we consider annual trends (with a yearly index which is referred to a reference value-1-fixed for the first survey year). By contrast, the estimation of productivity was severely affected by a reduction of the sampling effort. We attribute this result to the fact that juveniles were captured late in the season and, therefore, eliminating the last sampling journeys produced biased estimates. It is proposed that the program can reduce the effort from seven to six visits (i.e., one visit per fortnight from May to July) with little impact on the estimation of abundance and productivity. Additionally, the program may admit sites with a sampling effort of four visits, from May to June, useful to estimate trends on abundance of adults and their survival rates (but not on productivity). With this dual option, we expect to increase the spatial coverage of the program and the robustness and representativeness of at least two of the indices calculated through the program, since we might both increase the number of participants (i.e., sites) and the type of habitats covered.</t>
  </si>
  <si>
    <t>[Arizaga, Juan; Crespo, Arine; Iraeta, Agurtzane] Aranzadi Sci Soc, Dept Ornithol, Aranzadi Ringing Scheme, Zorroagagaina 11, Donostia San Sebastian 20014, Spain</t>
  </si>
  <si>
    <t>Arizaga, J (corresponding author), Aranzadi Sci Soc, Dept Ornithol, Aranzadi Ringing Scheme, Zorroagagaina 11, Donostia San Sebastian 20014, Spain.</t>
  </si>
  <si>
    <t>jarizaga@aranzadi.eus</t>
  </si>
  <si>
    <t>Basque Government; Gipuzkoa Deputation; Government of Navarra; Ayuntamiento del Valle de Egues; Ayuntamiento de Getxo. R. Robinson</t>
  </si>
  <si>
    <t>Basque Government(Basque Government); Gipuzkoa Deputation; Government of Navarra; Ayuntamiento del Valle de Egues; Ayuntamiento de Getxo. R. Robinson</t>
  </si>
  <si>
    <t>First of all, thanks to all the ringers who join the CES program of the Aranzadi Ringing Scheme (called EMAN project). We also want to extend our thanks to all the Public Administrations that authorized ringing activities for the running of this program. Some CES were financially supported by the following Administrations: Basque Government, Gipuzkoa Deputation, Government of Navarra, Ayuntamiento del Valle de Egues, Ayuntamiento de Getxo. R. Robinson and an anonymous reviewer provided very valuable comments that helped us to improve an earlier version of this work.</t>
  </si>
  <si>
    <t>2193-7192</t>
  </si>
  <si>
    <t>2193-7206</t>
  </si>
  <si>
    <t>J ORNITHOL</t>
  </si>
  <si>
    <t>J. Ornithol.</t>
  </si>
  <si>
    <t>10.1007/s10336-022-02019-7</t>
  </si>
  <si>
    <t>9E8LQ</t>
  </si>
  <si>
    <t>WOS:000875797100001</t>
  </si>
  <si>
    <t>Theuerkauf, EJ; Bunting, EL; Mack, EA; Rabins, LA</t>
  </si>
  <si>
    <t>Theuerkauf, Ethan J.; Bunting, Erin L.; Mack, Elizabeth A.; Rabins, Lucas A.</t>
  </si>
  <si>
    <t>Initial insights into the development and implementation of a citizen-science drone-based coastal change monitoring program in the Great Lakes region</t>
  </si>
  <si>
    <t>JOURNAL OF GREAT LAKES RESEARCH</t>
  </si>
  <si>
    <t>Coastal resilience; Drones; Great Lakes of North America</t>
  </si>
  <si>
    <t>ORDINARY HIGH WATER; LEVEL RISE; SHORELINE</t>
  </si>
  <si>
    <t>High-resolution spatio-temporal data are needed to improve coastal management programs, particularly along the Great Lakes where lake level fluctuations pose challenges to coastal decision-making and planning. Unfortunately, there is a paucity of coastal change monitoring datasets, particularly those that document event-scale changes over a large spatial scale. This paucity of data is compounded by the large size and range of shore types throughout the region. Unoccupied aerial vehicle (UAV) or drone data collected by citizen scientists are a potential solution to this challenge. However, no citizen science coastal change monitoring program exists in the Great Lakes region, nor does a comprehensive drone-based coastal change monitoring programs exist anywhere in the United States. To inform the development of drone-based citizen science programs, the goal of this paper is to describe the development and implementation of a citizen science coastal change monitoring program along the Great Lakes shores of Michigan. The citizens participating in this project generate imagery in two ways: (1) the submission of photos of coastal changes or hazards via a web app developed for the project called PicShores and (2) drone collection of survey-quality aerial imagery for use in the generation of orthomosaic images and digital elevation models (DEMs). This paper presents the methods utilized to develop the citizen science monitoring program, some initial findings from the citizen science monitoring, and explores some challenges and next steps for the program. (C) 2022 International Association for Great Lakes Research. Published by Elsevier B.V. All rights reserved.</t>
  </si>
  <si>
    <t>[Theuerkauf, Ethan J.; Bunting, Erin L.; Mack, Elizabeth A.; Rabins, Lucas A.] Michigan State Univ, Dept Geog Environm &amp; Spatial Sci, 673 Auditorium Rd Room 232, E Lansing, MI 48824 USA; [Bunting, Erin L.] Michigan State Univ, Remote Sensing &amp; GIS Res &amp; Outreach Serv, E Lansing, MI 48824 USA</t>
  </si>
  <si>
    <t>Bunting, EL (corresponding author), Michigan State Univ, Dept Geog Environm &amp; Spatial Sci, 673 Auditorium Rd Room 232, E Lansing, MI 48824 USA.</t>
  </si>
  <si>
    <t>ebunting@msu.edu</t>
  </si>
  <si>
    <t>National Science Founda-tion Coastlines and People program [1939979]</t>
  </si>
  <si>
    <t>National Science Founda-tion Coastlines and People program</t>
  </si>
  <si>
    <t>This research was funded by a grant National Science Founda-tion Coastlines and People program (Award Number: 1939979) . Multiple people and organizations made this publication possible and the authors wish to express their gratitude, especially to Robert Goodwin and Christian Matsoukis from Remote Sensing and GIS Research and Outreach Services (RS&amp;GIS) at Michigan State University for helping with program onset, application develop-ment, and during workshops. Additionally, we thank the reviewers for their time and effort put into the manuscript review.</t>
  </si>
  <si>
    <t>0380-1330</t>
  </si>
  <si>
    <t>J GREAT LAKES RES</t>
  </si>
  <si>
    <t>J. Gt. Lakes Res.</t>
  </si>
  <si>
    <t>10.1016/j.jglr.2022.01.011</t>
  </si>
  <si>
    <t>Environmental Sciences; Limnology; Marine &amp; Freshwater Biology</t>
  </si>
  <si>
    <t>2Q5JG</t>
  </si>
  <si>
    <t>WOS:000820457800007</t>
  </si>
  <si>
    <t>Gatt, MP; Deidun, A; Galea, A; Gauci, A</t>
  </si>
  <si>
    <t>Gatt, Marija Pia; Deidun, Alan; Galea, Anthony; Gauci, Adam</t>
  </si>
  <si>
    <t>Is Citizen Science a Valid Tool to Monitor the Occurrence of Jellyfish? The Spot the Jellyfish Case Study from the Maltese Islands</t>
  </si>
  <si>
    <t>15th International Coastal Symposium (ICS)</t>
  </si>
  <si>
    <t>MAY 13-18, 2018</t>
  </si>
  <si>
    <t>Busan, SOUTH KOREA</t>
  </si>
  <si>
    <t>Korea Inst Ocean Sci &amp; Technol,Korea Soc Coastal Disaster Prevent,JCR,Coastal Educ &amp; Res Fdn</t>
  </si>
  <si>
    <t>citizen science; jellyfish spotting; satellite parameters; Maltese Islands</t>
  </si>
  <si>
    <t>The potential of citizen science in monitoring transient biological phenomena occurring over large spatial scales, such as the blooming of jellyfish species, has received increased acknowledgment in recent years. The Spot the Jellyfish citizen science campaign was launched by the International Ocean Institute and by the University of Malta in the summer of 2010, with thousands of jellyfish spotting reports having been submitted by sea-users through the campaign website, social media site, smart phone app or even through email, since then. The 2011-2015 submitted jellyfish reports were analysed, besides a number of water quality parameters (temperature, salinity, chlorophyll a content, nutrient and phytoplankton concentration), whose values were gleaned for the marine area of interest through online satellite water quality data portals. The main aim of this exercise was to seek to identify possible relationships, through a variety of univariate and multivariate statistical techniques, between the distribution of submitted campaign jellyfish records and the same water quality parameters. Possible bias introduced in the report database through artefacts such as differences in bay frequentation were addressed through normalisation procedures. Spatial differences in the abundance of jellyfish reports submitted along different parts of the Maltese coastline emerged, with the highest number of such reports having been submitted along the north-eastern coastline of the island of Malta, and jellyfish sighting reports correlated well with the values of the selected water quality values. Despite this, our results indicate that besides the selected water quality parameters, other forces, possibly hydrodynamic ones, were contributing to the recorded spatial variability in jellyfish occurrence.</t>
  </si>
  <si>
    <t>[Gatt, Marija Pia; Deidun, Alan; Galea, Anthony; Gauci, Adam] Univ Malta, Fac Sci, Dept Geosci, Msida, Malta</t>
  </si>
  <si>
    <t>University of Malta</t>
  </si>
  <si>
    <t>Deidun, A (corresponding author), Univ Malta, Fac Sci, Dept Geosci, Msida, Malta.</t>
  </si>
  <si>
    <t>alan.deidun@um.edu.mt</t>
  </si>
  <si>
    <t>10.2112/SI85-064.1</t>
  </si>
  <si>
    <t>GP8PE</t>
  </si>
  <si>
    <t>WOS:000441173100064</t>
  </si>
  <si>
    <t>Farnham, DJ; Gibson, RA; Hsueh, DY; McGillis, WR; Culligan, PJ; Zain, N; Buchanan, R</t>
  </si>
  <si>
    <t>Farnham, David J.; Gibson, Rebecca A.; Hsueh, Diana Y.; McGillis, Wade R.; Culligan, Patricia J.; Zain, Nina; Buchanan, Rob</t>
  </si>
  <si>
    <t>Citizen science-based water quality monitoring: Constructing a large database to characterize the impacts of combined sewer overflow in New York City</t>
  </si>
  <si>
    <t>CSO; Water quality; Fecal indicator bacteria; HyServe Compact Dry ETC; IDEXX Enterolert; Citizen science</t>
  </si>
  <si>
    <t>FECAL INDICATOR BACTERIA; COLONY-FORMING UNIT; PROBABLE NUMBER; GALAXY ZOO; COLIFORM; ENTEROCOCCUS; EFFLUENT; PROJECT</t>
  </si>
  <si>
    <t>To protect recreational water users from waterborne pathogen exposure, it is crucial that waterways are monitored for the presence of harmful bacteria. In NYC, a citizen science campaign is monitoring waterways impacted by inputs of storm water and untreated sewage during periods of rainfall. However, the spatial and temporal scales over which the monitoring program can sample are constrained by cost and time, thus hindering the construction of databases that benefit both scientists and citizens. In this study, we first illustrate the scientific value of a citizen scientist monitoring campaign by using the data collected through the Campaign to characterize the seasonal variability of sampled bacterial concentration as well as its response to antecedent rainfall. Second, we examine the efficacy of the HyServe Compact Dry ETC method, a lower cost and time-efficient alternative to the EPA-approved IDEXX Enterolert method for fecal indicator monitoring, through a paired sample comparison of IDEXX and HyServe (total of 424 paired samples). The HyServe and IDEXX methods return the same result for over 80% of the samples with regard to whether a water sample is above or below the EPA's recreational water quality criteria for a single sample of 110 enterococci per 100 m.L. The HyServe method classified as unsafe 90% of the 119 water samples that were classified as having unsafe enterococci concentrations by the more established IDEXX method. This study seeks to encourage other scientists to engage with citizen scientist communities and to also pursue the development of cost-and time-efficient methodologies to sample environmental variables that are not easily collected or analyzed in an automated manner. (C) 2016 Elsevier B.V. All rights reserved.</t>
  </si>
  <si>
    <t>[Farnham, David J.] Columbia Univ, Dept Earth &amp; Environm Engn, 918 SW Mudd,Mail Code 4711, New York, NY USA; [Gibson, Rebecca A.; Hsueh, Diana Y.; McGillis, Wade R.] Lamont Doherty Earth Observ, Dept Geochem, 61 Route 9W,POB 1000, Palisades, NY USA; [Culligan, Patricia J.] Columbia Univ, Dept Civil Engn &amp; Engn Mech, 610 SW Mudd,Mail Code 4709, New York, NY 10027 USA; [Zain, Nina] River Project, Pier 40 &amp; West St &amp; Houston St,2nd Floor, New York, NY USA; [Buchanan, Rob] New York City Water Trail Assoc &amp; Coordinator, Citizens Water Qual Testing Program, Steering Comm, New York, NY USA; [Gibson, Rebecca A.] Duke Univ, Sch Med, Box 102005, Durham, NC USA</t>
  </si>
  <si>
    <t>Columbia University; Columbia University; Columbia University; Duke University</t>
  </si>
  <si>
    <t>Farnham, DJ (corresponding author), Columbia Univ, Dept Earth &amp; Environm Engn, 918 SW Mudd,Mail Code 4711, New York, NY USA.</t>
  </si>
  <si>
    <t>djf2137@columbia.edu; rgibson@ldeo.columbia.edu; dhsueh@ldeo.columbia.edu; mcgillis@ldeo.columbia.edu; pjc2104@columbia.edu; nina@riverprojectnyc.org; avironvoile@gmail.com</t>
  </si>
  <si>
    <t>; Culligan, Patricia/C-1407-2009</t>
  </si>
  <si>
    <t>Gion, Rebecca/0000-0003-4435-6853; Culligan, Patricia/0000-0002-3647-0640; Farnham, David J/0000-0002-6690-4251</t>
  </si>
  <si>
    <t>HSBC Bank USA [EARTHWATCH CU13-1246]; National Science Foundation (NSF) [CMMI-0928604]; NSF Integrative Graduate Education and Research Training (IGERT) Fellowship [DGE-0903597]; Directorate For Engineering; Div Of Civil, Mechanical, &amp; Manufact Inn [1325676] Funding Source: National Science Foundation</t>
  </si>
  <si>
    <t>HSBC Bank USA; National Science Foundation (NSF)(National Science Foundation (NSF)); NSF Integrative Graduate Education and Research Training (IGERT) Fellowship; Directorate For Engineering; Div Of Civil, Mechanical, &amp; Manufact Inn(National Science Foundation (NSF)NSF - Directorate for Engineering (ENG))</t>
  </si>
  <si>
    <t>The authors thank Nancy Brous of the NYC Water Trail Association, and Eli Caref of The River Project for their work with the Citizen's Water Quality Testing Program. We also thank Yun Zheng, Diana Eddowes, Lizzette Butkiewicz and Steven Loiselle for field support and Ian Thornhill and the three anonymous reviewers for comments that improved the manuscript. This work was supported by HSBC Bank USA grant EARTHWATCH CU13-1246 where under the scope of FreshWater Watch HSBC Water Programme was the catalyst for this work, the National Science Foundation (NSF) grant CMMI-0928604 and the NSF Integrative Graduate Education and Research Training (IGERT) Fellowship #DGE-0903597. LDEO contribution #8073.</t>
  </si>
  <si>
    <t>10.1016/j.scitotenv.2016.11.116</t>
  </si>
  <si>
    <t>EM5LS</t>
  </si>
  <si>
    <t>WOS:000395353600018</t>
  </si>
  <si>
    <t>Kirichenko, NI; Karpun, NN; Zhuravleva, EN; Shoshina, EI; Anikin, VV; Musolin, DL</t>
  </si>
  <si>
    <t>Kirichenko, Natalia I.; Karpun, Natalia N.; Zhuravleva, Elena N.; Shoshina, Elena I.; Anikin, Vasily V.; Musolin, Dmitrii L.</t>
  </si>
  <si>
    <t>Invasion Genetics of the Horse-Chestnut Leaf Miner, Cameraria ohridella (Lepidoptera: Gracillariidae), in European Russia: A Case of Successful Involvement of Citizen Science in Studying an Alien Insect Pest</t>
  </si>
  <si>
    <t>leaf-mining moth; invasion; European Russia; citizen science; DNA barcoding; phylogeography; Aesculus; Acer; damage level</t>
  </si>
  <si>
    <t>BIOLOGICAL INVASIONS; ECONOMIC COSTS; IMPACTS; POPULATION; DISPERSAL; PATTERNS; DESCHKA; DNA</t>
  </si>
  <si>
    <t>Simple Summary The horse-chestnut leaf miner, Cameraria ohridella Deschka and Dimic, 1986 (Lepidoptera: Gracillariidae), is an ornamental invasive alien insect pest that invaded Russia in the beginning of the 21st century. With the help of volunteers, we clarified the secondary range of species in the European part of Russia and performed extensive sampling of insect specimens for molecular genetic analysis. The pest was confirmed in 24 administrative regions in the European part of Russia. In southern Russia, it produced spectacular outbreaks in 2021. The DNA barcoding data obtained for 201 specimens from European Russia indicates the presence of two haplotypes, which are also known from the secondary range of this species in Eastern and Western Europe. Based on the intensive monitoring conducted by our team and volunteers in 2021, the secondary range of an alien horse-chestnut leaf miner, Cameraria ohridella Deschka &amp; Dimic, 1986 (Lepidoptera: Gracillariidae), was specified in European Russia. This invasive pest was confirmed in 24 out of 58 administrative regions of Russia, which it has occupied for approximately 16 years. Analysis of the COI mtDNA gene sequenced in 201 specimens collected in 21 regions of the European part of Russia indicates the occurrence of two haplotypes (A and B), which are also present in the secondary range of C. ohridella in Eastern and Western Europe. The haplotype A dominated and was present in 87.5% of specimens from European Russia. In 2021, C. ohridella produced spectacular outbreaks in Aesculus hippocastanum in southern Russia, where it damaged more than 50% of the leaves in trees in 24 out of 30 distant localities. In the south of the country, the pest infested Acer pseudoplatanus, whereas other species of Acer of European, East Asian, and North American origin showed no signs of attacks. Taking into account that Ae. hippocastanum is present in most regions of European Russia, we expect a further range expansion of C. ohridella up to the Ural Mountains.</t>
  </si>
  <si>
    <t>[Kirichenko, Natalia I.] Russian Acad Sci, Sukachev Inst Forest, Krasnoyarsk Sci Ctr SB RAS, Siberian Branch,Fed Res Ctr, Akademgorodok 50-28, Krasnoyarsk 660036, Russia; [Kirichenko, Natalia I.] Siberian Fed Univ, Inst Ecol &amp; Geog, Svobodny Pr 79, Krasnoyarsk 660041, Russia; [Karpun, Natalia N.; Zhuravleva, Elena N.; Shoshina, Elena I.] Russian Acad Sci, Subtrop Sci Ctr, Fed Res Ctr, Yana Fabritsiusa St 2-28, Soci 354002, Russia; [Karpun, Natalia N.] St Petersburg State Forest Tech Univ, Dept Forest Protect Wood Sci &amp; Game Management, Inst Skiy Per 5, St Petersburg 194021, Russia; [Anikin, Vasily V.] Chernyshevsky Saratov State Univ, Dept Anim Morphol &amp; Ecol, Astrakhanskaya St 83, Saratov 410012, Russia; [Musolin, Dmitrii L.] European &amp; Mediterranean Plant Protect Org EPPO OE, 21 Blvd Richard Lenoir, F-75011 Paris, France</t>
  </si>
  <si>
    <t>Russian Academy of Sciences; Siberian Branch of the Russian Academy of Sciences; Krasnoyarsk Science Center of the Siberian Branch of the Russian Academy of Sciences; Sukachev Institute of Forest, Siberian Branch, Russian Academy of Sciences; Siberian Federal University; Russian Academy of Sciences; Saint Petersburg State Forest Technical University; Saratov State University</t>
  </si>
  <si>
    <t>Kirichenko, NI (corresponding author), Russian Acad Sci, Sukachev Inst Forest, Krasnoyarsk Sci Ctr SB RAS, Siberian Branch,Fed Res Ctr, Akademgorodok 50-28, Krasnoyarsk 660036, Russia.;Kirichenko, NI (corresponding author), Siberian Fed Univ, Inst Ecol &amp; Geog, Svobodny Pr 79, Krasnoyarsk 660041, Russia.</t>
  </si>
  <si>
    <t>nkirichenko@yahoo.com</t>
  </si>
  <si>
    <t>Kirichenko, Natalia/K-1387-2018; Anikin, Vasilii/D-5265-2013; Shoshina, Elena/LZI-6963-2025; Musolin, Dmitry/L-6801-2013; Karpun, Natalia/U-1502-2019</t>
  </si>
  <si>
    <t>Kirichenko, Natalia/0000-0002-7362-6464; Anikin, Vasilii/0000-0001-8575-5418; Shoshina, Elena/0000-0003-4942-1546; Musolin, Dmitry/0000-0002-3913-3674; Karpun, Natalia/0000-0002-7696-3618; Zhuravleva, Elena/0000-0001-8970-8205</t>
  </si>
  <si>
    <t>Russian Science Foundation [21-16-00050] Funding Source: Medline; Sukachev Institute of Forest SB RAS, the basic project [0287-2021-0011] Funding Source: Medline; The state task of the Federal Research Center of the SSC RAS [FGRW-2022-0006] Funding Source: Medline</t>
  </si>
  <si>
    <t>Russian Science Foundation(Russian Science Foundation (RSF)); Sukachev Institute of Forest SB RAS, the basic project; The state task of the Federal Research Center of the SSC RAS</t>
  </si>
  <si>
    <t>10.3390/insects14020117</t>
  </si>
  <si>
    <t>9H9TX</t>
  </si>
  <si>
    <t>WOS:000939166900001</t>
  </si>
  <si>
    <t>Ford, B; Pierce, JR; Wendt, E; Long, M; Jathar, S; Mehaffy, J; Tryner, J; Quinn, C; van Zyl, L; L'Orange, C; Miller-Lionberg, D; Volckens, J</t>
  </si>
  <si>
    <t>Ford, Bonne; Pierce, Jeffrey R.; Wendt, Eric; Long, Marilee; Jathar, Shantanu; Mehaffy, John; Tryner, Jessica; Quinn, Casey; van Zyl, Lizette; L'Orange, Christian; Miller-Lionberg, Daniel; Volckens, John</t>
  </si>
  <si>
    <t>A low-cost monitor for measurement of fine particulate matter and aerosol optical depth - Part 2: Citizen-science pilot campaign in northern Colorado</t>
  </si>
  <si>
    <t>ATMOSPHERIC MEASUREMENT TECHNIQUES</t>
  </si>
  <si>
    <t>LONG-TERM EXPOSURE; AMBIENT AIR-POLLUTION; GROUND-LEVEL PM2.5; GLOBAL BURDEN; SENSOR NETWORK; UNITED-STATES; MORTALITY; PRODUCTS; QUALITY; AERONET</t>
  </si>
  <si>
    <t>A pilot field campaign was conducted in the fall and winter of 2017 in northern Colorado to test the deployment of the Aerosol Mass and Optical Depth (AMOD) instrument as part of the Citizen-Enabled Aerosol Measurements for Satellites (CEAMS) network. Citizen scientists were recruited to set up the device to take filter and optical measurements of aerosols in their backyards. The goal of the network is to provide more surface particulate matter and aerosol optical depth (AOD) measurements to increase the spatial and temporal resolution of ratios of fine particulate matter (PM2.5) to AOD and to improve satellite-based estimates of air quality. Participants collected 65 filters and 160 multi-wavelength AOD measurements, from which 109 successful PM2.5 : AOD ratios were calculated. We show that PM2.5, AOD, and their ratio (PM2.5 : AOD) often vary substantially over relatively short spatial scales; this spatial variation is not typically resolved by satellite- and model-based PM2.5 exposure estimates. The success of the pilot campaign suggests that citizen-science networks are a viable means for providing new insight into surface air quality. We also discuss lessons learned and AMOD design modifications, which will be used in future wider deployments of the CEAMS network.</t>
  </si>
  <si>
    <t>[Ford, Bonne; Pierce, Jeffrey R.] Colorado State Univ, Dept Atmospher Sci, Ft Collins, CO 80523 USA; [Wendt, Eric; Jathar, Shantanu; Mehaffy, John; Tryner, Jessica; Quinn, Casey; van Zyl, Lizette; L'Orange, Christian; Volckens, John] Colorado State Univ, Dept Mech Engn, Ft Collins, CO 80523 USA; [Long, Marilee] Colorado State Univ, Dept Journalism &amp; Media Commun, Ft Collins, CO 80523 USA; [Quinn, Casey] Colorado State Univ, Dept Environm &amp; Radiol Hlth Sci, Ft Collins, CO 80523 USA; [Miller-Lionberg, Daniel] Access Sensor Technol, Ft Collins, CO 80524 USA</t>
  </si>
  <si>
    <t>Colorado State University System; Colorado State University Fort Collins; Colorado State University System; Colorado State University Fort Collins; Colorado State University System; Colorado State University Fort Collins; Colorado State University System; Colorado State University Fort Collins</t>
  </si>
  <si>
    <t>Ford, B (corresponding author), Colorado State Univ, Dept Atmospher Sci, Ft Collins, CO 80523 USA.</t>
  </si>
  <si>
    <t>bonne@atmos.colostate.edu</t>
  </si>
  <si>
    <t>; Pierce, Jeffrey/E-4681-2013; Volckens, John/MGU-4424-2025</t>
  </si>
  <si>
    <t>Tryner, Jessica/0000-0002-0522-4551; L'Orange, Christian/0000-0003-1905-8694; Quinn, Casey/0000-0002-6802-5250; Pierce, Jeffrey/0000-0002-4241-838X;</t>
  </si>
  <si>
    <t>NASA [NNX17AF94A, 80NSSC18M0120]; NASA [NNX17AF94A, 1001972] Funding Source: Federal RePORTER</t>
  </si>
  <si>
    <t>NASA(National Aeronautics &amp; Space Administration (NASA)); NASA(National Aeronautics &amp; Space Administration (NASA))</t>
  </si>
  <si>
    <t>This research has been supported by NASA (grant nos. NNX17AF94A and 80NSSC18M0120).</t>
  </si>
  <si>
    <t>1867-1381</t>
  </si>
  <si>
    <t>1867-8548</t>
  </si>
  <si>
    <t>ATMOS MEAS TECH</t>
  </si>
  <si>
    <t>Atmos. Meas. Tech.</t>
  </si>
  <si>
    <t>DEC 4</t>
  </si>
  <si>
    <t>10.5194/amt-12-6385-2019</t>
  </si>
  <si>
    <t>JT4LL</t>
  </si>
  <si>
    <t>WOS:000500962700002</t>
  </si>
  <si>
    <t>Moreira, FS; Regos, A; Goncalves, JF; Rodrigues, TM; Verde, A; Pages, M; Perez, JA; Meunier, B; Lepetit, JP; Honrado, JP; Goncalves, D</t>
  </si>
  <si>
    <t>Moreira, Francisco S.; Regos, Adrian; Goncalves, Joao F.; Rodrigues, Tiago M.; Verde, Andre; Pages, Marc; Perez, Jose A.; Meunier, Bruno; Lepetit, Jean-Pierre; Honrado, Joao P.; Goncalves, David</t>
  </si>
  <si>
    <t>Combining Citizen Science Data and Satellite Descriptors of Ecosystem Functioning to Monitor the Abundance of a Migratory Bird during the Non-Breeding Season</t>
  </si>
  <si>
    <t>remote sensing; EFAs; Scolopax rusticola; monitoring; citizen science; abundance; non-breeding; migration</t>
  </si>
  <si>
    <t>WOODCOCK SCOLOPAX-RUSTICOLA; SPECIES DISTRIBUTION MODELS; EURASIAN WOODCOCK; HABITAT SELECTION; PRESENCE-ABSENCE; PROTECTED AREAS; LAND-USE; CONSERVATION; CLIMATE; PERFORMANCE</t>
  </si>
  <si>
    <t>Migratory birds are particularly exposed to habitat changes in their breeding and non-breeding grounds. Remote sensing technologies offer an excellent opportunity to monitor species' habitats from space at unprecedented spatiotemporal scales. We analyzed if remotely sensed ecosystem functioning attributes (EFAs) adequately predict the spatiotemporal variation of the Woodcock's (Scolopax rusticola) relative abundance in southwest Europe, during autumn migration and wintering periods. We used data gathered from Woodcock monitoring through citizen science (N = 355,654 hunting trips) between 2009 and 2018. We computed a comprehensive set of EFAs on a weekly basis from three MODIS satellite products: enhanced vegetation index (EVI), tasseled cap transformation (TCT), and land surface temperature (LST). We developed generalized linear mixed models to explore the predictive power of EFAs on Woodcock's abundance during the non-breeding season. Results showed that Woodcock abundance is correlated with spatiotemporal dynamics in primary productivity (measured through the EVI), water cycle dynamics (wetness component of TCT), and surface energy balance (LST) in both periods. Our findings underline the potential of combining citizen science and remote sensing data to monitor migratory birds throughout their life cycles-an issue of critical importance to ensure adequate habitat management in the non-breeding areas.</t>
  </si>
  <si>
    <t>[Moreira, Francisco S.; Rodrigues, Tiago M.; Honrado, Joao P.; Goncalves, David] Univ Porto, Dept Biol, Fac Ciencias, P-4169007 Porto, Portugal; [Regos, Adrian] Univ Santiago Compostela, Dept Zool Xenet &amp; Antropoloxia Fis, Santiago 15782, Spain; [Regos, Adrian; Goncalves, Joao F.; Honrado, Joao P.; Goncalves, David] Univ Porto, Lab Assoc, CIBIO InBIO Ctr Invest Biodiversidade &amp; Recuros G, Campus Vairao, P-4485661 Vila Do Conde, Portugal; [Regos, Adrian; Goncalves, Joao F.; Honrado, Joao P.; Goncalves, David] BIOPOLIS Program Genom Biodivers &amp; Land Planning, CIBIO, Campus Vairao, P-4485661 Vairao, Portugal; [Regos, Adrian] Ctr Tecnol Forestal Catalunya CTFC, Ctra St Llorenc Morunys Km 2, Solsona 25280, Spain; [Goncalves, Joao F.] Inst Politecn Viana Castelo IPVC, ProMetheus Res Unit Mat Energy &amp; Environm Sustain, Ave Atlantico 644, P-4900348 Viana Do Castelo, Portugal; [Rodrigues, Tiago M.] Direcao Reg Recursos Florestais, DRRF, P-9500050 Ponta Delgada, Portugal; [Verde, Andre] Assoc Nacl Cacadores Galinholas, Largo Tilias 4, P-4900012 Afife, Portugal; [Pages, Marc; Perez, Jose A.] Club Cazadores Becada, Ave Schulz 8,4 Dcha, Gijon 33208, Spain; [Perez, Jose A.] Res Grp Game Species Breeding &amp; Management, Sch Vet Sci, Dept Anim Rearing, Vegazana Campus, Leon 24071, Spain; [Meunier, Bruno] Club Natl Becassiers, 105 Rue Louis Pergaud, F-16430 Villeneuve, France; [Lepetit, Jean-Pierre] Club Natl Becassiers, 3 Allee Chenes, F-87220 Feytiat, France</t>
  </si>
  <si>
    <t>Universidade do Porto; Universidade de Santiago de Compostela; Universidade do Porto; Universidade do Porto; Centre Tecnologic Forestal de Catalunya (CTFC)</t>
  </si>
  <si>
    <t>Moreira, FS (corresponding author), Univ Porto, Dept Biol, Fac Ciencias, P-4169007 Porto, Portugal.</t>
  </si>
  <si>
    <t>fsmoreira@fc.up.pt; adrian.regos@cibio.up.pt; joao.goncalves@cibio.up.pt; Tiago.MG.Rodrigues@azores.gov.pt; andreafife@sapo.pt; ecotons@gmail.com; japgvet@gmail.com; brumaloupi@wanadoo.fr; lepetitjpf@wanadoo.fr; jhonrado@fc.up.pt; drgoncal@fc.up.pt</t>
  </si>
  <si>
    <t>Honrado, Joao/L-8365-2013; Perez, Angel/KQU-6724-2024; Moreira, Francisco/AFN-0409-2022; Gonçalves, João/L-9383-2013; Roigues, Tiago/L-7561-2013; Regos, Aian/M-5207-2014; Rocha Gonçalves, David Afonso/L-6911-2013; Salgueirinho Moreira, Francisco/AFN-0409-2022</t>
  </si>
  <si>
    <t>Honrado, Joao/0000-0001-8443-4276; Gonçalves, João/0000-0002-6615-0218; Roigues, Tiago/0000-0001-6706-3282; Regos, Aian/0000-0003-1983-936X; Rocha Gonçalves, David Afonso/0000-0003-1444-377X; Salgueirinho Moreira, Francisco/0000-0002-2363-1660</t>
  </si>
  <si>
    <t>Xunta de Galicia [ED481B2016/084-0]; IACOBUS program (INTERREG V-A Espana-Portugal, POCTEP 2014-2020); Juan de la Cierva fellowship program - Spanish Ministry of Science and Innovation [IJC2019-041033-I]; FCT [CEECIND/02331/2017]; FCT/MCTES [UID/05975/2020]</t>
  </si>
  <si>
    <t>Xunta de Galicia(Xunta de Galicia); IACOBUS program (INTERREG V-A Espana-Portugal, POCTEP 2014-2020); Juan de la Cierva fellowship program - Spanish Ministry of Science and Innovation; FCT(Fundacao para a Ciencia e a Tecnologia (FCT)); FCT/MCTES(Fundacao para a Ciencia e a Tecnologia (FCT))</t>
  </si>
  <si>
    <t>A.R. was financially supported by Xunta de Galicia (ED481B2016/084-0) and the IACOBUS program (INTERREG V-A Espana-Portugal, POCTEP 2014-2020), and is currently supported by the Juan de la Cierva fellowship program funded by the Spanish Ministry of Science and Innovation (IJC2019-041033-I). J.F.G. was financially supported by the Individual Scientific Employment Stimulus Program (2017), through FCT (contract nr. CEECIND/02331/2017), and within the scope of proMetheus-Research Unit on Materials, Energy and Environment for Sustainability, FCT Ref. UID/05975/2020, financed by national funds through the FCT/MCTES.</t>
  </si>
  <si>
    <t>10.3390/rs14030463</t>
  </si>
  <si>
    <t>YY1CO</t>
  </si>
  <si>
    <t>WOS:000754530100001</t>
  </si>
  <si>
    <t>Marambio, M; Pascual-Torner, M; Tilves, U; Perez, A; Ballesteros, A; Gili, JM</t>
  </si>
  <si>
    <t>Marambio, Macarena; Pascual-Torner, Maria; Tilves, Uxue; Perez, Alejandra; Ballesteros, Ainara; Gili, Josep-Maria</t>
  </si>
  <si>
    <t>The Westernmost Record of the Scyphomedusa Cassiopea andromeda (Forskål, 1775) in the Mediterranean: Marine Citizen Science Contributions to Invasive Species Detection and Monitoring</t>
  </si>
  <si>
    <t>NIS; Lessepsian invasion; Climate change; Participatory science; Thermophilic jellyfish</t>
  </si>
  <si>
    <t>SCYPHOZOA RHIZOSTOMEAE CEPHEIDAE; COTYLORHIZA-ERYTHRAEA STIASNY; RHOPILEMA-NOMADICA GALIL; UPSIDE-DOWN JELLYFISHES; CNIDARIA SCYPHOZOA; PHYLLORHIZA-PUNCTATA; WATERS; COAST; ISLANDS; SPREAD</t>
  </si>
  <si>
    <t>The Mediterranean Sea, although a biodiversity hotspot, is one of the most affected seas by non-indigenous species (NIS). This problem is worsened by rising sea temperatures due to climate change, which promotes the spread of thermophilic species. Among the NIS scyphozoan jellyfish species recorded in the Mediterranean, Cassiopea andromeda - commonly known as the upside-down jellyfish- is a notable example. Observadores del Mar (OdM) is the leading platform for marine citizen science in Spain and works towards ocean conservation and health. It is a well-established tool for generating knowledge in marine research and has successfully provided early warning of NIS reports in the Mediterranean, while also serving as an effective network for the monitoring of NIS and other indicators. Three reports of C. andromeda from Almeria, southern Spain, have been reported in OdM and thanks to the involvement of its community, 12 samples were collected for phylogenetic analysis and monitoring was done for 15 months in the study area. The results confirmed the first record of C. andromeda in Spanish Mediterranean waters representing the westernmost record in the basin. Monitoring also suggests the species establishment in the area. This study contributes to the knowledge of C. andromeda invasiveness and highlights the importance of marine citizen science in the detection and monitoring of NIS. It also underscores the collaboration and commitment already established between scientists and citizens, which will allow further progress in the fields of biological invasions, management, and policy.</t>
  </si>
  <si>
    <t>[Marambio, Macarena; Pascual-Torner, Maria; Tilves, Uxue; Gili, Josep-Maria] Inst Ciencies Mar ICM CSIC, Dept Marine Biol &amp; Oceanog, Barcelona, Spain; [Perez, Alejandra] Aquatours Almeria Aventuras Submarinas, Club Naut Aguadulce Local Bajo, Almeria, Spain; [Ballesteros, Ainara] Univ Catolica Valencia SVM, Inst Environm &amp; Marine Sci Res, IMEDMAR UCV, Calp, Alicante, Spain</t>
  </si>
  <si>
    <t>Consejo Superior de Investigaciones Cientificas (CSIC); CSIC - Centro Mediterraneo de Investigaciones Marinas y Ambientales (CMIMA); CSIC - Instituto de Ciencias del Mar (ICM); Universidad Catolica de Valencia San Vicente Martir</t>
  </si>
  <si>
    <t>Marambio, M; Pascual-Torner, M (corresponding author), Inst Ciencies Mar ICM CSIC, Dept Marine Biol &amp; Oceanog, Barcelona, Spain.</t>
  </si>
  <si>
    <t>marambio@icm.csic.es; mpascual@icm.csic.es</t>
  </si>
  <si>
    <t>Pascual-Torner, Maria/AAD-4621-2021</t>
  </si>
  <si>
    <t>Pascual-Torner, Maria/0000-0002-7483-9883; Gili, Josep-Maria/0000-0001-9542-2385; Ballesteros, Ainara/0000-0003-2720-4313</t>
  </si>
  <si>
    <t>LIFE IP Intemaresproject [LIFE15 IPE/ES/012]; OdM Climate project - Biodiversity Foundation of the Spanish Ministry for Ecological Transition; Demographic Challenge; National Plan forAdaptation to Climate Change [PID2020-118394RB-100]; AEI [CEX2024-001494-S]</t>
  </si>
  <si>
    <t>LIFE IP Intemaresproject; OdM Climate project - Biodiversity Foundation of the Spanish Ministry for Ecological Transition; Demographic Challenge; National Plan forAdaptation to Climate Change; AEI(Spanish Government)</t>
  </si>
  <si>
    <t>This study has been supported by the LIFE IP Intemaresproject (LIFE15 IPE/ES/012) and the OdM Climate project supportedby the Biodiversity Foundation of the Spanish Ministry for Ecological Transition and the Demographic Challenge, through the Call forprojects that contribute to the implementation of the National Plan forAdaptation to Climate Change (2021-2030), and the PID2020-118394RB-100 project. All the authors affiliated to the Institut deCiencies del Mar (ICM-CSIC) acknowledge the support of theSeveroOchoa Centre of Excellenceaccreditation (CEX2024-001494-S funded by AEI 10.13039/501100011033).</t>
  </si>
  <si>
    <t>10.1007/s00267-025-02289-w</t>
  </si>
  <si>
    <t>9FN4I</t>
  </si>
  <si>
    <t>WOS:001584179200001</t>
  </si>
  <si>
    <t>Shinbrot, XA; Jones, KW; Solomon, J; Escobedo, MR</t>
  </si>
  <si>
    <t>Shinbrot, Xoco A.; Jones, Kelly W.; Solomon, Jennifer; Escobedo, Miriam Ramos</t>
  </si>
  <si>
    <t>Examining the influence of citizen science participation on individual volunteers in the global South: A case study of hydrologic monitors in Veracruz, Mexico</t>
  </si>
  <si>
    <t>JOURNAL OF ENVIRONMENTAL EDUCATION</t>
  </si>
  <si>
    <t>citizen science; environmental attitudes; environmental knowledge; environmental stewardship; environmental identity; self-efficacy</t>
  </si>
  <si>
    <t>PRO-ENVIRONMENTAL BEHAVIOR; CONSERVATION SCIENCE; BIODIVERSITY; ATTITUDES; IDENTITY; KNOWLEDGE; MOTIVATIONS; INEQUALITY; CORRUPTION; EDUCATION</t>
  </si>
  <si>
    <t>Citizen science is increasingly popular for educating and engaging the public, but few studies test how to achieve individual outcomes including knowledge, attitudes, and behaviors, particularly in the Global South. We operationalize the citizen science participation-behavior model for a hydrologic monitoring program in Mexico to evaluate how citizen science participation influences these outcomes. Volunteers were surveyed before, two weeks, and six months after the training, and semi-structured interviews were conducted six months post-training with volunteers and dropouts. While surveys showed that participation had limited impacts on knowledge, retrospective interviews revealed self-described differences in volunteer and dropout environmental identity, self-efficacy, and view of citizen science as a conservation activity. Results show participation spurred volunteers to engage in some activist behaviors. The study provides important evidence concerning the influence of citizen science participation in the Global South on behavioral outcomes and helps inform how to design and implement future citizen science programs.</t>
  </si>
  <si>
    <t>[Shinbrot, Xoco A.] Cornell Univ, Ithaca, NY USA; [Shinbrot, Xoco A.; Jones, Kelly W.; Solomon, Jennifer] Colorado State Univ, Ft Collins, CO 80523 USA; [Escobedo, Miriam Ramos] Global Water Watch Mexico, Coatepec, Mexico</t>
  </si>
  <si>
    <t>Cornell University; Colorado State University System; Colorado State University Fort Collins</t>
  </si>
  <si>
    <t>Shinbrot, XA (corresponding author), Cornell Univ, Nat Resources, Ithaca, NY 14853 USA.</t>
  </si>
  <si>
    <t>x.shinbrot@gmail.com</t>
  </si>
  <si>
    <t>Solomon, Jennifer/0000-0001-9103-1600; Jones, Kelly/0000-0001-9664-7615; Shinbrot, Xoco/0000-0002-4290-3916</t>
  </si>
  <si>
    <t>NSF</t>
  </si>
  <si>
    <t>NSF(National Science Foundation (NSF))</t>
  </si>
  <si>
    <t>This study was funded by NSF.</t>
  </si>
  <si>
    <t>0095-8964</t>
  </si>
  <si>
    <t>1940-1892</t>
  </si>
  <si>
    <t>J ENVIRON EDUC</t>
  </si>
  <si>
    <t>J. Environ. Educ.</t>
  </si>
  <si>
    <t>10.1080/00958964.2021.1984193</t>
  </si>
  <si>
    <t>Education &amp; Educational Research; Environmental Studies</t>
  </si>
  <si>
    <t>Education &amp; Educational Research; Environmental Sciences &amp; Ecology</t>
  </si>
  <si>
    <t>0B6EV</t>
  </si>
  <si>
    <t>WOS:000741761900001</t>
  </si>
  <si>
    <t>Volunteers Recruitment, Retention, and Performance during the CSMON-LIFE (Citizen Science MONitoring) Project and 3 Years of Follow-Up (vol 13,11110, 2021)</t>
  </si>
  <si>
    <t>[Martellos, Stefano; Pittao, Elena] Univ Trieste, Dept Life Sci, I-34127 Trieste, Italy; [Martellos, Stefano; Attorre, Fabio] Alma Mater Studiorum Univ Bologna, Ctr Interuniv Ricerca Biodiversita Vegetale Big Da, Dept Biol Geol &amp; Environm Sci, I-40126 Bologna, Italy; [Cesaroni, Donatella; Pinzari, Manuela; Sbordoni, Valerio] Tor Vergata Univ Rome, Dept Biol, I-00133 Rome, Italy; [Mereu, Alessio] Divulgando SRL, I-34135 Trieste, Italy; [Petruzzella, Damiano] CIHEAM Bari, I-70010 Valenzano, Italy; [Tallone, Giuliano] Agenzia Reg Turismo, Reg Lazio, I-00185 Rome, Italy; [Attorre, Fabio] Sapienza Univ Rome, Dept Environm Biol, I-00185 Rome, Italy</t>
  </si>
  <si>
    <t>Martellos, S (corresponding author), Univ Trieste, Dept Life Sci, I-34127 Trieste, Italy.;Martellos, S (corresponding author), Alma Mater Studiorum Univ Bologna, Ctr Interuniv Ricerca Biodiversita Vegetale Big Da, Dept Biol Geol &amp; Environm Sci, I-40126 Bologna, Italy.</t>
  </si>
  <si>
    <t>; Attorre, Fabio/H-5351-2012; Sbordoni, Valerio/L-8889-2013</t>
  </si>
  <si>
    <t>Tallone, Giuliano/0000-0002-1068-9417; Martellos, Stefano/0000-0001-5201-8948; Attorre, Fabio/0000-0002-7744-2195;</t>
  </si>
  <si>
    <t>APR 27</t>
  </si>
  <si>
    <t>10.3390/su17093927</t>
  </si>
  <si>
    <t>2PH2P</t>
  </si>
  <si>
    <t>WOS:001488070300001</t>
  </si>
  <si>
    <t>Eritja, R; Sanpera-Calbet, I; Delacour-Estrella, S; Ruiz-Arrondo, I; Puig, MA; Bengoa-Paulis, M; Alarcón-Elbal, PM; Barceló, C; Mariani, S; Martinez-Barciela, Y; Bravo-Barriga, D; Polina, A; Pereira-Martinez, JM; González, MA; Escartin, S; Melero-Alcibar, R; Blanco-Sierra, L; Magallanes, S; Collantes, F; Ferraguti, M; González-Perez, MI; Gutierrez-López, R; Silva-Torres, MI; San Sebastián-Mendoza, O; Calvo-Reyes, MC; Mendoza-Garcia, M; Macias-Magro, D; Cisneros, P; Cevidanes, A; Frontera, E; Mato, I; Fúster-Lorán, F; Domench-Guembe, M; Rodriguez-Regadera, ME; Casanovas-Urgell, R; Montalvo, T; Miranda, MA; Figuerola, J; Lucientes-Curdi, J; Garriga, J; Palmer, JRB; Bartumeus, F</t>
  </si>
  <si>
    <t>Eritja, Roger; Sanpera-Calbet, Isis; Delacour-Estrella, Sarah; Ruiz-Arrondo, Ignacio; Puig, Maria Angels; Bengoa-Paulis, Mikel; Alarcon-Elbal, Pedro Maria; Barcelo, Carlos; Mariani, Simone; Martinez-Barciela, Yasmina; Bravo-Barriga, Daniel; Polina, Alejandro; Pereira-Martinez, Jose Manuel; Gonzalez, Mikel Alexander; Escartin, Santi; Melero-Alcibar, Rosario; Blanco-Sierra, Laura; Magallanes, Sergio; Collantes, Francisco; Ferraguti, Martina; Gonzalez-Perez, Maria Isabel; Gutierrez-Lopez, Rafael; Silva-Torres, Maria Isabel; San Sebastian-Mendoza, Olatz; Calvo-Reyes, Maria Cruz; Mendoza-Garcia, Marian; Macias-Magro, David; Cisneros, Pilar; Cevidanes, Aitor; Frontera, Eva; Mato, Ines; Fuster-Loran, Fernando; Domench-Guembe, Miguel; Rodriguez-Regadera, Maria Elena; Casanovas-Urgell, Ricard; Montalvo, Tomas; Miranda, Miguel Angel; Figuerola, Jordi; Lucientes-Curdi, Javier; Garriga, Joan; Palmer, John Rossman Bertholf; Bartumeus, Frederic</t>
  </si>
  <si>
    <t>Integrating Citizen Science and Field Sampling into Next-Generation Early-Warning Systems for Vector Surveillance: Twenty Years of Municipal Detections of Aedes Invasive Mosquito Species in Spain</t>
  </si>
  <si>
    <t>Aedes; surveillance; citizen science; mosquito alert; field sampling; vector; invasive; disease</t>
  </si>
  <si>
    <t>ALBOPICTUS SKUSE; ESTABLISHMENT; JAPONICUS; DIPTERA</t>
  </si>
  <si>
    <t>The spread of the invasive mosquitoes Aedes albopictus, Aedes aegypti, and Aedes japonicus in Spain represents an increasing public health risk due to their capacity to transmit arboviruses such as dengue, Zika, and chikungunya, among others. Traditional field entomological surveillance remains essential for tracking their spread, but it faces limitations in terms of cost, scalability, and labor intensity. Since 2014, the Mosquito Alert citizen-science project has enabled public participation in surveillance through the submission of geolocated images via a mobile app, which are identified using AI in combination with expert validation. While field surveillance provides high accuracy, citizen science offers low-cost, large-scale, real-time data collection aligned with open data management principles. It is particularly useful for detecting long-distance dispersal events and has contributed up to one-third of the municipal detections of invasive mosquito species since 2014. This study assesses the value of integrating both surveillance systems to capitalize on their complementary strengths while compensating for their weaknesses in the areas of taxonomic accuracy, scalability, spatial detection patterns, data curation and validation systems, geographic precision, interoperability, and real-time output. We present the listing of municipal detections of these species from 2004 to 2024, integrating data from both sources. Spain's integrated approach demonstrates a pioneering model for cost-effective, scalable vector surveillance tailored to the dynamics of invasive species and emerging epidemiological threats.</t>
  </si>
  <si>
    <t>[Eritja, Roger; Puig, Maria Angels; Mariani, Simone; Escartin, Santi; Blanco-Sierra, Laura; Gonzalez-Perez, Maria Isabel; San Sebastian-Mendoza, Olatz; Garriga, Joan; Bartumeus, Frederic] Consejo Super Invest Cient CEAB CSIC, Ctr Estudis Avancats Blanes, Blanes, Spain; [Sanpera-Calbet, Isis; Palmer, John Rossman Bertholf] Univ Pompeu Fabra, Dept Ciencies Polit &amp; Socials, Barcelona 08005, Spain; [Delacour-Estrella, Sarah; Ruiz-Arrondo, Ignacio; Lucientes-Curdi, Javier] Univ Zaragoza, Fac Vet, Dept Patol Anim, Inst Agroalimentario Aragon IA2, Zaragoza 50013, Spain; [Ruiz-Arrondo, Ignacio] Hosp Univ San Pedro CIBIR, Ctr Rickettsiosis &amp; Arthropod Borne Dis, Logrono 26006, Spain; [Bengoa-Paulis, Mikel] Anticimex Espana, Sant Cugat Del Valles 08174, Spain; [Alarcon-Elbal, Pedro Maria] Univ Cardenal Herrera CEU, Dept Anim Prod &amp; Hlth, Fac Vet Med, Publ Vet Hlth &amp; Food Sci &amp; Technol, Alfara Del Patriarca 46115, Spain; [Barcelo, Carlos; Miranda, Miguel Angel] Univ Illes Balears, Grp Zool Aplicada &amp; Conservac, Palma De Mallorca 07122, Spain; [Martinez-Barciela, Yasmina; Polina, Alejandro] Univ Vigo, Dept Ecol &amp; Biol Anim, Fac Biol, Vigo 36310, Spain; [Bravo-Barriga, Daniel] Univ Cordoba UCO, Fac Vet, Dept Sanidad Anim Parasitol &amp; Enfermedades Parasit, Cordoba 14014, Spain; [Pereira-Martinez, Jose Manuel] Univ Santiago De Compostela USC, Dept Zool Genet &amp; Antropol, Santiago De Compostela 15782, Spain; [Gonzalez, Mikel Alexander] Grp SASTI, ATHISA Medio Ambiente, Guillena 41210, Spain; [Gonzalez, Mikel Alexander; Magallanes, Sergio; Ferraguti, Martina; Figuerola, Jordi] CSIC, Dept Biol Conservac &amp; Cambio Global, Estn Biol Donana EBD, Seville 41092, Spain; [Melero-Alcibar, Rosario] Serv Madrileno Salud SERMAS, Madrid 28815, Spain; [Magallanes, Sergio; Ferraguti, Martina; Montalvo, Tomas; Figuerola, Jordi] Consorcio Invest Biomed Red Epidemiol &amp; Salud Publ, Madrid 08029, Spain; [Collantes, Francisco] Univ Murcia, Fac Biol, Dept Zool &amp; Antropol Fis, Murcia 30100, Spain; [Gutierrez-Lopez, Rafael] Inst Salud Carlos III, Ctr Nacl Microbiol, Majadahonda 28222, Spain; [Gutierrez-Lopez, Rafael] Consorcio Invest Biomed Enfermedades Infecciosas C, Madrid 08029, Spain; [Silva-Torres, Maria Isabel] Grp SASTI, EZSA Sanidad Ambiental, E-09005 Burgos, Spain; [Calvo-Reyes, Maria Cruz] Gobierno Espana, Minist Sanidad, Ctr Coordinac Alertas &amp; Emergencias Sanit CCAES, Direcc Gen Salud Publ &amp; Equidad Salud, Madrid 28014, Spain; [Mendoza-Garcia, Marian] Gobierno Espana, Minist Sanidad, Subdirecc Gen Sanidad Ambiental &amp; Salud Laboral, Direcc Gen Salud Publ &amp; Equ Salud, Madrid 28014, Spain; [Macias-Magro, David] Consejeria Salud &amp; Consumo Andalucia, Serv Salud Ambiental, Direcc Gen Salud Publ &amp; Ordenac Farmaceut, Seville 41020, Spain; [Cisneros, Pilar] Gobierno Aragon, Secc Zoonosis, Direcc Gen Salud Publ, Zaragoza 50072, Spain; [Cevidanes, Aitor] Basque Res &amp; Technol Alliance BRTA, NEIKER Inst Vasco Invest &amp; Desarrollo Agr, Dept Sanidad Anim, Derio 48160, Spain; [Frontera, Eva] Univ Extremadura, Fac Vet, Dept Sanidad Anim Parasitol, Caceres 10003, Spain; [Mato, Ines] Xunta Galicia, Direcc Gen Salud Publ, Conselleria Sanidad, Santiago De Compostela 15707, Spain; [Fuster-Loran, Fernando] Consejeria Sanidad, Area Vigilancia Riesgos Ambientales Salud, Madrid, Spain; [Domench-Guembe, Miguel] Inst Salud Publ &amp; Laboral Navarra ISPLN, Pamplona 31003, Spain; [Rodriguez-Regadera, Maria Elena] Consejeria Salud &amp; Polit Sociales, Serv Salud Ambiental &amp; Nutr, Direcc Gen Salud Publ Consumo &amp; Cuidados, Logrono 26071, Spain; [Casanovas-Urgell, Ricard] Generalitat Catalunya, Subdireccio Gen Biodiversitat &amp; Med Nat, Direccio Gen Polit Ambientals &amp; Med Nat, Serv Fauna &amp; Flora,Dept Terr Habitatge &amp; Transicio, Barcelona 08038, Spain; [Montalvo, Tomas] Agencia Salut Publ Barcelona, Serv Vigilancia &amp; Control Plagues Urbanes, Barcelona 08012, Spain; [Miranda, Miguel Angel] Univ Illes Balears, Inst Estudios Ambientales &amp; Econ Agua, Palma De Mallorca 07122, Spain; [Bartumeus, Frederic] Inst Catalana Recerca &amp; Estudis Avancats ICREA, Barcelona 08010, Spain; [Bartumeus, Frederic] Ctr Recerca Ecol &amp; Aplicac Forestals CREAF, Cerdanyola Del Valles 08193, Spain</t>
  </si>
  <si>
    <t>Consejo Superior de Investigaciones Cientificas (CSIC); CSIC - Centre d'Estudis Avancats de Blanes (CEAB); Pompeu Fabra University; University of Zaragoza; Universidad CEU Cardenal Herrera; Universitat de les Illes Balears; Universidade de Vigo; Universidad de Cordoba; Universidade de Santiago de Compostela; Consejo Superior de Investigaciones Cientificas (CSIC); CSIC - Estacion Biologica de Donana (EBD); University of Murcia; Instituto de Salud Carlos III; Centro Nacional de Microbiologia (CNM); Hospital Universitario Cruces; Hospital Universitario Cruces; Universidad de Extremadura; Public Health Agency of Barcelona; Universitat de les Illes Balears; ICREA; Centro de Investigacion Ecologica y Aplicaciones Forestales (CREAF-CERCA)</t>
  </si>
  <si>
    <t>Eritja, R (corresponding author), Consejo Super Invest Cient CEAB CSIC, Ctr Estudis Avancats Blanes, Blanes, Spain.</t>
  </si>
  <si>
    <t>r.eritja@ceab.csic.es; puig@ceab.csic.es; pedro.alarconelbal@uchceu.es; carlos.barcelo@uib.es; josse33@hotmail.es; olatzsanse@ceab.csic.es; acevidanes@neiker.eus; miguel.domench.guembe@navarra.es; jordi@ebd.csic.es</t>
  </si>
  <si>
    <t>Gutierrez-Lopez, Rafael/N-1348-2017; Figuerola, Jordi/B-7917-2008; Collantes, Francisco/M-4798-2017; Barciela, Yasmina/AAH-9226-2021; Bartumeus, Frederic/D-1911-2010; Ferraguti, Martina/C-6109-2015; Ruiz Arrondo, Ignacio/R-8385-2018; Magallanes Argany, Sergio/E-2467-2016; Barceló, Carlos/M-2390-2018; Alarcón-Elbal, Peo María/OHT-3177-2025; Frontera, Eva Maria/AFW-3823-2022; Miranda, Miguel Angel/O-4808-2014; Puig, Maria Angeles/A-4485-2013; González, Mikel/AFV-3409-2022; Bravo-Barriga, Daniel/M-9984-2019; Polina, Alejandro/JXM-5354-2024</t>
  </si>
  <si>
    <t>Figuerola, Jordi/0000-0002-4664-9011; Montalvo Porro, Tomas/0000-0002-9060-3205; Garriga, Joan/0000-0002-4561-7835; Collantes, Francisco/0000-0002-8085-6399; Bartumeus, Frederic/0000-0001-6908-3797; Calvo Reyes, María Cruz/0009-0002-6004-8738; Ferraguti, Martina/0000-0001-7481-4355; Eritja, Roger/0000-0001-5749-8370; Ruiz Arrondo, Ignacio/0000-0001-8198-8118; Magallanes Argany, Sergio/0000-0002-6748-9547; Barceló, Carlos/0000-0002-8345-3229; Alarcón-Elbal, Peo María/0000-0001-5319-4257; BLANCO SIERRA, LAURA/0009-0005-5705-1786; Escartin Peña, Santi/0000-0003-1521-2500; Miranda, Miguel Angel/0000-0003-0770-2593; Puig, Maria Angeles/0000-0003-0997-3055; Delacour Estrella, Sarah Angele/0000-0001-7046-2997; Bravo-Barriga, Daniel/0000-0003-3481-7310; González González de Heredia, Mikel Alexander/0000-0002-5754-862X; Cevidanes, Aitor/0000-0003-1874-6399; Domench Guembe, Miguel/0009-0006-1917-2648</t>
  </si>
  <si>
    <t>The la Caixa Foundation through the projects BIG MOSQUITO BYTES [100.010.434, HR 18-00336, HR22-00123]; Spanish Secretariat of State for Health of the Ministry of Health [202150PN0001]</t>
  </si>
  <si>
    <t>The la Caixa Foundation through the projects BIG MOSQUITO BYTES; Spanish Secretariat of State for Health of the Ministry of Health</t>
  </si>
  <si>
    <t>This work has received funding from the la Caixa Foundation (ID 100.010.434) through the projects BIG MOSQUITO BYTES (HR 18-00336) and ARBOPREVENT (HR22-00123), as well as from contract reference 202150PN0001 of the Spanish Secretariat of State for Health of the Ministry of Health.</t>
  </si>
  <si>
    <t>AUG 29</t>
  </si>
  <si>
    <t>10.3390/insects16090904</t>
  </si>
  <si>
    <t>7UP8P</t>
  </si>
  <si>
    <t>WOS:001580048100001</t>
  </si>
  <si>
    <t>Kazilas, C; Kalaentzis, K; Demetriou, J; Koutsoukos, E; Strachinis, I; Andriopoulos, P</t>
  </si>
  <si>
    <t>Kazilas, Christos; Kalaentzis, Konstantinos; Demetriou, Jakovos; Koutsoukos, Evangelos; Strachinis, Ilias; Andriopoulos, Pavlos</t>
  </si>
  <si>
    <t>Utilization of citizen science data to monitor alien species: the box tree moth Cydalima perspectalis (Walker, 1859) (Lepidoptera: Crambidae) invades natural vegetation in Greece</t>
  </si>
  <si>
    <t>BIOINVASIONS RECORDS</t>
  </si>
  <si>
    <t>non-native species; invasive species; pest; range expansion; Buxus sempervirens; citizen science; Natura 2000</t>
  </si>
  <si>
    <t>1ST RECORD; EUROPE; BUXUS</t>
  </si>
  <si>
    <t>Since the first report of the box tree moth, Cydalima perspectalis (Walker, 1859) (Lepidoptera: Crambidae) in northern Greece in 2013, the pest has gradually expanded its range to a total of eight administrative regions in the country. A survey consisting mainly of citizen science occurrence records provides a new insight on the distribution of the box tree moth in Greece. The data collected circumscribe invasion into boxwood Buxus sempervirens L. stands, especially at Mt Olympus National Park. The updated invasive status and the ecological risks are discussed with particular reference to the Natura 2000 area in Mt Olympus.</t>
  </si>
  <si>
    <t>[Kazilas, Christos; Kalaentzis, Konstantinos] Leiden Univ, Inst Biol, Sylvius Lab, Sylviusweg 72, NL-2333 BE Leiden, Netherlands; [Kazilas, Christos; Kalaentzis, Konstantinos] Nat Biodivers Ctr, POB 9517, NL-2300 RA Leiden, Netherlands; [Demetriou, Jakovos; Koutsoukos, Evangelos] Natl &amp; Kapodistrian Univ Athens, Museum Zool, Athens 15784, Greece; [Demetriou, Jakovos; Koutsoukos, Evangelos; Andriopoulos, Pavlos] Natl &amp; Kapodistrian Univ Athens, Dept Biol, Sect Ecol &amp; Systemat, Athens 15784, Greece; [Demetriou, Jakovos] RAF Akrotiri, Lab Vector Ecol &amp; Appl Entomol, Joint Serv Hlth Unit, British Forces PO 57, Akrotiri, Cyprus; [Strachinis, Ilias] Aristotle Univ Thessaloniki, Dept Genet Dev &amp; Mol Biol, Sch Biol, Fac Nat Sci, Thessaloniki 54124, Greece</t>
  </si>
  <si>
    <t>Leiden University - Excl LUMC; Leiden University; Naturalis Biodiversity Center; National &amp; Kapodistrian University of Athens; National &amp; Kapodistrian University of Athens; Aristotle University of Thessaloniki</t>
  </si>
  <si>
    <t>Kazilas, C (corresponding author), Leiden Univ, Inst Biol, Sylvius Lab, Sylviusweg 72, NL-2333 BE Leiden, Netherlands.;Kazilas, C (corresponding author), Nat Biodivers Ctr, POB 9517, NL-2300 RA Leiden, Netherlands.</t>
  </si>
  <si>
    <t>ckazilas@gmail.com</t>
  </si>
  <si>
    <t>; Strachinis, Ilias/AAX-4169-2020; Demetriou, Jakovos/KIL-3531-2024; Koutsoukos, Evangelos/ABD-2854-2021</t>
  </si>
  <si>
    <t>Aniopoulos, Pavlos/0000-0002-5377-2974; Strachinis, Ilias/0000-0001-9944-4522; Demetriou, Jakovos/0000-0001-5273-7109;</t>
  </si>
  <si>
    <t>COST (European Cooperation in Science and Technology) [CA17122]</t>
  </si>
  <si>
    <t>COST (European Cooperation in Science and Technology)(European Cooperation in Science and Technology (COST))</t>
  </si>
  <si>
    <t>This article/publication is based upon work from COST Action CA17122 -Alien CSI, supported by COST (European Cooperation in Science and Technology), www.cost.eu.</t>
  </si>
  <si>
    <t>PL 3, HELSINKI, 00981, FINLAND</t>
  </si>
  <si>
    <t>2242-1300</t>
  </si>
  <si>
    <t>BIOINVASIONS REC</t>
  </si>
  <si>
    <t>BioInvasions Rec.</t>
  </si>
  <si>
    <t>10.3391/bir.2021.10.4.28</t>
  </si>
  <si>
    <t>WY9JK</t>
  </si>
  <si>
    <t>WOS:000719593000007</t>
  </si>
  <si>
    <t>Stuart-Smith, RD; Edgar, GJ; Barrett, NS; Bates, AE; Baker, SC; Bax, NJ; Becerro, MA; Berkhout, J; Blanchard, JL; Brock, DJ; Clark, GF; Cooper, AT; Davis, TR; Day, PB; Duffy, JE; Holmes, TH; Howe, SA; Jordan, A; Kininmonth, S; Knott, NA; Lefcheck, JS; Ling, SD; Parr, A; Strain, E; Sweatman, H; Thomson, R</t>
  </si>
  <si>
    <t>Stuart-Smith, Rick D.; Edgar, Graham J.; Barrett, Neville S.; Bates, Amanda E.; Baker, Susan C.; Bax, Nicholas J.; Becerro, Mikel A.; Berkhout, Just; Blanchard, Julia L.; Brock, Daniel J.; Clark, Graeme F.; Cooper, Antonia T.; Davis, Tom R.; Day, Paul B.; Duffy, J. Emmett; Holmes, Thomas H.; Howe, Steffan A.; Jordan, Alan; Kininmonth, Stuart; Knott, Nathan A.; Lefcheck, Jonathan S.; Ling, Scott D.; Parr, Amanda; Strain, Elisabeth; Sweatman, Hugh; Thomson, Russell</t>
  </si>
  <si>
    <t>Assessing National Biodiversity Trends for Rocky and Coral Reefs through the Integration of Citizen Science and Scientific Monitoring Programs (vol 67, pg 134, 2017)</t>
  </si>
  <si>
    <t>[Stuart-Smith, Rick D.; Edgar, Graham J.; Barrett, Neville S.; Bax, Nicholas J.; Berkhout, Just; Blanchard, Julia L.; Cooper, Antonia T.; Day, Paul B.; Kininmonth, Stuart; Ling, Scott D.] Univ Tasmania, Inst Marine &amp; Antarct Studies, Hobart, Tas, Australia; [Bates, Amanda E.] Univ Southampton, Natl Oceanog Ctr Southampton, Ocean &amp; Earth Sci, Southampton, Hants, England; [Baker, Susan C.] Univ Tasmania, Sch Biol Sci, Hobart, Tas, Australia; [Becerro, Mikel A.] Nat Prod &amp; Agrobiol Inst IPNA CSIC, BITES Lab, San Cristobal la Laguna, Spain; [Brock, Daniel J.] South Australias Dept Environm Water &amp; Nat Resour, Sci Monitoring &amp; Knowledge Branch, Adelaide, SA, Australia; [Clark, Graeme F.] Univ New South Wales, Sch Biol Earth &amp; Environm Sci, Sydney, NSW, Australia; [Davis, Tom R.] Southern Cross Univ, Natl Marine Sci Ctr, Coffs Harbour, NSW, Australia; [Duffy, J. Emmett] Smithsonian Inst, Tennenbaum Marine Observatories Network, Washington, DC 20560 USA; [Holmes, Thomas H.] Dept Pk &amp; Wildlife, Sci &amp; Conservat Div, Marine Sci Program, Kensington, NSW, Australia; [Holmes, Thomas H.] Univ Western Australia, Oceans Inst, Crawley, Australia; [Howe, Steffan A.] Pk Victoria, Melbourne, Australia; [Jordan, Alan] Marine Ecosyst Res, New South Wales Dept Primary Ind, Nelson Bay, Australia; [Knott, Nathan A.] Marine Ecosyst Res, New South Wales Dept Primary Ind, Huskisson, Australia; [Lefcheck, Jonathan S.] Coll William &amp; Mary, Virginia Inst Marine Sci, Dept Biol Sci, Gloucester Point, VA 23062 USA; [Parr, Amanda] Pk Australia, Kingston, Tas, Australia; [Strain, Elisabeth] Sydney Inst Marine Sci, Mosman, NSW, Australia; [Sweatman, Hugh] Australian Inst Marine Sci, Townsville, Qld, Australia; [Thomson, Russell] Univ Western Sydney, Ctr Res Math, Sch Comp Engn &amp; Math, Penrith, NSW, Australia</t>
  </si>
  <si>
    <t>University of Tasmania; University of Southampton; NERC National Oceanography Centre; University of Tasmania; Consejo Superior de Investigaciones Cientificas (CSIC); CSIC - Instituto de Productos Naturales y Agrobiologia (IPNA); University of New South Wales Sydney; Southern Cross University; Smithsonian Institution; Smithsonian Tennenbaum Marine Observatories Network; University of Western Australia; Department of Primary Industries &amp; Regional Development NSW; Department of Primary Industries &amp; Regional Development NSW; William &amp; Mary; Virginia Institute of Marine Science; Sydney Institute of Marine Science; Australian Institute of Marine Science; Western Sydney University</t>
  </si>
  <si>
    <t>Stuart-Smith, RD (corresponding author), Univ Tasmania, Inst Marine &amp; Antarct Studies, Hobart, Tas, Australia.</t>
  </si>
  <si>
    <t>Lefcheck, Jonathan/H-8768-2019; Bates, Amanda/ABD-6874-2021; Strain, Elisabeth/U-3520-2017; Barrett, Neville/J-7593-2014; Blanchard, Julia/E-4919-2010; Knott, Nathan/AAA-8888-2019; Baker, Susan/O-8482-2019; Thomson, Russell/H-5653-2012; Becerro, Mikel/ABC-9478-2021; Stuart-Smith, Rick/M-1829-2013; Bax, Nicholas/A-2321-2012; Edgar, Graham/C-8341-2013; Davis, Tom/T-5803-2017; Ling, Scott/J-7161-2014</t>
  </si>
  <si>
    <t>Lefcheck, Jonathan/0000-0002-8787-1786; Duffy, J Emmett/0000-0001-8595-6391; Barrett, Neville/0000-0002-6167-1356; Blanchard, Julia/0000-0003-0532-4824; Knott, Nathan/0000-0002-7873-0412;</t>
  </si>
  <si>
    <t>10.1093/biosci/bix070</t>
  </si>
  <si>
    <t>FC6RA</t>
  </si>
  <si>
    <t>WOS:000406967600013</t>
  </si>
  <si>
    <t>Joseph, EP; Jackson, VB; Beckles, DM; Cox, L; Edwards, S</t>
  </si>
  <si>
    <t>Joseph, Erouscilla P.; Jackson, Viveka B.; Beckles, Denise M.; Cox, Leonette; Edwards, Stacey</t>
  </si>
  <si>
    <t>A citizen science approach for monitoring volcanic emissions and promoting volcanic hazard awareness at Sulphur Springs, Saint Lucia in updates the Lesser Antilles arc</t>
  </si>
  <si>
    <t>JOURNAL OF VOLCANOLOGY AND GEOTHERMAL RESEARCH</t>
  </si>
  <si>
    <t>Saint Lucia; Citizen science; Stakeholder engagement; Volcanic emissions; Geoscience hazards outreach; Methodological reflection</t>
  </si>
  <si>
    <t>HYDROGEN-SULFIDE; MASAYA VOLCANO; DIOXIDE; HEALTH; AEROSOL; GASES; PLUME; SO2</t>
  </si>
  <si>
    <t>Sulphur Springs Park (SSP), Saint Lucia in the Lesser Antilles is a popular geothermal area with a vigorous passively degassing hydrothermal field. Visitors, staff, and management of the Park have raised concerns about the volcanic emissions and their possible effects on their health. As part of the responsibility of The University of the West Indies Seismic Research Centre (UWI-SRC) to provide volcanic surveillance through its geothermal monitoring programme, a monitoring network was established for quantifying the ambient SO2 concentrations at the Park to assess the potential risk of unsafe exposure. This required the development of a participatory citizen science effort with researchers training local personnel in field sampling and basic analytical techniques to measure SO2 concentrations. The operation of a citizen science network required engagement and collaboration with local stakeholders in Saint Lucia to ensure that the research addressed the needs of all partners. This participatory approach was an effective option for scientists to engage local stakeholders and the wider community as partners in geoscience hazards education. Ambient SO2 concentrations obtained with handmade active air samplers (titrimetric hydrogen peroxide traps) showed that when the atmospheric concentrations of SO2 was lower, the data from the diffusion tubes and the handmade samplers followed a similar pattern. The ambient concentrations measured using the handmade samplers cannot be used as absolute values due to uncertainties related to the input parameters needed for the calculation of SO2 concentrations. However, the data may be useful in identifying areas exposed to elevated SO2 concentrations of potential concern to public health. The samplers proved useful as a tool to promote volcanic hazard awareness and education among the local stakeholders and citizen scientists. Important lessons learned by the research team from participant surveys were that time constraints and personal motivation of volunteers are key factors in the success of the operations of this monitoring network. (C) 2018 Elsevier B.V. All rights reserved.</t>
  </si>
  <si>
    <t>[Joseph, Erouscilla P.; Jackson, Viveka B.; Edwards, Stacey] Univ West Indies, Seism Res Ctr, St Augustine, Trinidad Tobago; [Beckles, Denise M.; Cox, Leonette] Univ West Indies, Dept Chem, St Augustine, Trinidad Tobago</t>
  </si>
  <si>
    <t>University West Indies Mona Jamaica; University West Indies Saint Augustine; University West Indies Mona Jamaica; University West Indies Saint Augustine</t>
  </si>
  <si>
    <t>Joseph, EP (corresponding author), Univ West Indies, Seism Res Ctr, St Augustine, Trinidad Tobago.</t>
  </si>
  <si>
    <t>pjoseph@uwiseismic.com</t>
  </si>
  <si>
    <t>Joseph, Erouscilla/KLD-4633-2024</t>
  </si>
  <si>
    <t>Joseph, Erouscilla/0000-0002-4836-8715</t>
  </si>
  <si>
    <t>UWI Research and Development Impact Fund (RDI Fund) at The University of the West Indies, St. Augustine Campus; Montserrat Volcano Observatory (MVO); NEMO; SRDF</t>
  </si>
  <si>
    <t>The UWI Research and Development Impact Fund (RDI Fund) at The University of the West Indies, St. Augustine Campus, provided funding for this work. The authors wish to thank the Director and staff of the Montserrat Volcano Observatory (MVO) for their in kind financial and field support. The authors also thank the management and staff of the Sulphur Springs Park for their participation in the research, particularly Mrs. Sirmantha Denys, Ms. Suzette Lucien and Mr. Rawle Louie. We are very grateful to the Principals and staff of the Soufriere Comprehensive Secondary School, particularly Mr. Sanjay Antoine, as well as the Sir Arthur Lewis Community School for agreeing to host the control sites and monitoring support. We wish to acknowledge the collaboration of the Director and staff of NEMO and SRDF in Saint Lucia, for their support of the research. The authors also wish to thank Prof. Karen Harpp, Colgate University New York, for her valuable feedback on an earlier version of this manuscript.</t>
  </si>
  <si>
    <t>0377-0273</t>
  </si>
  <si>
    <t>1872-6097</t>
  </si>
  <si>
    <t>J VOLCANOL GEOTH RES</t>
  </si>
  <si>
    <t>J. Volcanol. Geotherm. Res.</t>
  </si>
  <si>
    <t>10.1016/j.jvolgeores.2018.11.005</t>
  </si>
  <si>
    <t>HJ0XW</t>
  </si>
  <si>
    <t>WOS:000456887500004</t>
  </si>
  <si>
    <t>Alarcón-Ferrari, C; Jönsson, M; Do, T; Gebrehiwot, SG; Chiwona-Karltun, L; Mark-Herbert, C; Powell, N; Ruete, A; Hilding-Rydevik, T; Bishop, K</t>
  </si>
  <si>
    <t>Alarcon-Ferrari, Cristian; Jonsson, Mari; Do, Thao; Gebrehiwot, Solomon Gebreyohannis; Chiwona-Karltun, Linley; Mark-Herbert, Cecilia; Powell, Neil; Ruete, Alejandro; Hilding-Rydevik, Tuija; Bishop, Kevin</t>
  </si>
  <si>
    <t>Analyzing environmental communication and citizen science in the context of environmental monitoring and assessment for Agenda 2030 in rural settings of Chile and Sweden</t>
  </si>
  <si>
    <t>FRONTIERS IN COMMUNICATION</t>
  </si>
  <si>
    <t>legitimacy; agenda 2030; citizen science; democratic innovation; environmental monitoring and assessment; sustainable development goal 15 (Life on Land); tree plantations; forests</t>
  </si>
  <si>
    <t>SUSTAINABLE DEVELOPMENT; ECOSYSTEM SERVICES; DECISION-MAKING; POLICY; PARTICIPATION; FORESTRY; POWER</t>
  </si>
  <si>
    <t>Introduction This article offers an analysis of environmental communication (EC) and citizen science (CS) in the context of Environmental Monitoring and Assessment (EMA) for the implementation of Sustainable Development Goal 15 (Life on Land) in Chile and Sweden.Methods The paper is based on fieldwork in two rural study areas of Chile and Sweden where we followed different CS initiatives in relation to EMA and Agenda 2030. We conducted interviews, analyzed documentation and conducted an SDG mapping workshop to understand the implementation of SDG 15 in these two rural forest settings.Results Our findings suggest that CS has potential as a democratic innovation for environmental governance in both countries. However, we also found important barriers to the legitimacy of CS as a feature of EMA and local environmental governance in both countries. The paper situates CS in the wider governance and environmental communication processes in regional politics surrounding implementation of national policies for the use of natural resources.Discussion The article offers new insights into the barriers and possibilities for public participation in environmental governance and policy at local levels, by addressing the interlinkages between environmental communication and citizen science in rural settings.</t>
  </si>
  <si>
    <t>[Alarcon-Ferrari, Cristian; Chiwona-Karltun, Linley] Swedish Univ Agr Sci SLU, Dept Urban &amp; Rural Dev, Uppsala, Sweden; [Jonsson, Mari] Swedish Univ Agr Sci SLU, Swedish Species Informat Ctr, Uppsala, Sweden; [Do, Thao; Powell, Neil] Sustainabil Learning &amp; Res Ctr SWEDESD, Dept Womens &amp; Childrens Hlth, Uppsala, Sweden; [Gebrehiwot, Solomon Gebreyohannis] Addis Ababa Univ, Ethiopian Inst Water Resources, Addis Ababa, Ethiopia; [Mark-Herbert, Cecilia] Swedish Univ Agr Sci SLU, Dept Forest Econ, Uppsala, Sweden; [Powell, Neil] Univ Sunshine Coast USC, Sustainabil Res Ctr, Sippy Downs, Qld, Australia; [Ruete, Alejandro] Greensway AB, Uppsala, Sweden; [Hilding-Rydevik, Tuija] Swedish Univ Agr Sci SLU, Swedish Biodivers Ctr, Uppsala, Sweden; [Bishop, Kevin] Swedish Univ Agr Sci SLU, Dept Aquat Sci &amp; Assessment, Uppsala, Sweden</t>
  </si>
  <si>
    <t>Swedish University of Agricultural Sciences; Swedish University of Agricultural Sciences; Addis Ababa University; Swedish University of Agricultural Sciences; University of the Sunshine Coast; Swedish University of Agricultural Sciences; Swedish University of Agricultural Sciences</t>
  </si>
  <si>
    <t>Alarcón-Ferrari, C (corresponding author), Swedish Univ Agr Sci SLU, Dept Urban &amp; Rural Dev, Uppsala, Sweden.</t>
  </si>
  <si>
    <t>cristian-alarcon.ferrari@slu.se</t>
  </si>
  <si>
    <t>; Powell, Neil/AAN-1961-2021; Jönsson, Mari/LFV-6077-2024; Ruete, Alejano/E-6024-2010</t>
  </si>
  <si>
    <t>Mark-Herbert, Cecilia/0000-0001-7440-9106; Powell, Neil/0000-0002-8665-2370; Chiwona-Karltun, Linley/0000-0003-2441-3814; Ruete, Alejano/0000-0001-7681-2812; Gebrehiwot, Solomon Gebreyohannis/0000-0001-7190-3176</t>
  </si>
  <si>
    <t>The author(s) declare that financial support was received for the research, authorship, and/or publication of this article. This research was funded by FORMAS, grant number 2018-02341.</t>
  </si>
  <si>
    <t>2297-900X</t>
  </si>
  <si>
    <t>FRONT COMMUN</t>
  </si>
  <si>
    <t>Front. Commun.</t>
  </si>
  <si>
    <t>SEP 5</t>
  </si>
  <si>
    <t>10.3389/fcomm.2024.1387111</t>
  </si>
  <si>
    <t>H2X6P</t>
  </si>
  <si>
    <t>WOS:001322122600001</t>
  </si>
  <si>
    <t>Suzuki-Ohno, Y; Tanabe, AS; Kasai, A; Masuda, R; Seino, S; Dazai, A; Suzuki, S; Abe, T; Kondoh, M</t>
  </si>
  <si>
    <t>Suzuki-Ohno, Yukari; Tanabe, Akifumi S.; Kasai, Akihide; Masuda, Reiji; Seino, Satoquo; Dazai, Akihiro; Suzuki, Shota; Abe, Takuzo; Kondoh, Michio</t>
  </si>
  <si>
    <t>Evaluation of community science monitoring with environmental DNA for marine fish species: Fish survey project using environmental DNA</t>
  </si>
  <si>
    <t>biodiversity; citizen science; eDNA metabarcoding; MiFish</t>
  </si>
  <si>
    <t>CITIZEN; IDENTIFICATION; SCIENTISTS; PROGRAM; EDNA</t>
  </si>
  <si>
    <t>Environmental DNA is a powerful tool for community science-based biodiversity surveys. However, the effectiveness of environmental DNA for environmental education and the time and physical costs perceived by volunteers for collecting environmental DNA remain unclear. Here, we evaluated a community science program for monitoring marine fish biodiversity using environmental DNA metabarcoding. This program aimed to investigate marine fish biodiversity in coastal areas along the Japanese archipelago. The participants were allowed to decide on the date and site to collect environmental DNA. They received a paper manual, a data sheet, and a sampling kit via a parcel delivery service. Before collecting environmental DNA, they watched a video manual for collecting environmental DNA and attended a webinar about the process and precautions for collecting environmental DNA provided by the scientists. At the sampling sites, they obtained environmental DNA samples from seawater themselves and sent the samples to the scientists via a refrigerated parcel delivery service. After collecting environmental DNA, they received fish name data from their samples and attended a webinar about survey results provided by the scientists. A cumulative total of 168 volunteers (84 pairs) participated in the program and detected 572 taxonomic groups of fish environmental DNA in the summer of 2020 and 2021. According to a questionnaire survey, more than 75% of the respondents answered that the project improved their understanding of biodiversity, marine environments, and environmental DNA. Approximately 95% of the respondents thought that environmental DNA collection work was meaningful to them. Some respondents commented on the difficulty of interpreting their fish name data, or the time and effort of selecting a sampling site. Therefore, improving the methods to communicate more information about fish name data and select sampling sites will further develop community science monitoring using environmental DNA.</t>
  </si>
  <si>
    <t>[Suzuki-Ohno, Yukari; Tanabe, Akifumi S.; Kondoh, Michio] Tohoku Univ, Grad Sch Life Sci, 6-3 Aoba,Aramaki Aza,Aoba Ku, Sendai, Miyagi 9808578, Japan; [Kasai, Akihide] Hokkaido Univ, Fac Fisheries Sci, Hakodate, Hokkaido, Japan; [Masuda, Reiji] Kyoto Univ, Field Sci Educ &amp; Res Ctr, Maizuru Fisheries Res Stn, Kyoto, Japan; [Seino, Satoquo] Kyushu Univ, Grad Sch Engn, Ecol Engn Lab, Nishi Ku, Fukuoka, Japan; [Dazai, Akihiro] Ctr Sustainable Soc, Sendai, Miyagi, Japan; [Suzuki, Shota; Abe, Takuzo] Shizugawa Nat Ctr, Sendai, Miyagi 9860781, Japan</t>
  </si>
  <si>
    <t>Tohoku University; Hokkaido University; Kyoto University; Kyushu University</t>
  </si>
  <si>
    <t>Suzuki-Ohno, Y (corresponding author), Tohoku Univ, Grad Sch Life Sci, 6-3 Aoba,Aramaki Aza,Aoba Ku, Sendai, Miyagi 9808578, Japan.</t>
  </si>
  <si>
    <t>yukari.tohoku.univ@gmail.com</t>
  </si>
  <si>
    <t>Suzuki, Shota/OAJ-3464-2025; Suzuki-Ohno, Yukari/GQR-2048-2022; Tanabe, Akifumi/P-9381-2015</t>
  </si>
  <si>
    <t>Suzuki-Ohno, Yukari/0000-0003-0919-2478;</t>
  </si>
  <si>
    <t>Environmental Restoration and Conservation Agency, Grant/Award Number: JPMEERF20214003; Japan Society for the Promotion of Science, Grant/Award Number: 19H05641 and 21H05315r No Statement Available</t>
  </si>
  <si>
    <t>2637-4943</t>
  </si>
  <si>
    <t>ENVIRON DNA</t>
  </si>
  <si>
    <t>Environ. DNA</t>
  </si>
  <si>
    <t>10.1002/edn3.425</t>
  </si>
  <si>
    <t>E4M2Y</t>
  </si>
  <si>
    <t>WOS:001302756300008</t>
  </si>
  <si>
    <t>Estes-Zumpf, W; Addis, B; Marsicek, B; Lee, M; Nelson, Z; Murphy, M</t>
  </si>
  <si>
    <t>Estes-Zumpf, Wendy; Addis, Brett; Marsicek, Brenna; Lee, Mason; Nelson, Zoe; Murphy, Melanie</t>
  </si>
  <si>
    <t>Improving sustainability of long-term amphibian monitoring: The value of collaboration and community science for indicator species management</t>
  </si>
  <si>
    <t>Amphibians; Community science; Detection; Sustainability</t>
  </si>
  <si>
    <t>CITIZEN-SCIENCE; DATA QUALITY; POPULATIONS; OCCUPANCY; PARTICIPATION; RELIABILITY; TRENDS</t>
  </si>
  <si>
    <t>Long-term monitoring is integral to assessing ecological trends, but fluctuations in funding, available resources, and institutional priorities present challenges to the sustainability of monitoring programs. Incorporating community science has the potential to increase the spatial and temporal extent of monitoring efforts while minimizing cost and may be particularly useful for monitoring under-funded species such as amphibians. Concern over the reliability and integrity of data collected by volunteers, however, hampers broader use of community science in ecological monitoring. We assessed the quality of data collected by and the reliability of community scientists participating in a collaborative amphibian monitoring project requiring strict adherence to data collection protocols. Community scientists' ability to correctly identify and detect species was on par with that of professional biologists. Agreement in species detected by community scientists and biologists ranged from 77% to 99% at sites surveyed by both surveyor types in the same season and modeled detection probabilities were similar for all but one species. Follow-through within a season was high. Since 2014, community scientists (n = 328) completed 75% of surveys to which they had committed. However, retention of community scientists across years was low, with 81% of participants only involved for one season. Community scientists offset agency resource limitations by conducting 32% of surveys and substantially contributed to meeting sample size goals. Furthermore, although time invested in project management and coordination increased with community science involvement, cost savings from field surveys and centralized coordination offset this increase. Our results suggest that with careful project planning and volunteer training, community scientists can contribute robust data to rigorous scientific studies, but project and participants' goals must align to improve retention across years. Successful programs will require substantial investment by personnel for volunteer recruitment, training, data validation, and dissemination of results, however, involvement of community scientists can improve the sustainability of long-term monitoring programs through collaboration and cost savings. Our results support an increasing body of evidence that community science can contribute significantly to ecological monitoring even when considerable commitment and scientific rigor are essential.</t>
  </si>
  <si>
    <t>[Estes-Zumpf, Wendy] Wyoming Game &amp; Fish Dept, Laramie, WY 82070 USA; [Addis, Brett; Murphy, Melanie] Univ Wyoming, Dept Ecosyst Sci &amp; Management, Program Ecol, Laramie, WY 82071 USA; [Marsicek, Brenna; Lee, Mason; Nelson, Zoe] Univ Wyoming, Biodivers Inst, Laramie, WY 82071 USA</t>
  </si>
  <si>
    <t>University of Wyoming; University of Wyoming</t>
  </si>
  <si>
    <t>Estes-Zumpf, W (corresponding author), Wyoming Game &amp; Fish Dept, Laramie, WY 82070 USA.</t>
  </si>
  <si>
    <t>Wendy.Estes-Zumpf@wyo.gov</t>
  </si>
  <si>
    <t>; Murphy, Melanie/D-2605-2009</t>
  </si>
  <si>
    <t>Lee, Mason/0009-0000-0094-5213;</t>
  </si>
  <si>
    <t>U.S. Forest Service; University of Wyoming's Biodiversity Institute; Teton Conservation District; Wyoming Governor's Big Game License Coalition; National Institute of Food and Agriculture (SAES, University of Wyoming) [WYO5360-14]; Wyoming Game and Fish Department</t>
  </si>
  <si>
    <t>U.S. Forest Service(United States Department of Agriculture (USDA)United States Forest Service); University of Wyoming's Biodiversity Institute; Teton Conservation District; Wyoming Governor's Big Game License Coalition; National Institute of Food and Agriculture (SAES, University of Wyoming); Wyoming Game and Fish Department</t>
  </si>
  <si>
    <t>We sincerely thank collaborators at Medicine Bow National Forest, Routt National Forest, Bridger-Teton National Forest, Wyoming Game and Fish Department, Wyoming Natural Diversity Database, Colorado Natural Heritage Program, and Teton Conservation District. The onlineaccessible RMAP database was built and is maintained by the University of Wyoming's Wyoming Geographic Information Science Center. We thank B. Tugwell for designing and maintaining the RMAP coordination website. Funding for this project was provided by grants from the U.S. Forest Service, Wyoming Game and Fish Department, University of Wyoming's Biodiversity Institute, Teton Conservation District, Wyoming Governor's Big Game License Coalition, and National Institute of Food and Agriculture (SAES, University of Wyoming, project WYO5360-14). We sincerely thank numerous colleagues from the Rocky Mountain Region and beyond for help with study design, volunteer wrangling, data management, and data analysis, including A. Ray, K. Legg, L. Bailey, B. Gould, M. Dressen, R. Henderson, and A. Egan. We thank C. Martinez del Rio for his vision and support of RMAP. This manuscript was greatly improved by suggestions from reviewers. Lastly, we thank the hundreds of biologists, biological technicians, and community scientists who have faced the prospects of willows, lightning bolts, flat tires, mud, bears, moose, and leeches to help us monitor amphibians in the Rocky Mountain Region.</t>
  </si>
  <si>
    <t>10.1016/j.ecolind.2021.108451</t>
  </si>
  <si>
    <t>ZI0UE</t>
  </si>
  <si>
    <t>WOS:000761341200002</t>
  </si>
  <si>
    <t>Aylward, BL; Milford, KM; Storey, KE; Nykiforuk, CIJ; Raine, KD</t>
  </si>
  <si>
    <t>Aylward, Breanne L.; Milford, Krista M.; Storey, Kate E.; Nykiforuk, Candace I. J.; Raine, Kim D.</t>
  </si>
  <si>
    <t>Citizen science in monitoring food environments: a qualitative collective case study of stakeholders' experiences during the Local Environment Action on Food project in Alberta, Canada</t>
  </si>
  <si>
    <t>Citizen science; Health promotion; Community participation; Child health; Food; Nutrition policy</t>
  </si>
  <si>
    <t>POLICY; PREVENTION; CHILDHOOD; IMPROVE</t>
  </si>
  <si>
    <t>Background Citizen science bears potential to build a comprehensive view of global food environments and create a broader discussion about how to improve them. Despite its potential, citizen science has not been fully utilised in food environment research. Thus, we sought to explore stakeholders' experiences of the Local Environment Action on Food (LEAF) project, a community-based intervention that employs a citizen science approach to monitoring food environments. Methods We used a qualitative collective case study design to explore citizen science through the LEAF process in seven communities in Alberta, Canada. Data generating strategies included semi-structured interviews with citizen scientists (n = 26), document review of communities' Mini Nutrition Report Cards (n = 7), and researcher observation. Data were analyzed in a multi-phase process, using Charmaz's constant comparison analysis strategy. Results Analysis revealed two main themes: relationship building and process factors. Communities used three interconnected strategies, engaging the right people, treading lightly, and reaching a consensus, to navigate the vital but challenging relationship building process. Process factors, which were influences on the LEAF process and relationship building, included the local context, flexibility in the LEAF process, and turnover among LEAF community groups. Conclusion Citizen science through the LEAF project supported the creation and application of food environment evidence: it enabled residents to collect and interpret local food environment data, develop realistic recommendations for change, and provided them with an evidence-based advocacy tool to support the implementation of these recommendations. We recommend a web application that enables independent community food environment assessments. Such a tool could stimulate and sustain citizen involvement in food environment efforts, helping to build the necessary evidence base and promote the creation of healthy food environments.</t>
  </si>
  <si>
    <t>[Aylward, Breanne L.; Milford, Krista M.; Nykiforuk, Candace I. J.; Raine, Kim D.] Univ Alberta, Sch Publ Hlth, 4-308 Edmonton Clin Hlth Acad,11405-87 Ave, Edmonton, AB T6G 1C9, Canada; [Storey, Kate E.] Univ Alberta, Sch Publ Hlth, 8303-112 St, Edmonton, AB T6G 2T4, Canada</t>
  </si>
  <si>
    <t>University of Alberta; University of Alberta</t>
  </si>
  <si>
    <t>Raine, KD (corresponding author), Univ Alberta, Sch Publ Hlth, 4-308 Edmonton Clin Hlth Acad,11405-87 Ave, Edmonton, AB T6G 1C9, Canada.</t>
  </si>
  <si>
    <t>kim.raine@ualberta.ca</t>
  </si>
  <si>
    <t>Nykiforuk, Candace/NFT-4008-2025</t>
  </si>
  <si>
    <t>Aylward, Breanne/0000-0003-0111-9495</t>
  </si>
  <si>
    <t>Alberta Innovates Health Solutions Cancer Prevention Research Opportunity [201500846]; Stollery Children's Hospital Foundation; Canadian Institutes of Health Research; Public Health Agency of Canada; Alberta Innovates -Health Solutions [CPP 137909]</t>
  </si>
  <si>
    <t>Alberta Innovates Health Solutions Cancer Prevention Research Opportunity; Stollery Children's Hospital Foundation; Canadian Institutes of Health Research(Canadian Institutes of Health Research (CIHR)); Public Health Agency of Canada; Alberta Innovates -Health Solutions(Alberta Heritage Foundation for Medical Research)</t>
  </si>
  <si>
    <t>This work was supported by Alberta Innovates Health Solutions Cancer Prevention Research Opportunity [grant number 201500846]. KES is supported as a Distinguished Researcher, Stollery Children's Hospital Foundation. CIJN received support as an Applied Public Health Chair from the Canadian Institutes of Health Research in partnership with the Public Health Agency of Canada and Alberta Innovates -Health Solutions [2014-2019; CPP 137909]. The funding bodies were not involved in the design of the study or collection, analysis, and interpretation of data, or in writing the manuscript.</t>
  </si>
  <si>
    <t>APR 6</t>
  </si>
  <si>
    <t>10.1186/s12889-022-13030-1</t>
  </si>
  <si>
    <t>0H8LK</t>
  </si>
  <si>
    <t>WOS:000778981000003</t>
  </si>
  <si>
    <t>Chaabane, S; Riahi, K; Khlifi, S; Slama, E; Vanclooster, M</t>
  </si>
  <si>
    <t>Chaabane, Safa; Riahi, Khalifa; Khlifi, Slaheddine; Slama, Emna; Vanclooster, Marnik</t>
  </si>
  <si>
    <t>Assessing the Performance of a Citizen Science Based Water Quality Monitoring Program for Nitrates Using Test Strips Implemented in the Medjerda Hydrosystem in Northern Tunisia</t>
  </si>
  <si>
    <t>water CS; water quality assessment; nitrate; test strips; citizen's typology; Medjerda hydrosystem</t>
  </si>
  <si>
    <t>TEST KITS; CATCHMENT; COMMUNITY</t>
  </si>
  <si>
    <t>Recent technological progress in water management of hydrosystems has been made to deploy efficient and effective water quality monitoring systems (WQMS). Among these, a citizen science (CS)-based water quality monitoring (WQM) program using test strips is considered as a smart tool that may aid in the production of reliable, continuous, and comprehensive data on the water quality resources of hydrosystems over a broad range of spatial and temporal scales. In this case study, the objective is to evaluate the performance of a CS-based WQM for nitrates assessment using test water quality strips for the Medjerda watershed in Northern Tunisia. Overall, 137 samples were collected from 24 sampling sites and were analyzed by 33 participants. Citizens involved in the program were regrouped in five citizen types according to their socio-economic characteristics. Statistical tests, analysis of variance (ANOVA) and multiple correspondence analyses (MCA) were achieved to survey the goodness of fit of CS as a contribution to data collection in terms of the socio-economic profile of the participant. The results show that this tool could be reliable for obtaining the levels of nitrate in water samples. Water quality test trips can conveniently be used by citizens for WQM of nitrates when they are rigorously following the manufacturer's instructions. Additional efforts in communication and training could help to improve the performance of this CS-WQM program for nitrate in the Medjerda watershed.</t>
  </si>
  <si>
    <t>[Chaabane, Safa; Riahi, Khalifa; Khlifi, Slaheddine; Slama, Emna] Univ Jendouba, Dept Planning &amp; Environm, UR GDRES, High Sch Engineers Medjez El Bab, Km 05 Route Kef, Medjez El Bab 9070, Tunisia; [Vanclooster, Marnik] Catholic Univ Louvain, Earth &amp; Life Inst, GERU, Croix Sud 2, B-1348 Louvain La Neuve, Belgium</t>
  </si>
  <si>
    <t>Universite de Jendouba; Universite Catholique Louvain</t>
  </si>
  <si>
    <t>Chaabane, S (corresponding author), Univ Jendouba, Dept Planning &amp; Environm, UR GDRES, High Sch Engineers Medjez El Bab, Km 05 Route Kef, Medjez El Bab 9070, Tunisia.</t>
  </si>
  <si>
    <t>chaabane.safa.esim@gmail.com; khalifa_riahi31@yahoo.fr; slaheddinekhlifi@yahoo.fr; emnaslama22@gmail.com; marnik.vanclooster@uclouvain.be</t>
  </si>
  <si>
    <t>Khlifi, Slaheddine/ABF-4957-2020; Safa, Chaabane/GXV-5597-2022</t>
  </si>
  <si>
    <t>Khlifi, Slaheddine/0000-0002-6100-8239; Vanclooster, Marnik/0000-0003-1358-8723; Safa, Chaabane/0000-0002-1445-6020</t>
  </si>
  <si>
    <t>ESIM; UCLouvain; CERTE; EauSIRIS Project [C-5-3.2-35]</t>
  </si>
  <si>
    <t>ESIM; UCLouvain; CERTE; EauSIRIS Project</t>
  </si>
  <si>
    <t>The authors received funding from the project 'Smart Medjerda' 1.1.2, partnership between ESIM, UCLouvain, and CERTE, from the WBI and Tunisia Joint Commission 2019-2023 and EauSIRIS Project C-5-3.2-35 Programme IEV de cooperation transfrontaliere Italie Tunisie 2014-2020. This research was realized at the Sustainable Management of Water and Soil Resources (GDRES).</t>
  </si>
  <si>
    <t>10.3390/hydrology11010006</t>
  </si>
  <si>
    <t>FX6U7</t>
  </si>
  <si>
    <t>WOS:001149199100001</t>
  </si>
  <si>
    <t>Kjær, LJ; BOdker, R; Król, N; Skarphédinsson, S; Jensen, PM</t>
  </si>
  <si>
    <t>Kjaer, Lene Jung; Bodker, Rene; Krol, Nina; Skarphedinsson, Sigurdur; Jensen, Per Moestrup</t>
  </si>
  <si>
    <t>Potential for integrated monitoring of tick-borne diseases: Indices of tick activity, citizen science, and tick-borne Lyme neuroborreliosis in Denmark from 2017 to 2024</t>
  </si>
  <si>
    <t>Tick surveillance; Google Trends; Ixodes ricinus; Weather data; Tick flagging</t>
  </si>
  <si>
    <t>QUESTING ACTIVITY; RISK-ASSESSMENT; ENDEMIC AREA; BORRELIOSIS; ENCEPHALITIS; INFECTION; SURVEILLANCE; DENSITY; ECOLOGY; HUMANS</t>
  </si>
  <si>
    <t>Monitoring programs that track natural fluctuations in tick activity, human exposure, and disease incidence are limited in their ability to detect shifts in tick-borne disease (TBD) risk. We evaluated an integrated approach combining field-based tick surveillance, Google search trends, and national Lyme neuroborreliosis (LNB) records in Denmark from 2017-2024. Tick nymph activity was modelled using meteorological data from six forest sites and validated against independent 2024-2025 data. The model showed strong predictive performance (Pearson's r = 0.76, normalised root-mean-square error = 0.16), with temperature, relative humidity, and precipitation significantly influencing activity. Predicted tick activity correlated strongly with Danish Google search terms for ticks (Fl &amp; aring;t and T ae ge) with a 1-month lag, and with borrelia searches without lag. Predicted activity preceded LNB incidence by one month, consistent with known delays in symptom onset and diagnosis. These findings suggest that digital search behaviour may reflect early public awareness and exposure, offering potential as an early warning signal. We adopted a bottom-up modelling approach, using predicted tick activity derived from meteorological data as a shared reference to explore weather-driven congruence across field surveillance, digital search behaviour, and disease records. The strong temporal alignment across data sources supports the feasibility of integrated TBD surveillance and indicates that the six field sites provide a representative signal of tick activity and can therefore act as effective sentinel sites. Combining weather data, sentinel site activity, digital behaviour, and health records offers a scalable, cost-effective complement to traditional monitoring and may improve confidence in detected trends, enabling earlier public health responses.</t>
  </si>
  <si>
    <t>[Kjaer, Lene Jung; Bodker, Rene] Univ Copenhagen, Fac Hlth &amp; Med Sci, Dept Vet &amp; Anim Sci, Frederiksberg, Denmark; [Krol, Nina] Univ Leipzig, Inst Anim Hyg &amp; Vet Publ Hlth, Leipzig, Germany; [Skarphedinsson, Sigurdur] Odense Univ Hosp, Clin Ctr Emerging &amp; Vector Borne Infect, Dept Infect Dis, Odense, Denmark; [Jensen, Per Moestrup] Univ Copenhagen, Fac Sci, Dept Plant &amp; Environm Sci, Frederiksberg, Denmark</t>
  </si>
  <si>
    <t>University of Copenhagen; Leipzig University; University of Southern Denmark; Odense University Hospital; University of Copenhagen</t>
  </si>
  <si>
    <t>Kjær, LJ (corresponding author), Univ Copenhagen, Fac Hlth &amp; Med Sci, Dept Vet &amp; Anim Sci, Frederiksberg, Denmark.</t>
  </si>
  <si>
    <t>lenju@sund.ku.dk</t>
  </si>
  <si>
    <t>Jensen, Per/J-8182-2012; Kjaer, Lene/LFS-6146-2024</t>
  </si>
  <si>
    <t>Skarphedinsson, Sigurdur/0000-0001-8440-7040</t>
  </si>
  <si>
    <t>10.1016/j.ttbdis.2025.102602</t>
  </si>
  <si>
    <t>CD4KR</t>
  </si>
  <si>
    <t>WOS:001663144500001</t>
  </si>
  <si>
    <t>Stuber, EF; Robinson, OJ; Bjerre, ER; Otto, MC; Millsap, BA; Zimmerman, GS; Brasher, MG; Ringelman, KM; Fournier, AM; Yetter, A; Isola, JE; Ruiz-Gutierrez, V</t>
  </si>
  <si>
    <t>Stuber, Erica F.; Robinson, Orin J.; Bjerre, Emily R.; Otto, Mark C.; Millsap, Brian A.; Zimmerman, Guthrie S.; Brasher, Michael G.; Ringelman, Kevin M.; Fournier, Auriel M., V; Yetter, Aaron; Isola, Jennifer E.; Ruiz-Gutierrez, Viviana</t>
  </si>
  <si>
    <t>The potential of semi-structured citizen science data as a supplement for conservation decision-making: Validating the performance of eBird against targeted avian monitoring efforts</t>
  </si>
  <si>
    <t>Bald eagle; Community science; Decision-making; Natural resource management; Policymaking; Waterfowl</t>
  </si>
  <si>
    <t>Methods are being developed to capitalize on citizen science data for research and monitoring, but these data are rarely used within established decision-making frameworks of wildlife agencies. Citizen science data are often collected at higher resolution and extent than targeted monitoring programs, and may provide complementary information. Here, we demonstrate that carefully filtered semi-structured citizen science observations, when paired with targeted survey data, can produce ecological predictions at higher resolution and extent than targeted surveys alone, and both datasets can represent complementary aspects of species' ecology. We present case studies demonstrating how citizen science data can enhance or supplement decision-making of government and conservation organizations. First, we show how the continuous spatial coverage of citizen science projects, when coupled with targeted surveys, can improve estimates of metrics used by the U.S. Fish and Wildlife Service in regulatory processes to estimate population size, and inform take limits of federally managed species nationwide. Second, we show that the spatial coverage of citizen science accommodates dynamic avian space use patterns during key times of the year, relative to standardized monitoring protocols carried out by the Illinois Natural History Survey. Lastly, we demonstrate that citizen science information can replicate estimates of migratory chronologies for the Illinois Natural History Survey and the U.S. Fish and Wildlife Service for some waterfowl species, and in some contexts can supplement missing data on abundance. These findings illustrate the value of integrating validated information from semi-structured citizen science into the current evidence base used to justify, inform, and evaluate conservation decision-making.</t>
  </si>
  <si>
    <t>[Stuber, Erica F.] Utah State Univ, US Geol Survey, Utah Cooperat Fish &amp; Wildlife Res Unit, Dept Wildland Resources, 5230 Old Main Hill, Logan, UT 84322 USA; [Stuber, Erica F.; Robinson, Orin J.; Ruiz-Gutierrez, Viviana] Cornell Univ, Cornell Lab Ornithol, Ithaca, NY USA; [Bjerre, Emily R.; Otto, Mark C.; Millsap, Brian A.; Zimmerman, Guthrie S.] US Fish &amp; Wildlife Serv, Natl Raptor Program, Div Migratory Bird Management, Washington, DC USA; [Brasher, Michael G.] Ducks Unltd Inc, 1 Waterfowl Way, Memphis, TN USA; [Ringelman, Kevin M.] Louisiana State Univ Agr Ctr, Sch Renewable Nat Resources, Baton Rouge, LA USA; [Fournier, Auriel M., V; Yetter, Aaron] Univ Illinois, Forbes Biol StationBellrose Waterfowl Res Ctr, Prairie Res Inst, Illinois Nat Hist Survey, Havana, IL 62644 USA; [Isola, Jennifer E.] US Fish &amp; Wildlife Serv, Sacramento Natl Wildlife Refuge Complex, 752 Cty Rd 99W, Willows, CA USA</t>
  </si>
  <si>
    <t>Utah System of Higher Education; Utah State University; United States Department of the Interior; United States Geological Survey; Cornell University; United States Department of the Interior; US Fish &amp; Wildlife Service; Louisiana State University System; Louisiana State University; Illinois Natural History Survey; University of Illinois System; United States Department of the Interior; US Fish &amp; Wildlife Service</t>
  </si>
  <si>
    <t>Stuber, EF (corresponding author), Utah State Univ, US Geol Survey, Utah Cooperat Fish &amp; Wildlife Res Unit, Dept Wildland Resources, 5230 Old Main Hill, Logan, UT 84322 USA.</t>
  </si>
  <si>
    <t>efstuber@gmail.com</t>
  </si>
  <si>
    <t>Ringelman, Kevin/G-9956-2013; Stuber, Erica/ODL-2520-2025</t>
  </si>
  <si>
    <t>Ringelman, Kevin/0000-0003-0299-3432; Fournier, Auriel MV/0000-0002-8530-9968; Stuber, Erica/0000-0002-2687-6874</t>
  </si>
  <si>
    <t>U.S. Fish and Wildlife Service; Federal Aid in Wildlife Restoration Program; U.S. Geological Survey</t>
  </si>
  <si>
    <t>U.S. Fish and Wildlife Service(US Fish &amp; Wildlife Service); Federal Aid in Wildlife Restoration Program; U.S. Geological Survey(United States Geological Survey)</t>
  </si>
  <si>
    <t>The authors thank all eBird participants for their contributions, and Daniel Fink and the entire eBird Status &amp; Trends team for their support. The authors gratefully acknowledge funding from the U.S. Fish and Wildlife Service, the Federal Aid in Wildlife Restoration Program (INHS surveys) and the U.S. Geological Survey (in-kind). The funding sources were not involved in conducting this research or in preparation of this manuscript. Any use of trade, firm, or product names is for descriptive purposes only and does not imply endorsement by the U.S. Government. The findings and conclusions in this article are those of the authors and do not necessarily represent the views of the U.S. Fish and Wildlife Service.</t>
  </si>
  <si>
    <t>10.1016/j.biocon.2022.109556</t>
  </si>
  <si>
    <t>3F7IX</t>
  </si>
  <si>
    <t>WOS:000830839400002</t>
  </si>
  <si>
    <t>Frontiers Prod Off</t>
  </si>
  <si>
    <t>An innovation of two established methods for monitoring water colour and clarity: participatory science using the mini- and midi- secchi disks (vol 13, 1610130, 2025)</t>
  </si>
  <si>
    <t>[Frontiers Prod Off] Frontiers Media SA, Lausanne, Switzerland</t>
  </si>
  <si>
    <t>Frontiers Media SA, Lausanne, Switzerland.</t>
  </si>
  <si>
    <t>10.3389/fenvs.2025.1659157</t>
  </si>
  <si>
    <t>5JQ5C</t>
  </si>
  <si>
    <t>WOS:001537265300001</t>
  </si>
  <si>
    <t>Pavón-Vázquez, CJ; Fitch, AJ; Doughty, P; Donnellan, SC; Keogh, JS</t>
  </si>
  <si>
    <t>Pavon-Vazquez, Carlos J.; Fitch, Alison J.; Doughty, Paul; Donnellan, Stephen C.; Keogh, J. Scott</t>
  </si>
  <si>
    <t>Integrating Genomics, Collections, and Community Science to Delimit Species Clarifies the Taxonomy of a Variable Monitor Lizard (Varanus tristis)</t>
  </si>
  <si>
    <t>SYSTEMATIC BIOLOGY</t>
  </si>
  <si>
    <t>Australia; coloration; citizen science; machine learning; morphometrics; integrative taxonomy; phylogenomics; species delimitation</t>
  </si>
  <si>
    <t>CITIZEN SCIENCE; MOLECULAR PHYLOGENY; GENETIC-VARIATION; ORGANIZING MAPS; R PACKAGE; INATURALIST; LANDSCAPE; MODEL; DIVERSIFICATION; PHYLOGEOGRAPHY</t>
  </si>
  <si>
    <t>The accurate characterization of species diversity is a vital prerequisite for ecological and evolutionary research, as well as conservation. Thus, it is necessary to generate robust hypotheses of species limits based on the inference of evolutionary processes. Integrative species delimitation, the inference of species limits based on multiple sources of evidence, can provide unique insight into species diversity and the processes behind it. Here, we show how community observations can be integrated with standard molecular and phenotypic data sets under an integrative framework to identify the processes generating genetic and phenotypic variation. We implement this approach in Varanus tristis, a widespread and variable complex of Australian monitor lizards. Using genomic, phenotypic (linear and geometric morphometrics, coloration), spatial, and environmental data, we show that disparity in this complex is inconsistent with intraspecific variation and instead suggests that speciation has occurred. Based on our results, we provide an updated taxonomy for this complex and identify the processes that may have been responsible for the geographic sorting of variation. Our workflow provides a guideline for the integrative analysis of several types of data to identify the occurrence and causes of speciation. Furthermore, our study highlights the benefits and caveats associated with community science and machine learning-two tools used here-in taxonomic research.</t>
  </si>
  <si>
    <t>[Pavon-Vazquez, Carlos J.] Univ Nacl Autonoma Mexico, Fac Estudios Super Iztacala, Ave Barrios 1, Tlalnepantla 54090, Estado De Mexic, Mexico; [Pavon-Vazquez, Carlos J.; Keogh, J. Scott] Australian Natl Univ, Res Sch Biol, Div Ecol &amp; Evolut, 46 Sullivans Creek Rd, Canberra, ACT 2600, Australia; [Fitch, Alison J.] Flinders Univ S Australia, Coll Sci &amp; Engn, Phys Sci Bldg, Bedford Pk, SA 5042, Australia; [Doughty, Paul] Western Australian Museum, Collect &amp; Res, 49 Kew St, Welshpool, WA 6160, Australia; [Donnellan, Stephen C.] South Australian Museum, Res &amp; Collect, Adelaide, SA 5000, Australia</t>
  </si>
  <si>
    <t>Universidad Nacional Autonoma de Mexico; Australian National University; Flinders University; Western Australian Museum; South Australian Museum</t>
  </si>
  <si>
    <t>Pavón-Vázquez, CJ (corresponding author), Univ Nacl Autonoma Mexico, Fac Estudios Super Iztacala, Ave Barrios 1, Tlalnepantla 54090, Estado De Mexic, Mexico.;Pavón-Vázquez, CJ (corresponding author), Australian Natl Univ, Res Sch Biol, Div Ecol &amp; Evolut, 46 Sullivans Creek Rd, Canberra, ACT 2600, Australia.</t>
  </si>
  <si>
    <t>cjpvunam@gmail.com</t>
  </si>
  <si>
    <t>Keogh, Scott/C-8441-2009; Donnellan, Stephen/F-2442-2013</t>
  </si>
  <si>
    <t>Pavón-Vázquez, Carlos J/0000-0001-7484-7026; Donnellan, Stephen/0000-0002-5448-3226</t>
  </si>
  <si>
    <t>Australian Government Research Training Program [ANU-6147817]; Australian Research Council Discovery [DP210100820]</t>
  </si>
  <si>
    <t>Australian Government Research Training Program(Australian Government); Australian Research Council Discovery(Australian Research Council)</t>
  </si>
  <si>
    <t>This work was supported by an Australian Research Council Discovery grant [DP210100820 to J.S.K.] and the Australian Government Research Training Program [ANU-6147817 to C.J.P.V.].</t>
  </si>
  <si>
    <t>1063-5157</t>
  </si>
  <si>
    <t>1076-836X</t>
  </si>
  <si>
    <t>SYST BIOL</t>
  </si>
  <si>
    <t>Syst. Biol.</t>
  </si>
  <si>
    <t>2025 NOV 11</t>
  </si>
  <si>
    <t>10.1093/sysbio/syaf064</t>
  </si>
  <si>
    <t>9OK2T</t>
  </si>
  <si>
    <t>WOS:001611185500001</t>
  </si>
  <si>
    <t>Ma, KCK; Reddy, S; Froneman, PW; Porri, F; McQuaid, CD</t>
  </si>
  <si>
    <t>Ma, Kevin C. K.; Reddy, Seshnee; Froneman, P. William; Porri, Francesca; McQuaid, Christopher D.</t>
  </si>
  <si>
    <t>Locality-based community science facilitates early detection and monitoring: the case of an extralimital population of a brachyuran crab</t>
  </si>
  <si>
    <t>Decapoda; genetic barcoding; Portunidae; Portunus segnis; species occurrence; surveillance; volunteer monitoring</t>
  </si>
  <si>
    <t>PORTUNUS-PELAGICUS LINNAEUS; CITIZEN SCIENCE; RANGE EXPANSION; SOUTH-AFRICA; OPTIMIZING SURVEILLANCE; DIDEMNUM-VEXILLUM; EASTERN CANADA; MARINE; ALIEN; DECAPODA</t>
  </si>
  <si>
    <t>Practitioners of community science who are based at a locality and who are familiar with the local ecosystem can provide opportunities to supplement formal monitoring efforts. Between 2021 and 2023, we established a working relationship with a yearround resident recreational fisher who was engaged with monitoring as a community scientist. As a result, the first extralimital record of Portunus segnis (commonly known as the blue swimming crab) in temperate waters of South Africa was detected in January of 2020 in the Kowie River on the south coast. Following this discovery, two additional specimens were found in the estuarine reaches of the same river in December 2021. This report provides evidence of a population of P. segnis persisting outside its native tropical range and, in addition to morphological identification, species verification was confirmed using genetic barcoding. The circumstances of finding these specimens underscore the importance of establishing and maintaining relationships between local resource users and researchers to facilitate the identification and monitoring of introduced and range expanding species and to provide formal scientific documentation and rapid communication of species occurrences and persistence outside their native range.</t>
  </si>
  <si>
    <t>[Ma, Kevin C. K.; Froneman, P. William; Porri, Francesca; McQuaid, Christopher D.] Rhodes Univ, Dept Zool &amp; Entomol, Grahamstown, South Africa; [Ma, Kevin C. K.] Mem Univ Newfoundland, Dept Ocean Sci, St John, NF, Canada; [Reddy, Seshnee; Porri, Francesca] South African Inst Aquat Biodivers, Grahamstown, South Africa; [Froneman, P. William] Univ Cape Town, Dept Biol Sci, Rondebosch, South Africa</t>
  </si>
  <si>
    <t>Rhodes University; Memorial University Newfoundland; National Research Foundation - South Africa; South African Institute for Aquatic Biodiversity; University of Cape Town</t>
  </si>
  <si>
    <t>Ma, KCK (corresponding author), Rhodes Univ, Dept Zool &amp; Entomol, Grahamstown, South Africa.;Ma, KCK (corresponding author), Mem Univ Newfoundland, Dept Ocean Sci, St John, NF, Canada.</t>
  </si>
  <si>
    <t>kevin.ma@mun.ca</t>
  </si>
  <si>
    <t>Ma, Kevin C K/K-8215-2019; Froneman, William/C-9085-2012; McQuaid, Christopher/AAT-3725-2020; Porri, Francesca/M-4258-2017</t>
  </si>
  <si>
    <t>Ma, Kevin C K/0000-0003-1678-077X; Froneman, William/0000-0003-0615-1355;</t>
  </si>
  <si>
    <t>South African Research Chairs Initiative of the Department of Science and Technology; National Research Foundation [64801]; European Union [101181413]</t>
  </si>
  <si>
    <t>South African Research Chairs Initiative of the Department of Science and Technology; National Research Foundation; European Union(European Union (EU))</t>
  </si>
  <si>
    <t>DNA extraction, PCR, purification, and sequencing procedures were carried out by the Aquatic Genomics Research Platform at the National Research Foundation-South African Institute for Aquatic Biodiversity (NRF-SAIAB). We are grateful for the financial support from the South African Research Chairs Initiative of the Department of Science and Technology and the National Research Foundation (Grant No. 64801). Publication of this study was partly supported by the European Union's Horizon Europe HORIZON-CL6-2024-BIODIV-01 project GuardIAS-Guarding European Waters from IAS, under grant agreement no. 101181413 (Katsanevakis et al. 2024).</t>
  </si>
  <si>
    <t>10.3391/mbi.2025.16.2.12</t>
  </si>
  <si>
    <t>4YD6L</t>
  </si>
  <si>
    <t>WOS:001529456000012</t>
  </si>
  <si>
    <t>Rondeau, S; Gervais, A; Leboeuf, A; Picard, APD; Larrivée, M; Fournier, V</t>
  </si>
  <si>
    <t>Rondeau, Sabrina; Gervais, Amelie; Leboeuf, Anne; Picard, Andre-Philippe Drapeau; Larrivee, Maxim; Fournier, Valerie</t>
  </si>
  <si>
    <t>Combining community science and taxonomist expertise for large-scale monitoring of insect pollinators: Perspective and insights from Abeilles citoyennes</t>
  </si>
  <si>
    <t>agriculture; biodiversity conservation; citizen science; flower flies; insect monitoring; native bees; pollinator conservation; surveillance; Syrphidae; wild bees</t>
  </si>
  <si>
    <t>CITIZEN SCIENCE; POLLEN LOADS; BUMBLE BEES; HYMENOPTERA; DECLINES; DIVERSITY; BIODIVERSITY; LANDSCAPES; SYRPHIDAE; PATTERNS</t>
  </si>
  <si>
    <t>While evidence of insect pollinator declines accumulates, little is known about the pollinator communities that are most vulnerable to population fluctuations and may require conservation actions. Among the main reasons for this lack of knowledge about the status and trends of native pollinators are the time, cost, and expertise required to collect and identify wild insect pollinators (bees, more specifically). Here, we discuss how leveraging the complementarity of community science and taxonomist expertise can help overcome these challenges and provide perspective and insights from launching the large-scale monitoring program Abeilles citoyennes. The overall objective of this community science project is to monitor wild bee (Apoidea) and hover fly (Syrphidae) diversity in the province of Quebec, Canada, and study the effects of landscape composition on their communities. From 2019 to 2021, 131 volunteers collected insects at 161 sites across the province. A total of 13,558 bees and 2,486 hover flies were collected and identified to species. The project protocol and potential data uses are presented, along with a discussion of the benefits and challenges of using an expert-assisted community science approach for pollinator monitoring and opportunities for improvement.</t>
  </si>
  <si>
    <t>[Rondeau, Sabrina; Gervais, Amelie; Leboeuf, Anne; Fournier, Valerie] Univ Laval, Ctr Rech &amp; Innovat Vegetaux, Dept Phytol, Quebec City, PQ, Canada; [Rondeau, Sabrina] Univ Guelph, Sch Environm Sci, Guelph, ON, Canada; [Picard, Andre-Philippe Drapeau; Larrivee, Maxim] Insectarium Montreal, Montreal, PQ, Canada; [Rondeau, Sabrina] Univ Laval, Ctr Rech &amp; innovat vegetaux, Dept phytol, 2480 Blvd Hochelaga, Quebec City, PQ J1V 0A6, Canada</t>
  </si>
  <si>
    <t>Laval University; University of Guelph; Laval University</t>
  </si>
  <si>
    <t>Rondeau, S (corresponding author), Univ Laval, Ctr Rech &amp; innovat vegetaux, Dept phytol, 2480 Blvd Hochelaga, Quebec City, PQ J1V 0A6, Canada.</t>
  </si>
  <si>
    <t>sabrina.rondeau.1@ulaval.ca</t>
  </si>
  <si>
    <t>Rondeau, Sabrina/Y-7230-2019; Larrivée, Maxim/KXS-0424-2024</t>
  </si>
  <si>
    <t>Rondeau, Sabrina/0000-0002-5916-7441; Larrivée, Maxim/0000-0002-2925-3736; Fournier, Valerie/0000-0003-0711-5241</t>
  </si>
  <si>
    <t>Ministry of Agriculture, Fisheries, and Food of Quebec [IA119082]</t>
  </si>
  <si>
    <t>Ministry of Agriculture, Fisheries, and Food of Quebec</t>
  </si>
  <si>
    <t>Ministry of Agriculture, Fisheries, and Food of Quebec, Grant/Award Number:IA119082</t>
  </si>
  <si>
    <t>10.1111/csp2.13015</t>
  </si>
  <si>
    <t>AP8T7</t>
  </si>
  <si>
    <t>WOS:001064415500001</t>
  </si>
  <si>
    <t>Handler, S; Coveny, K; Braukmann, TWA; Raine, NE; Steinke, D</t>
  </si>
  <si>
    <t>Handler, Sage; Coveny, Katerina; Braukmann, Thomas W. A.; Raine, Nigel E.; Steinke, Dirk</t>
  </si>
  <si>
    <t>Welcome to Hotel Hymenoptera: monitoring cavity-nesting bee and wasp distribution and their trophic interactions using community science and metabarcoding</t>
  </si>
  <si>
    <t>METABARCODING AND METAGENOMICS</t>
  </si>
  <si>
    <t>Land use; pollination; range expansion; urban ecology</t>
  </si>
  <si>
    <t>SOLITARY BEES; POLLINATORS; LANDSCAPE; DIVERSITY; PARASITOIDS; APIFORMES; VESPOIDEA; DYNAMICS; ACULEATA; BARCODE</t>
  </si>
  <si>
    <t>Essential ecosystem services are provided by many interactions, including plant-pollinator, predator-prey, and host-parasitoid. These services support food and natural systems through pollination and pest control, however they are challenging to qualify, and previous observational studies may underestimate their complexity. The cavity nesting Hymenoptera are a good example showing all these three interactions and they can be monitored using trap nests. For this study, trap nests were installed at schools across Canada by community scientists to investigate cavity-nesting bee and wasp distributions and interactions. DNA metabarcoding was used to identify the occupants and their food sources. New bee and wasp distributions were found that might be the result of previous under-sampling or recent range expansions. Detailed bipartite and tripartite networks describing species interactions suggest some novel bee, wasp, and parasite associations. These results encourage further investigation into these interactions using molecular methods as detailed range maps and networks provide information to natural historians and conservationists alike.</t>
  </si>
  <si>
    <t>[Handler, Sage; Raine, Nigel E.] Univ Guelph, Sch Environm Sci, 50 Stone Rd East, Guelph, ON N1G 2W1, Canada; [Coveny, Katerina] Wilfrid Laurier Univ, 75 Univ Ave, Waterloo, ON N2L 3C5, Canada; [Braukmann, Thomas W. A.] Publ Hlth Ontario, 661 Univ Ave, Toronto, ON M5G 1M1, Canada; [Steinke, Dirk] Univ Guelph, Ctr Biodivers Genom, 50 Stone Rd East, Guelph, ON N1G 2W1, Canada</t>
  </si>
  <si>
    <t>University of Guelph; Wilfrid Laurier University; Public Health Ontario; University of Guelph</t>
  </si>
  <si>
    <t>Steinke, D (corresponding author), Univ Guelph, Ctr Biodivers Genom, 50 Stone Rd East, Guelph, ON N1G 2W1, Canada.</t>
  </si>
  <si>
    <t>dsteinke@uoguelph.ca</t>
  </si>
  <si>
    <t>Braukmann, Thomas/N-7333-2019; Raine, Nigel/AAK-6425-2020; Steinke, Dirk/D-4700-2009</t>
  </si>
  <si>
    <t>Food from Thought: Agricultural Systems for a Healthy Planet Initiative, through the Canada First Research Excellence Fund [000054]; New Frontiers in Research Fund [NFRFT-2020-00073]; Natural Sciences and Engineering Research Council of Canada (NSERC) [2015-06783]; Ontario Ministry of Agriculture, Food and Rural Affairs [UofG2018-3307]; Weston Family Foundation; PromoScience grant</t>
  </si>
  <si>
    <t>Food from Thought: Agricultural Systems for a Healthy Planet Initiative, through the Canada First Research Excellence Fund; New Frontiers in Research Fund; Natural Sciences and Engineering Research Council of Canada (NSERC)(Natural Sciences and Engineering Research Council of Canada (NSERC)); Ontario Ministry of Agriculture, Food and Rural Affairs; Weston Family Foundation; PromoScience grant</t>
  </si>
  <si>
    <t>Financial support for this work was provided by the Food from Thought: Agricultural Systems for a Healthy Planet Initiative, through the Canada First Research Excellence Fund (Project 000054) and the New Frontiers in Research Fund (NFRFT-2020-00073) . Further support came from a Natural Sciences and Engineering Research Council of Canada (NSERC) Discovery Grant (2015-06783) to NER and a PromoScience grant to DS, as well as support from the Ontario Ministry of Agriculture, Food and Rural Affairs (UofG2018-3307) to NER. NER is supported as the Rebanks Family Chair in Pollinator Conservation by the Weston Family Foundation.</t>
  </si>
  <si>
    <t>2534-9708</t>
  </si>
  <si>
    <t>METABARCOD METAGENOM</t>
  </si>
  <si>
    <t>Metabarcod. Metagenom.</t>
  </si>
  <si>
    <t>FEB 3</t>
  </si>
  <si>
    <t>10.3897/mbmg.10.139674</t>
  </si>
  <si>
    <t>Biochemical Research Methods; Biochemistry &amp; Molecular Biology; Ecology</t>
  </si>
  <si>
    <t>Biochemistry &amp; Molecular Biology; Environmental Sciences &amp; Ecology</t>
  </si>
  <si>
    <t>DI6BO</t>
  </si>
  <si>
    <t>WOS:001684293200001</t>
  </si>
  <si>
    <t>Walker, BL; Yappert, AA; Brennan, CL; Bossu, CM; Jones, AW</t>
  </si>
  <si>
    <t>Walker, Brett L.; Yappert, Aaron A.; Brennan, Courtney L.; Bossu, Christen M.; Jones, Andrew W.</t>
  </si>
  <si>
    <t>Field research guided by citizen science and monitoring data reveal a novel alpine breeding distribution and vegetation associations of a declining, habitat-specialist songbird in Colorado, USA</t>
  </si>
  <si>
    <t>krummholz; migratory songbird; sagebrush; Spizella breweri; Spizella taverneri; subspecies; Timberline Sparrow; treeline</t>
  </si>
  <si>
    <t>ALIGNMENT; FORMAT</t>
  </si>
  <si>
    <t>. Documenting the breeding habitat and distribution of migratory songbirds is essential for accurately assessing their conservation status. The sagebrush subspecies of the Brewer's Sparrow (Spizella breweri breweri) breeds in greatest abundance in sagebrush-dominated (Artemisia spp.) shrublands of western North America, and the timberline subspecies (S. b. taverneri) breeds in shrubs or krummholz at or above the tree line in mountain ranges from Alaska to Montana. Brewer's Sparrows have also been reported at alpine sites in summer in mountain ranges across the western United States, but their taxonomic affiliation and breeding status are unknown. We reviewed monitoring, citizen science, and specimen data for Colorado and identified 186 historical summer observations of Brewer's Sparrows at 59 alpine sites (3334-4288 m elevation). We surveyed 39 alpine sites in June-July 2021-2023, detected a total of 100 adults (mostly singing males) at 26 alpine sites (3395-3754 m elevation), and confirmed breeding at three sites. Males occupied mixed-species willow patches 0.9-1.8 m tall, often intermixed with sparse conifer krummholz. We recorded songs and captured, measured, photographed, and collected blood and feather samples from birds at a subset of alpine sites and nearby, lowerelevation sagebrush sites in May-July 2021. Vegetation associations and timing of breeding at alpine sites closely matched those of taverneri, but short songs, external morphology, coloration, and genetics of alpine birds overlapped with sagebrush birds and more closely matched those of range-wide breweri. Our results indicate that western Colorado supports a widely-distributed, but poorlydocumented, population of alpine breweri breeding in willows with sparse conifer krummholz within a relatively narrow elevation band at or above the tree line. Whether alpine birds are itinerant breeders that first nested in sagebrush remains unknown. Our results complicate interpretation of differences in breeding habitat and breeding phenology as supporting criteria for subspecific identification and taxonomic delineation in this species.</t>
  </si>
  <si>
    <t>[Walker, Brett L.] Colorado Pk &amp; Wildlife, Denver, CO 80216 USA; [Yappert, Aaron A.] Iowa State Univ, Ames, IA USA; [Brennan, Courtney L.; Jones, Andrew W.] Cleveland Museum Nat Hist, Cleveland, OH USA; [Bossu, Christen M.] Colorado State Univ, Ft Collins, CO USA; [Jones, Andrew W.] Spring Isl Trust, Okatie, SC USA</t>
  </si>
  <si>
    <t>Iowa State University; Cleveland Museum of Natural History; Colorado State University System; Colorado State University Fort Collins</t>
  </si>
  <si>
    <t>Walker, BL (corresponding author), Colorado Pk &amp; Wildlife, Denver, CO 80216 USA.</t>
  </si>
  <si>
    <t>brett.walker@state.co.us</t>
  </si>
  <si>
    <t>Walker, Brett/0000-0003-1183-3449</t>
  </si>
  <si>
    <t>Resilience Alliance</t>
  </si>
  <si>
    <t>Dedham</t>
  </si>
  <si>
    <t>231 Bussey St., Beckwith and Brown, Dedham, Massachusetts, UNITED STATES</t>
  </si>
  <si>
    <t>10.5751/ACE-02595-190110</t>
  </si>
  <si>
    <t>NC3W9</t>
  </si>
  <si>
    <t>WOS:001198221300001</t>
  </si>
  <si>
    <t>Compagnone, F; Varricchione, M; Stanisci, A; Matteucci, G; Carranza, ML</t>
  </si>
  <si>
    <t>Compagnone, Federica; Varricchione, Marco; Stanisci, Angela; Matteucci, Giorgio; Carranza, Maria Laura</t>
  </si>
  <si>
    <t>Exploring the Contribution of a Generalist Citizen Science Project for Alien Species Detection and Monitoring in Coastal Areas. A Case Study on the Adriatic of Central Italy</t>
  </si>
  <si>
    <t>iNaturalist; Natura2000; LTER; marine-coastal ecosystems; European regulation on alien species</t>
  </si>
  <si>
    <t>ACACIA-SALIGNA; PLANT INVASION; BIODIVERSITY; DUNES; ECOSYSTEMS; HABITATS; FRAGMENTATION; IMPACTS; ABRUZZO; RISK</t>
  </si>
  <si>
    <t>Coastal areas are biodiversity hotspots, providing essential ecosystem services, yet they are among the most threatened systems, particularly by alien species invasion. The European regulation on invasive alien species (IAS) highlights early detection as a key prerequisite for effective containment or eradication strategies. Traditional monitoring methods are costly and time-consuming, and Citizen Science (CS) may be a promising alternative. We assessed the contribution of the generalist CS project Wild Coast Adriatic (WCA) developed on the iNaturalist platform to the detection of alien species (AS) along the Central Adriatic coast. Using WCA, we extracted alien occurrences and explored AS seasonal patterns, geographic origins, dangers (EU regulation), and distributions inside protected areas (Natura 2000 and LTER sites). Between 2020 and 2023, WCA gathered 2194 research-grade observations of 687 species, including 139 records of 50 AS, five of which are of European concern. Asteraceae and Fabaceae (plants) as well as insects and mollusks (fauna) were the most abundant aliens. The observations increased over time, with more records concentrated in autumn and summer. Most AS come from the Americas and occurred outside the protected areas. Our results underline the contribution of CS data for detecting AS in coastal ecosystems, offering a valid support for early warning, monitoring, and management strategies.</t>
  </si>
  <si>
    <t>[Compagnone, Federica; Varricchione, Marco; Stanisci, Angela; Carranza, Maria Laura] Univ Molise, Dept Biosci &amp; Terr, EnviXLab, I-86090 Pesche, Italy; [Varricchione, Marco; Stanisci, Angela; Matteucci, Giorgio; Carranza, Maria Laura] Natl Biodivers Future Ctr NBFC, I-90133 Palermo, Italy; [Matteucci, Giorgio] Natl Res Council Italy, Inst BioEcon, V Madonna del Piano 10, I-50019 Sesto Fiorentino, Italy</t>
  </si>
  <si>
    <t>University of Molise; National Biodiversity Future Center; Consiglio Nazionale delle Ricerche (CNR); Istituto per la BioEconomia (IBE-CNR)</t>
  </si>
  <si>
    <t>Varricchione, M (corresponding author), Univ Molise, Dept Biosci &amp; Terr, EnviXLab, I-86090 Pesche, Italy.;Varricchione, M (corresponding author), Natl Biodivers Future Ctr NBFC, I-90133 Palermo, Italy.</t>
  </si>
  <si>
    <t>f.compagnone@studenti.unimol.it; marco.varricchione@unimol.it; stanisci@unimol.it; giorgio.matteucci@ibe.cnr.it; carranza@unimol.it</t>
  </si>
  <si>
    <t>Carranza, Maria Laura/E-7698-2012; Matteucci, Giorgio/AAB-7022-2021; Varricchione, Marco/JTT-1496-2023; Stanisci, Angela/F-4725-2012</t>
  </si>
  <si>
    <t>Carranza, Maria Laura/0000-0001-5753-890X; Compagnone, Federica/0000-0002-6694-1140; Matteucci, Giorgio/0000-0002-4790-9540; Varricchione, Marco/0000-0003-4716-6609; Stanisci, Angela/0000-0002-5302-0932</t>
  </si>
  <si>
    <t>INTERREG V-A IT-HR CBC Program [10255941]; National Recovery and Resilience Plan [3138, 3175]; European Union [CN_00000033, 1034, CUP H73C22000300001, PRIN 2022JBP5F8-PREVALIEN]; Early Detection of the Invasive Alien Plants of (European) Union concern in the Italian Protected Areas [J53D2300657-0006]</t>
  </si>
  <si>
    <t>INTERREG V-A IT-HR CBC Program; National Recovery and Resilience Plan; European Union(European Union (EU)); Early Detection of the Invasive Alien Plants of (European) Union concern in the Italian Protected Areas</t>
  </si>
  <si>
    <t>The research was partially supported by the INTERREG V-A IT-HR CBC Program (CoAStal and marine Waters Integrated Monitoring Systems for Ecosystems Protection and Management-CASCADE-ID: 10255941); the National Recovery and Resilience Plan (NRRP), Mission 4 Component 2 Investment 1.4-Call for tender No. 3138 of 16 December 2021, rectified by Decree n.3175 of 18 December 2021 of Italian Ministry of University and Research funded by the European Union-NextGenerationEU, Project code CN_00000033, Concession Decree No. 1034 of 17 June 2022 adopted by the Italian Ministry of University and Research, CUP H73C22000300001, Hub: Biodiversity, Spoke 5: Urban biodiversity, Project title National Biodiversity Future Center-NBFC; and PRIN 2022JBP5F8-PREVALIEN, Enhancing Knowledge on Prevention and Early Detection of the Invasive Alien Plants of (European) Union concern in the Italian Protected Areas, CUP Master: J53D2300657-0006.</t>
  </si>
  <si>
    <t>10.3390/d16120746</t>
  </si>
  <si>
    <t>Q5F8Y</t>
  </si>
  <si>
    <t>WOS:001384946600001</t>
  </si>
  <si>
    <t>Merlino, S; Paterni, M; Massetti, L; Cocchi, L; Locritani, M</t>
  </si>
  <si>
    <t>Merlino, Silvia; Paterni, Marco; Massetti, Luciano; Cocchi, Luca; Locritani, Marina</t>
  </si>
  <si>
    <t>A Citizen Science Approach to Supporting Environmental Sustainability and Marine Litter Monitoring: A Case Study of USV Mapping of the Distribution of Anthropogenic Debris on Italian Sandy Beaches</t>
  </si>
  <si>
    <t>marine litter; citizen science; USV; ocean sustainability; marine protected areas</t>
  </si>
  <si>
    <t>UNMANNED AERIAL VEHICLES; SPATIAL-DISTRIBUTION; MEDITERRANEAN SEA; PLASTIC DEBRIS; MICROPLASTICS; UAVS; PHOTOGRAMMETRY; SCIENTISTS; ABUNDANCE; SEDIMENTS</t>
  </si>
  <si>
    <t>Research on the dynamic mechanisms driving the accumulation of anthropogenic marine debris (AMD) in highly dynamic environments, such as extensive sandy beaches, remains limited. Unmanned aerial vehicles (UAVs) can be used to map macro-marine litter in these environments over large temporal and spatial scales, but several challenges remain in their interpretation. In this study, secondary school students participated in a citizen science initiative, during which they identified, marked, and classified waste items using a series of UAV orthophotos collected along an 800 m extended Italian beach in different seasons. A specific training program and a collection of working tools were developed to support these activities, which were carried out under the constraints imposed by the COVID-19 pandemic. The accuracy of the citizen science approach was evaluated by comparing its results with standard in situ visual census surveys conducted in the same area. This methodology not only enabled an analysis of the temporal dynamics of AMD accumulation but also served an important educational function. The effectiveness of the learning experience was estimated using pre- and post-activity questionnaires. The results indicate a clear improvement in the students' knowledge, interest, and awareness regarding marine litter, highlighting the potential of citizen science to both support environmental monitoring and promote sustainability education among younger generations.</t>
  </si>
  <si>
    <t>[Merlino, Silvia] Ist Sci Marine Consiglio Nazl Ric ISMAR CNR, I-19032 Lerici, Italy; [Paterni, Marco] Ist Fisiol Clin Consiglio Nazl Ric IFC CNR, I-56124 Pisa, Italy; [Massetti, Luciano] Ist Bioecon Consiglio Nazl Ric IBE CNR, I-50145 Florence, Italy; [Cocchi, Luca; Locritani, Marina] Ist Nazl Geofis &amp; Vulcanol, Via Vigna Murata 605, I-00143 Rome, Italy</t>
  </si>
  <si>
    <t>Consiglio Nazionale delle Ricerche (CNR); Istituto di Scienze Marine (ISMAR-CNR); Istituto Nazionale Geofisica e Vulcanologia (INGV)</t>
  </si>
  <si>
    <t>Cocchi, L (corresponding author), Ist Nazl Geofis &amp; Vulcanol, Via Vigna Murata 605, I-00143 Rome, Italy.</t>
  </si>
  <si>
    <t>silvia.merlino@sp.ismar.cnr.it; marco.paterni@cnr.it; luciano.massetti@cnr.it; luca.cocchi@ingv.it; marina.locritani@ingv.it</t>
  </si>
  <si>
    <t>; Locritani, Marina/AAW-5555-2021; Paterni, Marco/AAX-9367-2020; MERLINO, SILVIA/O-2325-2015; Massetti, Luciano/O-3360-2015</t>
  </si>
  <si>
    <t>cocchi, luca/0000-0001-7835-1116; Locritani, Marina/0000-0003-2827-5631; Paterni, Marco/0000-0002-9799-7059; MERLINO, SILVIA/0000-0002-4537-2903; Massetti, Luciano/0000-0002-0941-5347</t>
  </si>
  <si>
    <t>European Union [101000825]</t>
  </si>
  <si>
    <t>We would like to thank the Park of Migliarino, Massaciuccoli, and San Rossore for the permission to access the protected area and perform the field experiments. Special thanks go to the involved scholastic institutes, to the students that participated in this citizen science and educational experience during the hard days of the COVID-19 emergency, and to who supported them and helped us in collecting the data: for IIS Meucci of Massa (MS), Fabio Pieraccioni; for IIS Zaccagna-Galilei of Carrara (MS), Chiara Collotti and M. Cristina Matelli; for IIS Agnoletti of Sesto Fiorentino (FI), Laura Dei; for ISI Garfagnana of Castelnuovo (LU), Andrea Malagoli; for LS Marconi San Miniato (PI), Laura Doria. Thanks also to the NAUTILOS project (European Union's Horizon 2020 research and innovation program under grant agreement no. 101000825) for providing storage space for our data.</t>
  </si>
  <si>
    <t>10.3390/su17115048</t>
  </si>
  <si>
    <t>3PU5N</t>
  </si>
  <si>
    <t>WOS:001506119800001</t>
  </si>
  <si>
    <t>Viliani, L; Bonelli, S; Vercelli, M; Roy, DB; Riva, F</t>
  </si>
  <si>
    <t>Viliani, Leonardo; Bonelli, Simona; Vercelli, Monica; Roy, David B.; Riva, Federico</t>
  </si>
  <si>
    <t>Does a short Pollard walk transect capture butterfly and bee diversity? A test to inform pollinator monitoring and community science initiatives</t>
  </si>
  <si>
    <t>alpha diversity; beta diversity; citizen science; community science; EU pollinators initiative; monitoring; sampling design</t>
  </si>
  <si>
    <t>CITIZEN SCIENCE; BIODIVERSITY; ABUNDANCE</t>
  </si>
  <si>
    <t>1. Widespread declines in insects will threaten ecosystem functioning and services. Nevertheless, a lack of data hinders assessments of population and biodiversity trends for many insect groups and thus effective conservation actions. Implementing cost-effective, unbiased, and accurate monitoring programmes targeting different groups across a larger geographical range has therefore become a key conservation priority. 2. We evaluated a sampling protocol designed for community science initiatives targeting butterflies and bees. Specifically, we tested how well a short (200-m long) version of traditional Pollard walk transects, designed to be accessible for large numbers of community scientists, captures changes in alpha and beta diversity of these two pollinator groups. 3. We used resampling methods to simulate and assess scenarios varying in sampling intensity and frequency. We found that alpha and beta diversity of butterflies and bees were estimated at similar accuracies across different scenarios, which suggests that even short transects can provide useful information on diversity patterns for both taxa. However, common sampling frequencies resulted in low accuracies (e.g. one sample every 10 days finds on average similar to 50% of the species present at a site). 4. We discuss our results in the context of developing large scale, structured monitoring systems for multiple insect taxa, and how information on biodiversity patterns can inform the expansion of monitoring schemes. We explain why, moving forward, even rapid sampling designs similar to the approach tested here will be useful given a higher potential to involve community scientists, data integration techniques, and the opportunities to sample under-represented habitat types</t>
  </si>
  <si>
    <t>[Viliani, Leonardo; Bonelli, Simona] Univ Turin, Dipartimento Sci Vita &amp; Biol Sistemi, Turin, Italy; [Vercelli, Monica] Biodiversa, Turin, Italy; [Roy, David B.] UK Ctr Ecol &amp; Hydrol, Benson Lane, Wallingford, Oxon, England; [Riva, Federico] Carleton Univ, Dept Biol, Geomat &amp; Landscape Ecol Lab, Ottawa, ON, Canada; [Riva, Federico] Montreal Space Life, Insectarium, Montreal, PQ, Canada</t>
  </si>
  <si>
    <t>University of Turin; UK Centre for Ecology &amp; Hydrology (UKCEH); Carleton University</t>
  </si>
  <si>
    <t>Viliani, L (corresponding author), Univ Turin, Zoolab, Dipartimento Sci Vita &amp; Biol Sistemi, Via Accademia Albertina 13, I-10123 Turin, Italy.</t>
  </si>
  <si>
    <t>vilianileonardo45@gmail.com</t>
  </si>
  <si>
    <t>bonelli, simona/I-4682-2012; Viliani, Leonardo/PHE-7676-2026; Riva, Federico/GZB-0378-2022</t>
  </si>
  <si>
    <t>Viliani, Leonardo/0000-0003-1868-9064; Riva, Federico/0000-0002-1724-4293; VERCELLI, MONICA/0000-0002-6677-5429</t>
  </si>
  <si>
    <t>Universita degli Studi di Torino within the CRUI-CARE Agreement</t>
  </si>
  <si>
    <t>The authors thank Christian Segreto for supporting field work activities. The authors thank Reto Schmucki and an anonymous reviewer for their helpful comments and helping to improve the manuscript. Open Access Funding provided by Universita degli Studi di Torino within the CRUI-CARE Agreement.</t>
  </si>
  <si>
    <t>10.1111/icad.12593</t>
  </si>
  <si>
    <t>5W9EK</t>
  </si>
  <si>
    <t>WOS:000806076200001</t>
  </si>
  <si>
    <t>Santana, C; Bosch-Guiu, A; Gómez-Bellver, C; López-Pujol, J; Nualart, N</t>
  </si>
  <si>
    <t>Santana, Carlos; Bosch-Guiu, Arnau; Gomez-Bellver, Carlos; Lopez-Pujol, Jordi; Nualart, Neus</t>
  </si>
  <si>
    <t>A simplified method to detect and monitor alien plant species with invasive potential through citizen science: an application from the European Union-funded LIFE medCLIFFS project volunteers' data</t>
  </si>
  <si>
    <t>INVASIVE PLANT SCIENCE AND MANAGEMENT</t>
  </si>
  <si>
    <t>community science; invasive alien plant species; management; population dynamics</t>
  </si>
  <si>
    <t>ECOLOGICAL RESEARCH; ACCURACY; HISTORY; FLORIDA; LENGTH; MODEL; STATE; TOOL</t>
  </si>
  <si>
    <t>Citizen science is becoming very useful in surveying and monitoring biodiversity. Within the European Union LIFE medCLIFFS project, a network of volunteers has been established for the detection and long-term monitoring of invasive plant species that threaten the endemic flora of Mediterranean cliffs in northeastern Spain. Through iNaturalist, volunteers record various data along a series of 1-km transects. Based on the ca. 700 observations collected by volunteers in 2023 (the first year of the project), a simple and visually attractive methodology for assessing the recorded populations has been developed. This method classifies populations into one of three population dynamics categories: (1) propagative behavior (i.e., populations with seedlings or young plants but lacking senescent or dead individuals); (2) senescent behavior (i.e., showing senescent/dead plants but lacking seedlings/juveniles); and (3) a mixed behavior (i.e., containing both). This methodology, whose outputs are easily interpretable as heat maps, allows the collection of large datasets on invasive plants by citizen scientists, with two main purposes: (1) knowing which species are most concerning based on simple, straightforward observations of their population dynamics; and (2) identifying which regions of the study area are more problematic and where management efforts should therefore be directed.</t>
  </si>
  <si>
    <t>[Santana, Carlos; Bosch-Guiu, Arnau; Gomez-Bellver, Carlos; Nualart, Neus] CSIC, Inst Bot Barcelona IBB, CMCNB, Barcelona, Spain; [Lopez-Pujol, Jordi] Univ Espiritu Santo UEES, Escuela Ciencias Ambientales, Samborondon, Ecuador</t>
  </si>
  <si>
    <t>Consejo Superior de Investigaciones Cientificas (CSIC); CSIC - Institut Botanic de Barcelona (ICUB); Universidad de Especialidades Espiritu Santo</t>
  </si>
  <si>
    <t>López-Pujol, J (corresponding author), Univ Espiritu Santo UEES, Escuela Ciencias Ambientales, Samborondon, Ecuador.</t>
  </si>
  <si>
    <t>jlopez@ibb.csic.es</t>
  </si>
  <si>
    <t>Nualart, Neus/AAB-1497-2019</t>
  </si>
  <si>
    <t>Nualart, Neus/0000-0001-5804-387X; López-Pujol, Jordi/0000-0002-2091-6222; Santana, Carlos/0009-0003-4175-276X; Gómez-Bellver, Carlos/0000-0002-2468-158X; Bosch Guiu, Arnau/0009-0003-0276-9024</t>
  </si>
  <si>
    <t>LIFE program (Nature and Biodiversity) of the European Union (LIFE medCLIFFS) [LIFE20 NAT/ES/001223]; Generalitat de Catalunya, Government of Catalonia, Spain (Ajuts a grups de recerca consolidats) [2021SGR00315]</t>
  </si>
  <si>
    <t>LIFE program (Nature and Biodiversity) of the European Union (LIFE medCLIFFS); Generalitat de Catalunya, Government of Catalonia, Spain (Ajuts a grups de recerca consolidats)</t>
  </si>
  <si>
    <t>This research was funded by the LIFE program (Nature and Biodiversity) of the European Union (LIFE medCLIFFS, grant no. LIFE20 NAT/ES/001223) and by the Generalitat de Catalunya, Government of Catalonia, Spain (Ajuts a grups de recerca consolidats, grant no. 2021SGR00315).</t>
  </si>
  <si>
    <t>1939-7291</t>
  </si>
  <si>
    <t>1939-747X</t>
  </si>
  <si>
    <t>INVAS PLANT SCI MANA</t>
  </si>
  <si>
    <t>Invasive Plant Sci. Manag.</t>
  </si>
  <si>
    <t>e4</t>
  </si>
  <si>
    <t>10.1017/inp.2024.40</t>
  </si>
  <si>
    <t>Z7E9C</t>
  </si>
  <si>
    <t>Green Accepted, Bronze</t>
  </si>
  <si>
    <t>WOS:001440502900001</t>
  </si>
  <si>
    <t>Shuker, L; Gurnell, A; Hull, T</t>
  </si>
  <si>
    <t>Shuker, Lucy; Gurnell, Angela; Hull, Toby</t>
  </si>
  <si>
    <t>Biogeomorphological response to river restoration of a suburban river with large wood: Creating a restoration vision and cost-effectively monitoring the response trajectory using the citizen science MoRPh survey</t>
  </si>
  <si>
    <t>biogeomorphological responses; biogeomorphology; citizen science; fluvial geomorphology; low cost monitoring; monitoring design; recovery trajectory; restoration vision; river restoration</t>
  </si>
  <si>
    <t>FLUVIAL LANDFORMS; MANAGEMENT; VEGETATION; TEMPERATE; DYNAMICS; STREAM; PLANTS</t>
  </si>
  <si>
    <t>Biogeomorphological responses to river restoration are rarely reported. Despite a transition in the emphasis and priorities of river management over the last 40 years from controlling river channel forms and processes to restoring and supporting natural processes, forms and functions, remarkably little information is available on project outcomes. Here, using the example of Beverley Brook within Wimbledon Common, Greater London, UK, we illustrate how standardised detailed monitoring information can be assembled at a very low cost using the citizen science MoRPh survey and we demonstrate the importance of having a pre-project vision of likely outcomes that can be tracked by the monitoring programme. We show how a pre-project and five post-project surveys undertaken over 4 years according to a before-after-control-impact (BACI) design provides scientifically robust data. Analysis of the survey data quantifies the nature, abundance and spatial distribution of restoration interventions, the immediate responses to those interventions, and the ensuing trajectory of biogeomorphological adjustments. Changes in the persistence, size, position, abundance and evolution of habitats reveal the degree to which the restoration achieved the pre-project biogeomorphological vision and why the recovery trajectory progressed at the observed rate and to the observed end point over 4 years. Our approach has enormous potential for monitoring the outcomes of river interventions. Whilst our project was limited in its spatial scale and focus on physical habitats, we suggest how these limitations could be overcome whilst still containing costs.</t>
  </si>
  <si>
    <t>[Shuker, Lucy; Gurnell, Angela] Queen Mary Univ London, Sch Geog, London, England; [Shuker, Lucy; Gurnell, Angela] Cartographer Studios Ltd, Brighton, England; [Hull, Toby] South East Rivers Trust, Leatherhead, England</t>
  </si>
  <si>
    <t>Shuker, L (corresponding author), Queen Mary Univ London, Sch Geog, London, England.</t>
  </si>
  <si>
    <t>lucy@cartographer.io</t>
  </si>
  <si>
    <t>10.1002/rra.4262</t>
  </si>
  <si>
    <t>YV8G6</t>
  </si>
  <si>
    <t>WOS:001186118000001</t>
  </si>
  <si>
    <t>Jamieson, M; Elson, M; Carruthers, R; Ordens, CM</t>
  </si>
  <si>
    <t>Jamieson, Michael; Elson, Mabbie; Carruthers, Ross; Ordens, Carlos Miraldo</t>
  </si>
  <si>
    <t>The contribution of citizen science in managing and monitoring groundwater systems impacted by coal seam gas production: an example from the Surat Basin in Australia's Great Artesian Basin</t>
  </si>
  <si>
    <t>HYDROGEOLOGY JOURNAL</t>
  </si>
  <si>
    <t>Coal seam gas; Citizen science; Groundwater monitoring; Socio-economic aspects; Australia</t>
  </si>
  <si>
    <t>LA-MANCHA AQUIFERS; GOVERNANCE</t>
  </si>
  <si>
    <t>Monitoring is critical for effective groundwater management, especially in systems with competing groundwater interests, such as the Great Artesian Basin's (GAB) Surat Basin (similar to 180,000 km(2)) in Queensland, Australia. Coal seam gas (CSG) activities in the region have led to public concerns about potential impacts on groundwater and to landholder complaints about impacts on boreholes. To deal with these issues, the Queensland Government established the Groundwater Net and Groundwater Online citizen-science monitoring programs, which started in 2013 and were fully operational by 2018. Groundwater Net is a community-based education and groundwater monitoring program in which over 500 landholders across 16 local groups have attended workshops and provided over 1,000 groundwater-level/pressure readings from their boreholes using the My Groundwater Monitoring website. Annual workshops provide a forum to share and discuss monitoring results and knowledge. Regularly updated status reports compare monitoring data from CSG companies and the government with landholder data. Groundwater Online is a complimentary program using continuous-monitoring loggers and telemetry on 46 private boreholes. Citizen science now provides 13% of GAB monitoring boreholes in the CSG area. By effectively engaging with borehole owners, and empowering them to monitor, many opportunities arise for better groundwater management. Consequently, the spatial reach of groundwater monitoring and its frequency have increased, landholders are educated about groundwater systems, and borehole owners generally feel more confident about monitoring conducted by CSG companies and government.</t>
  </si>
  <si>
    <t>[Jamieson, Michael; Elson, Mabbie; Carruthers, Ross] Dept Nat Resources Mines &amp; Energy, Brisbane, Qld, Australia; [Jamieson, Michael; Elson, Mabbie; Carruthers, Ross] Dept Nat Resources Mines &amp; Energy, Toowoomba, Qld, Australia; [Ordens, Carlos Miraldo] Univ Queensland, Ctr Water Minerals Ind, Sustainable Minerals Inst, Brisbane, Qld 4072, Australia</t>
  </si>
  <si>
    <t>Jamieson, M (corresponding author), Dept Nat Resources Mines &amp; Energy, Brisbane, Qld, Australia.;Jamieson, M (corresponding author), Dept Nat Resources Mines &amp; Energy, Toowoomba, Qld, Australia.</t>
  </si>
  <si>
    <t>michael.jamieson@dnrme.qld.gov.au</t>
  </si>
  <si>
    <t>Ordens, Carlos/P-9212-2018</t>
  </si>
  <si>
    <t>DNRME</t>
  </si>
  <si>
    <t>DNRME funded the reported program.</t>
  </si>
  <si>
    <t>1431-2174</t>
  </si>
  <si>
    <t>1435-0157</t>
  </si>
  <si>
    <t>HYDROGEOL J</t>
  </si>
  <si>
    <t>Hydrogeol. J.</t>
  </si>
  <si>
    <t>10.1007/s10040-019-02050-8</t>
  </si>
  <si>
    <t>NOV 2019</t>
  </si>
  <si>
    <t>KJ4CI</t>
  </si>
  <si>
    <t>WOS:000499232100001</t>
  </si>
  <si>
    <t>Grauer, A; König, A; Bunnefeld, N</t>
  </si>
  <si>
    <t>Grauer, Andreas; Koenig, Andreas; Bunnefeld, Nils</t>
  </si>
  <si>
    <t>Citizen Science Based Monitoring of Greylag goose (Anser anser) in Bavaria (Germany): Combining Count Data and Bag Data to Estimate Long-Term Trends between 1988/89 and 2010/11</t>
  </si>
  <si>
    <t>ECOLOGICAL RESEARCH; TOOL; GEESE; DISTURBANCE; EFFICIENCY; HABITATS; SUCCESS; DESIGN; STATE; COST</t>
  </si>
  <si>
    <t>Introduction, Material and Methods Numbers of large grazing bird (geese, swans, cranes) have increased all over Europe, but monitoring these species, e.g. for management purposes, can be time consuming and costly. In Bavaria, sedentary Greylag geese (Anser anser) are monitored during the winter by two different citizen-based monitoring schemes: the International Waterbird Census [IWC] and hunting bag statistics. We compared the results of both schemes for the seasons 1988/89 to 2010/11 by analysing annual indices calculated using the software TRends and Indices for Monitoring Data-TRIM. Results and Discussion We identified similar, highly significant rates of increase in both data sets for the entire region of Bavaria (IWC 14% [13-15%], bag 13% [12-14%]). Furthermore, in all of the seven Bavarian regions, trends in annual indices of both data sets correlated significantly. The quality of both datasets as indicators of abundances in Greylag geese populations in Bavaria was not undermined by either weaknesses typically associated with citizen based monitoring or problems generally assumed for IWC and bag data. We also show that bag data are, under the German system of collecting bag statistics, a reliable indicator of species' distribution, especially for detecting newly colonized areas. Therefore, wildlife managers may want to consider bag data from citizen science led monitoring programmes as evidence supporting the decision making processes. We also discuss requirements for any bag monitoring schemes being established to monitor trends in species' distribution and abundance.</t>
  </si>
  <si>
    <t>[Grauer, Andreas; Koenig, Andreas] Tech Univ Munich, Wildlife Biol &amp; Management Working Grp, Inst Anim Ecol, Freising Weihenstephan, Germany; [Bunnefeld, Nils] Univ Stirling, Biol &amp; Environm Sci, Stirling FK9 4LA, Scotland</t>
  </si>
  <si>
    <t>Technical University of Munich; University of Stirling</t>
  </si>
  <si>
    <t>Grauer, A (corresponding author), Tech Univ Munich, Wildlife Biol &amp; Management Working Grp, Inst Anim Ecol, Freising Weihenstephan, Germany.</t>
  </si>
  <si>
    <t>andreas.grauer@web.de</t>
  </si>
  <si>
    <t>Bunnefeld, Nils/G-1946-2011</t>
  </si>
  <si>
    <t>Bunnefeld, Nils/0000-0002-1349-4463</t>
  </si>
  <si>
    <t>e0130159</t>
  </si>
  <si>
    <t>10.1371/journal.pone.0130159</t>
  </si>
  <si>
    <t>CL4OM</t>
  </si>
  <si>
    <t>WOS:000356932500081</t>
  </si>
  <si>
    <t>Cray, H; Parker, B</t>
  </si>
  <si>
    <t>Cray, Heather; Parker, Becky</t>
  </si>
  <si>
    <t>Community science for assessing the vulnerability of freshwater ecosystems: Water quality monitoring, restoration, and outreach by young naturalists in Nova Scotia, Canada</t>
  </si>
  <si>
    <t>SCIENCE PROGRESS</t>
  </si>
  <si>
    <t>Participatory science; science outreach; water monitoring; conservation; freshwater ecosystems</t>
  </si>
  <si>
    <t>Community science models that complement formal scientific investigations are valuable tools for addressing gaps in knowledge and engaging the community. Freshwater quality monitoring and vulnerability assessment, for example, are essential for conserving freshwater ecosystems, but often suffer from limited resources. While municipal programs focus on priority areas, community-based models can improve overall coverage both spatially and temporally. As an example of how community science initiatives centered on freshwater ecosystems enhance monitoring capacity, we present the case of the Young Naturalists Club (YNC) in Nova Scotia, Canada. The YNC's Nature Guardians program involves youth aged 10-14 in water monitoring, restoration, and outreach activities within Shubie Park, in Dartmouth, Nova Scotia. Between 2018 and 2021 the Nature Guardians collected water monitoring data at multiple park locations, and shared findings with city authorities and the Atlantic Water Network. In response to high bacteria counts, and concerns over nutrient influxes, the group's 2021-2023 restoration efforts have aimed to improve water quality, focusing on native plantings and outreach signage. This type of community-based monitoring offers several advantages, including local site selection based on community concerns, the potential for low-cost long-term monitoring, and community engagement. While a community-based monitoring model presents certain challenges including data standardization and verification, it offers a broader reach and can produce high-quality data when appropriate protocols are followed. This case underscores the potential of a community-based water quality monitoring approach and highlights the potential for community science to augment existing assessment structures, ultimately contributing to more resilient and sustainable freshwater ecosystems.</t>
  </si>
  <si>
    <t>[Cray, Heather] Sch Resource &amp; Environm Studies, Kenneth C Rowe Management Bldg,6100 Univ Ave,POB 1, Halifax, NS B3H 4R2, Canada; [Parker, Becky] Young Naturalist Club, Halifax, NS, Canada</t>
  </si>
  <si>
    <t>Cray, H (corresponding author), Sch Resource &amp; Environm Studies, Kenneth C Rowe Management Bldg,6100 Univ Ave,POB 1, Halifax, NS B3H 4R2, Canada.</t>
  </si>
  <si>
    <t>hcray@dal.ca</t>
  </si>
  <si>
    <t>Cray, Heather/MBH-1076-2025</t>
  </si>
  <si>
    <t>Cray, Heather/0000-0002-3756-2942</t>
  </si>
  <si>
    <t>The Young Naturalists Club's Nature Guardians program; Nature Canada's Naturehood Fund; TD Friends of the Environment Fund</t>
  </si>
  <si>
    <t>The authors disclosed receipt of the following financial support for the research, authorship, and/or publication of this article: The Young Naturalists Club's Nature Guardians program is funded by a variety of foundations, government grants, and private donations each year. Water quality monitoring and shoreline restoration activities that took place over 2018-2023 were supported by private donors, the Echo Foundation, Nature Canada's Naturehood Fund, and the TD Friends of the Environment Fund. Activities leading to the creation of public signage were supported by Nature Canada's Naturehood Fund and the TD Friends of the Environment Fund.</t>
  </si>
  <si>
    <t>0036-8504</t>
  </si>
  <si>
    <t>2047-7163</t>
  </si>
  <si>
    <t>SCI PROGRESS-UK</t>
  </si>
  <si>
    <t>Sci. Prog.</t>
  </si>
  <si>
    <t>10.1177/00368504241257040</t>
  </si>
  <si>
    <t>Education, Scientific Disciplines; Multidisciplinary Sciences</t>
  </si>
  <si>
    <t>Education &amp; Educational Research; Science &amp; Technology - Other Topics</t>
  </si>
  <si>
    <t>RX1O5</t>
  </si>
  <si>
    <t>WOS:001230868200001</t>
  </si>
  <si>
    <t>Smith, ED; Balika, D; Kirkwood, AE</t>
  </si>
  <si>
    <t>Smith, Erin D.; Balika, Deborah; Kirkwood, Andrea E.</t>
  </si>
  <si>
    <t>Community science-based monitoring reveals the role of land use scale in driving nearshore water quality in a large, shallow, Canadian lake</t>
  </si>
  <si>
    <t>Community science; land use; nearshore monitoring; research co-production; shoreline development; water quality</t>
  </si>
  <si>
    <t>CITIZEN SCIENCE; PATTERNS; ONTARIO; IMPACT; COVER; BASIN</t>
  </si>
  <si>
    <t>Smith ED, Balika D, Kirkwood AE. 2021. Community science-based monitoring reveals the role of land use scale in driving nearshore water quality in a large, shallow, Canadian lake. Lake Reserv Manage. XX:XXX-XXX. As shorelines and watersheds become increasingly developed, lake condition declines due to nutrient enrichment, excess algae growth, and contaminant loading. Lake Scugog, a large shallow lake in southern Ontario, Canada, is no exception, and has been experiencing increased urban development in its agriculture-dominated watershed over the last few decades. By applying a 3-pronged co-production model (stewardship group, watershed authority, and university laboratory), a nearshore water quality monitoring program was implemented using a community-science approach. Nearshore water samples were collected over 3 years (2017-2019) by trained community scientists. We found strong relationships between water quality parameters and land use, at the buffer and subcatchment scale. The strength of the land use relationships varied by parameter and scale, where chloride was significantly predicted by buffer land use, and phosphorus was explained by development at the subcatchment scale. Based on the high rate of participation compliance, the community science approach proved to be effective for capturing spatially explicit water quality data, which allowed us to establish current baseline conditions in Scugog's nearshore zone. Future watershed management should consider both scales of land use, but prioritize restoration efforts on the scale that corresponds to their specific water quality goals.</t>
  </si>
  <si>
    <t>[Smith, Erin D.; Kirkwood, Andrea E.] Ontario Tech Univ, Fac Sci, Oshawa, ON L1G 0C5, Canada; [Balika, Deborah] Conservat Ontario, Newmarket, ON L3Y 3W3, Canada</t>
  </si>
  <si>
    <t>Ontario Tech University</t>
  </si>
  <si>
    <t>Smith, ED (corresponding author), Ontario Tech Univ, Fac Sci, Oshawa, ON L1G 0C5, Canada.</t>
  </si>
  <si>
    <t>erin.smith@ontariotechu.ca</t>
  </si>
  <si>
    <t>Kirkwood, Anea/B-2738-2013</t>
  </si>
  <si>
    <t>Kirkwood, Anea/0000-0003-2947-574X; Smith, Erin/0000-0002-9114-3255</t>
  </si>
  <si>
    <t>Ontario Trillium Foundation; Natural Sciences and Engineering Research Council (NSERC) [RGPIN 246150]</t>
  </si>
  <si>
    <t>Ontario Trillium Foundation; Natural Sciences and Engineering Research Council (NSERC)(Natural Sciences and Engineering Research Council of Canada (NSERC))</t>
  </si>
  <si>
    <t>We thank the Ontario Trillium Foundation for supporting this research with a Grow Grant. Aspects of this research were also supported by a Natural Sciences and Engineering Research Council (NSERC) Discovery Grant to A. Kirkwood (RGPIN 246150).</t>
  </si>
  <si>
    <t>10.1080/10402381.2021.1989525</t>
  </si>
  <si>
    <t>XH2SA</t>
  </si>
  <si>
    <t>WOS:000717455200001</t>
  </si>
  <si>
    <t>Turner, AD; Dean, KJ; Lewis, AM; Hartnell, DM; Jenkins, Z; Bear, B; Mace, A; Almeida, N; van Ree, R; Etchells, K; Tibbs, I; Jesenko, P; Lewin, L; Robey, N; Banfield, N; Page, S; Belsham, G; Maskrey, BH; Hatfield, RG</t>
  </si>
  <si>
    <t>Turner, Andrew D.; Dean, Karl J.; Lewis, Adam M.; Hartnell, David M.; Jenkins, Zoe; Bear, Beth; Mace, Amy; Almeida, Nevena; van Ree, Rob; Etchells, Kerra; Tibbs, Issy; Jesenko, Patrick; Lewin, Loveday; Robey, Natalie; Banfield, Nikki; Page, Shamina; Belsham, George; Maskrey, Benjamin H.; Hatfield, Robert G.</t>
  </si>
  <si>
    <t>ScillyHAB: A Multi-Disciplinary Survey of Harmful Marine Phytoplankton and Shellfish Toxins in the Isles of Scilly: Combining Citizen Science with State-of-the-Art Monitoring in an Isolated UK Island Territory</t>
  </si>
  <si>
    <t>MARINE DRUGS</t>
  </si>
  <si>
    <t>Harmful Algal Blooms (HABs); shellfish toxins; Isles of Scilly; citizen science; Tetrodotoxin (TTX); nanopore sequencing</t>
  </si>
  <si>
    <t>DINOFLAGELLATE VULCANODINIUM-RUGOSUM; MUSSELS MYTILUS-EDULIS; PARALYTIC SHELLFISH; ALGAL BLOOMS; DOMOIC ACID; KARENIA-MIKIMOTOI; PSEUDO-NITZSCHIA; LIQUID-CHROMATOGRAPHY; GREAT-BRITAIN; CYCLIC IMINES</t>
  </si>
  <si>
    <t>The Isles of Scilly are an archipelago of islands in the far southwest of the UK which contain numerous beds of wild bivalve molluscs which are recreationally harvested for local consumption. However, the islands have never previously been assessed for the presence of harmful algae and their shellfish toxin metabolites which can cause serious human health impacts. This study sought to address these knowledge gaps through the analysis of seawater and shellfish tissues for microalgae and toxins utilizing portable and lab-based microscopy, nanopore sequencing, chemical analysis and immunoassay kits. The study design was affected by the national COVID-19 lockdown which enforced implementation of citizen-led sampling and in-field microscopy. Microscopy and sequencing approaches led to the confirmation of multiple HAB species of concern, including those potentially responsible for production of neurotoxic and diarrhetic shellfish toxins. A portable microscope was successfully utilized in the field for recognition of microalgae and for early warning of potential shellfish toxicity events. Chemical analysis of cockle, clam and mussel samples confirmed the detection of paralytic, diarrhetic and amnesic shellfish toxins, with an unusual okadaic acid group toxin profile reaching a maximum toxicity of approximately half the regulatory limit as defined by EU law. The Sensoreal Alert Lateral Flow Assay was used to screen and highlight samples containing higher concentrations of DSP toxins. Furthermore, Tetrodotoxin was detected for the first time in the UK in cockle and grooved carpet shells. Multiple saxitoxin analogues were also detected in two echinoderm species, with this providing the first ever report of paralytic shellfish toxins in the spiny starfish, Marthasterias glacialis. The toxin profiles in the two species varied significantly with a dominance of GTX4 in Luidia ciliaris as opposed to a dominance of STX in Marthasterias glacialis. Overall, the study showed that a multi-method assessment of a previously unexplored region within the UK territory contained microalgae and toxins of concern to human health, and that a citizen-led programme could be instigated using portable microscopy and rapid toxin testing to assess the early warning for potentially harmful microalgae and toxins in the region, with confirmatory analysis being conducted to establish actual levels of risk for local consumers of seafood.</t>
  </si>
  <si>
    <t>[Turner, Andrew D.; Dean, Karl J.; Lewis, Adam M.; Hartnell, David M.; Page, Shamina; Belsham, George; Maskrey, Benjamin H.; Hatfield, Robert G.] Ctr Environm Fisheries &amp; Aquaculture Sci Cefas, Barrack Rd, Weymouth DT4 8UB, Dorset, England; [Jenkins, Zoe; Etchells, Kerra; Tibbs, Issy] ScillyHAB Field Off, Normandy House, St Marys TR21 0NY, Isles Of Scilly, England; [Bear, Beth; Mace, Amy; Almeida, Nevena; van Ree, Rob] Cefas, Pakefield Rd, Lowestoft NR33 0HT, England; [Jesenko, Patrick] Five Isl Acad, Church Rd, St Marys TR21 0NA, Isles Of Scilly, England; [Lewin, Loveday] Univ Sussex, Sch Life Sci, Brighton BN1 9QG, England; [Robey, Natalie; Banfield, Nikki] Isles Of Scilly Wildlife Trust, Trenoweth TR21 0NS, Isles Of Scilly, England</t>
  </si>
  <si>
    <t>Centre for Environment Fisheries &amp; Aquaculture Science; Centre for Environment Fisheries &amp; Aquaculture Science; University of Sussex</t>
  </si>
  <si>
    <t>Turner, AD (corresponding author), Ctr Environm Fisheries &amp; Aquaculture Sci Cefas, Barrack Rd, Weymouth DT4 8UB, Dorset, England.</t>
  </si>
  <si>
    <t>andrew.turner@cefas.gov.uk; karl.dean@cefas.gov.uk; adam.lewis@cefas.gov.uk; david.hartnell@cefas.gov.uk; zoe.ellen1999@gmail.com; amy.mace@cefas.gov.uk; r.vanree@apemltd.co.uk; l.lewin@sussex.ac.uk; shamina.page@cefas.gov.uk; george.belsham@cefas.gov.uk; robert.hatfield@cefas.gov.uk</t>
  </si>
  <si>
    <t>Dean, Karl/0000-0002-7803-6690; Bear, Beth/0000-0003-1778-1782; Mace, Amy/0009-0005-7661-5014; Lewin, Loveday/0009-0004-1037-5540</t>
  </si>
  <si>
    <t>Interreg Atlantic Area [EAPA-317-2016]</t>
  </si>
  <si>
    <t>Interreg Atlantic Area</t>
  </si>
  <si>
    <t>This study was supported through the Interreg Atlantic Area, Alertox-net [EAPA-317-2016].</t>
  </si>
  <si>
    <t>1660-3397</t>
  </si>
  <si>
    <t>MAR DRUGS</t>
  </si>
  <si>
    <t>Mar. Drugs</t>
  </si>
  <si>
    <t>10.3390/md23120478</t>
  </si>
  <si>
    <t>Chemistry, Medicinal; Pharmacology &amp; Pharmacy</t>
  </si>
  <si>
    <t>Pharmacology &amp; Pharmacy</t>
  </si>
  <si>
    <t>AF5UA</t>
  </si>
  <si>
    <t>WOS:001646948400001</t>
  </si>
  <si>
    <t>[Anonymous]</t>
  </si>
  <si>
    <t>River Water Monitoring: German Federation for the Environment and Nature Conservation starts a Citizen Science Project together with Scientists from Helmholtz Centre for Environmental Research and German Centre for Integrative Biodiversity Research</t>
  </si>
  <si>
    <t>HYDROLOGIE UND WASSERBEWIRTSCHAFTUNG</t>
  </si>
  <si>
    <t>German</t>
  </si>
  <si>
    <t>BUNDESANSTALT GEWASSERKUNDE-BFG</t>
  </si>
  <si>
    <t>KOBLENZ</t>
  </si>
  <si>
    <t>POSTFACH 200 253, KOBLENZ, 56002, GERMANY</t>
  </si>
  <si>
    <t>1439-1783</t>
  </si>
  <si>
    <t>HYDROL WASSERBEWIRTS</t>
  </si>
  <si>
    <t>Hydrol. Wasserbewirtsch.</t>
  </si>
  <si>
    <t>WF3QD</t>
  </si>
  <si>
    <t>WOS:000706222200012</t>
  </si>
  <si>
    <t>Orr, MC; Hung, KLJ; Wilson-Rankin, EE; Simpson, PM; Yanega, D; Kim, AY; Ascher, JS</t>
  </si>
  <si>
    <t>Orr, Michael C.; Hung, Keng-Lou James; Wilson-Rankin, Erin E.; Simpson, Patricia M.; Yanega, Douglas; Kim, Ashley Y.; Ascher, John S.</t>
  </si>
  <si>
    <t>Scientific note: First mainland records of an unusual island bee (Anthophora urbana clementina) highlight the value of community science for adventive species detection and monitoring</t>
  </si>
  <si>
    <t>APIDOLOGIE</t>
  </si>
  <si>
    <t>Hymenoptera; Apoidea; Anthophila; California; Channel Islands</t>
  </si>
  <si>
    <t>[Orr, Michael C.] Staatl Museum Nat Kunde Stuttgart, Entomol, Stuttgart, Germany; [Orr, Michael C.] Chinese Acad Sci, Key Lab Zool Systemat &amp; Evolut, Inst Zool, Beijing, Peoples R China; [Hung, Keng-Lou James] Univ Toronto, Dept Ecol &amp; Evolutionary Biol, Toronto, ON, Canada; [Hung, Keng-Lou James] Univ Oklahoma, Oklahoma Biol Survey, Norman, OK 73069 USA; [Wilson-Rankin, Erin E.; Yanega, Douglas] Univ Calif Riverside, Dept Entomol, Riverside, CA USA; [Kim, Ashley Y.] Univ Calif San Diego, Sch Biol Sci, La Jolla, CA USA; [Ascher, John S.] Natl Univ Singapore, Dept Biol Sci, Singapore, Singapore</t>
  </si>
  <si>
    <t>Chinese Academy of Sciences; Institute of Zoology, CAS; University of Toronto; University of Oklahoma System; University of Oklahoma - Norman; University of California System; University of California Riverside; University of California System; University of California San Diego; National University of Singapore</t>
  </si>
  <si>
    <t>Hung, KLJ (corresponding author), Univ Toronto, Dept Ecol &amp; Evolutionary Biol, Toronto, ON, Canada.;Hung, KLJ (corresponding author), Univ Oklahoma, Oklahoma Biol Survey, Norman, OK 73069 USA.</t>
  </si>
  <si>
    <t>kenglou.hung@gmail.com</t>
  </si>
  <si>
    <t>Hung, Keng-Lou James/H-6043-2019; Ascher, John/IWE-2562-2023; Rankin, Erin/J-7044-2014; Orr, Michael/AAF-7232-2019</t>
  </si>
  <si>
    <t>Hung, Keng-Lou James/0000-0002-1557-3958; Orr, Michael/0000-0002-9096-3008</t>
  </si>
  <si>
    <t>We thank Robbin Thorp for his extensive work on the fauna of the islands of California. We thank D. Holway, J. Barnes, C. Pencek, H. Cen, A. Lee, and A. Nabors for assisting in searching for this bee in Point Loma in 2020; L. Cat for facilitating specimen</t>
  </si>
  <si>
    <t>We thank Robbin Thorp for his extensive work on the fauna of the islands of California. We thank D. Holway, J. Barnes, C. Pencek, H. Cen, A. Lee, and A. Nabors for assisting in searching for this bee in Point Loma in 2020; L. Cat for facilitating specimen collection; and K. Lombardo, M. Ready, C. Chaddock, J. Ayon, E. Oey, B. Nickel, M. James, H. Valtierra, J. Mullins, and participants of the Cabrillo National Monument Biodiversity Internship for monitoring native bees at Point Loma. We thank H. Ikerd, T. Griswold, and L. Kimsey for access to specimen collections and R. Hoey-Chamberlain for photographing specimens. We also thank iNaturalist users C. Richart (@pileated), S. Calloway (@stephanomeria), S. Meiman (@sue_meiman), N. Desnoyers (@shrike2), and J. Stahl (@vireolanius) for contributing the majority of bee records from San Clemente Island.</t>
  </si>
  <si>
    <t>SPRINGER FRANCE</t>
  </si>
  <si>
    <t>PARIS</t>
  </si>
  <si>
    <t>22 RUE DE PALESTRO, PARIS, 75002, FRANCE</t>
  </si>
  <si>
    <t>0044-8435</t>
  </si>
  <si>
    <t>1297-9678</t>
  </si>
  <si>
    <t>Apidologie</t>
  </si>
  <si>
    <t>10.1007/s13592-023-01025-9</t>
  </si>
  <si>
    <t>R4UP8</t>
  </si>
  <si>
    <t>WOS:001064314800001</t>
  </si>
  <si>
    <t>Cock, MJW; Day, MD; Winston, RL</t>
  </si>
  <si>
    <t>Cock, Matthew J. W.; Day, Michael D.; Winston, Rachel L.</t>
  </si>
  <si>
    <t>Citizen science to monitor the establishment and spread of a biological control agent: the case of Pareuchaetes pseudoinsulata (Lepidoptera, Erebidae) for the control of Chromolaena odorata (Asteraceae) in South and South-East Asia</t>
  </si>
  <si>
    <t>Ground-truthing; Identification; iNaturalist; Monitoring; Weed biological control</t>
  </si>
  <si>
    <t>Pareuchaetes pseudoinsulata Rego Barros (Lepidoptera, Erebidae) has been deliberately released in six countries in South and South-East Asia as a biological control agent for Chromolaena odorata (L.) R.M. King &amp; H. Rob. (Asteraceae). To date, the scientific literature has records of establishment in only four of these countries: India, Indonesia, Malaysia and Sri Lanka. Georeferenced and dated images shared by citizen scientists on the iNaturalist.org platform were used to assess the establishment and spread of P. pseudoinsulata. Adding to our existing knowledge, it was found that P. pseudoinsulata is established in Thailand and Vietnam and has spread to China (Yunnan and Hainan provinces), Cambodia and West Malaysia (Penang). We discuss the value of using citizen science to track the establishment and spread of weed biological control agents, using P. pseudoinsulata as an example.</t>
  </si>
  <si>
    <t>[Cock, Matthew J. W.] CABI, Bakeham Lane, Egham TW20 9TY, Surrey, England; [Day, Michael D.] Dept Agr &amp; Fisheries, GPO Box 267, Brisbane, Qld 4001, Australia; [Winston, Rachel L.] MIA Consulting Ogden, Ogden, UT 84404 USA</t>
  </si>
  <si>
    <t>Cock, MJW (corresponding author), CABI, Bakeham Lane, Egham TW20 9TY, Surrey, England.</t>
  </si>
  <si>
    <t>m.cock@cabi.org</t>
  </si>
  <si>
    <t>; Winston, Rachel/JGM-0914-2023</t>
  </si>
  <si>
    <t>Cock, Matthew/0000-0003-2484-3021; Day, Michael/0000-0001-5856-1685; Winston, Rachel/0009-0002-5023-211X</t>
  </si>
  <si>
    <t>United Kingdom (Foreign, Commonwealth amp; Development Office); China (Chinese Ministry of Agriculture and Rural Affairs); Australia (Australian Centre for International Agricultural Research); Canada (Agriculture and Agri-Food Canada); Netherlands (Directorate-General for International Cooperation); Switzerland (Swiss Agency for Development and Cooperation)</t>
  </si>
  <si>
    <t>We thank iNaturalist, the observers who posted their images on iNaturalist, and the identifiers who made those images findable. Figure 1 features images shared by dave_sargeant and Elavarasan M under a CC BY-NC license (https://creativecommons.org/licenses/by-nc/4.0/). CABI is an international intergovernmental organization, and MJWC gratefully acknowledge the core financial support from our member countries (and lead agencies) including the United Kingdom (Foreign, Commonwealth &amp; amp; Development Office), China (Chinese Ministry of Agriculture and Rural Affairs), Australia (Australian Centre for International Agricultural Research), Canada (Agriculture and Agri-Food Canada), Netherlands (Directorate-General for International Cooperation), and Switzerland (Swiss Agency for Development and Cooperation). See https://www.cabi.org/about-cabi/who-wework-with/key-donors/ for full details.</t>
  </si>
  <si>
    <t>AUG 14</t>
  </si>
  <si>
    <t>10.1186/s43170-023-00171-5</t>
  </si>
  <si>
    <t>P2AB6</t>
  </si>
  <si>
    <t>WOS:001048708600001</t>
  </si>
  <si>
    <t>Raheja, G; Harper, L; Hoffman, A; Gorby, Y; Freese, L; O'Leary, B; Deron, N; Smith, S; Auch, T; Goodwin, M; Westervelt, DM</t>
  </si>
  <si>
    <t>Raheja, Garima; Harper, Leatra; Hoffman, Ana; Gorby, Yuri; Freese, Lyssa; O'Leary, Brendan; Deron, Nathan; Smith, Shannon; Auch, Ted; Goodwin, Melissa; Westervelt, Daniel M.</t>
  </si>
  <si>
    <t>Community-based participatory research for low-cost air pollution monitoring in the wake of unconventional oil and gas development in the Ohio River Valley: Empowering impacted residents through community science</t>
  </si>
  <si>
    <t>community-based; participatory; low-cost; pollution; monitoring; citizen science; equity</t>
  </si>
  <si>
    <t>SENSOR; CYCLE</t>
  </si>
  <si>
    <t>Belmont County, Ohio is heavily dominated by unconventional oil and gas development that results in high levels of ambient air pollution. Residents here chose to work with a national volunteer network to develop a method of participatory science to answer questions about the association between impact on the health of their community and pollution exposure from the many industrial point sources in the county and surrounding area and river valley. After first directing their questions to the government agencies responsible for permitting and protecting public health, residents noted the lack of detailed data and understanding of the impact of these industries. These residents and environmental advocates are using the resulting science to open a dialogue with the EPA in hopes to ultimately collaboratively develop air quality standards that better protect public health. Results from comparing measurements from a citizen-led participatory low-cost, high-density air pollution sensor network of 35 particulate matter and 25 volatile organic compound sensors against regulatory monitors show low correlations (consistently R-2 &lt; 0.55). This network analysis combined with complementary models of emission plumes are revealing the inadequacy of the sparse regulatory air pollution monitoring network in the area, and opening many avenues for public health officials to further verify people's experiences and act in the interest of residents' health with enforcement and informed permitting practices. Further, the collaborative best practices developed by this study serve as a launchpad for other community science efforts looking to monitor local air quality in response to industrial growth.</t>
  </si>
  <si>
    <t>[Raheja, Garima; Freese, Lyssa; Goodwin, Melissa] Amer Geophys Union Thriving Earth Exchange, Washington, DC 20009 USA; [Raheja, Garima; Westervelt, Daniel M.] Columbia Univ, Lamont Doherty Earth Observ, New York, NY 10027 USA; [Harper, Leatra; Gorby, Yuri] Freshwater Accountabil Project, Grand Rapids, OH USA; [Hoffman, Ana] Carnegie Mellon Univ, CREATE Lab, Pittsburgh, PA 15213 USA; [Freese, Lyssa] MIT, Dept Earth Atmospher &amp; Planetary Sci, Cambridge, MA USA; [O'Leary, Brendan] Wayne State Univ, Dept Civil &amp; Environm Engn, Detroit, MI USA; [Deron, Nathan] Environm Hlth Project, Mcmurray, PA USA; [Smith, Shannon; Auch, Ted] FracTracker Alliance, Johnstown, PA USA</t>
  </si>
  <si>
    <t>Columbia University; Carnegie Mellon University; Massachusetts Institute of Technology (MIT); Wayne State University</t>
  </si>
  <si>
    <t>Raheja, G (corresponding author), Amer Geophys Union Thriving Earth Exchange, Washington, DC 20009 USA.;Raheja, G (corresponding author), Columbia Univ, Lamont Doherty Earth Observ, New York, NY 10027 USA.</t>
  </si>
  <si>
    <t>garima.raheja@columbia.edu</t>
  </si>
  <si>
    <t>; smith, scott/KWT-6811-2024; O'Leary, Brendan/PLB-9645-2026</t>
  </si>
  <si>
    <t>Freese, Lyssa/0000-0003-0944-2182; O'Leary, Brendan/0000-0002-0301-1771; Tsuhlares Hoffman, Anastasia/0009-0002-1816-1753; Raheja, Garima/0000-0002-5037-7979;</t>
  </si>
  <si>
    <t>Heinz Endowments Grant [E9080]; Mountain Watershed Association; Community Foundation for the Alleghenies [12384]; National Science Foundation Office of International Science and Engineering Grant [2020677]; Office Of The Director; Office Of Internatl Science &amp;Engineering [2020677] Funding Source: National Science Foundation</t>
  </si>
  <si>
    <t>Heinz Endowments Grant; Mountain Watershed Association; Community Foundation for the Alleghenies; National Science Foundation Office of International Science and Engineering Grant; Office Of The Director; Office Of Internatl Science &amp;Engineering(National Science Foundation (NSF)NSF - Office of the Director (OD))</t>
  </si>
  <si>
    <t>The CMU CREATE Lab thanks the Heinz Endowments Grant (Reference Number E9080) for financial support and Airviz Inc for collaborative sensor development. FAP thanks the Mountain Watershed Association and Community Foundation for the Alleghenies (Reference Number 12384) for fiscal sponsorship of the sampling project. CORR and FAP thank AGU TEX for ongoing scientific and project management support. The authors would like to thank Gwen Ottinger, Shannon Dosemagen, Bev Reed, Ben Hunkler, Alex Cole, Jill Hunkler, Domotor Gulyas, Pastor Bill Myers, Father Michael, Jill Andersen, FracTracker and the Breathe Collaborative for their contributions. The authors declare no conflict of interest. Figure 2 was created by LF in collaboration with the CMU CREATE Lab; figure 5 was created by N D. This work was supported by the National Science Foundation Office of International Science and Engineering Grant 2020677.</t>
  </si>
  <si>
    <t>10.1088/1748-9326/ac6ad6</t>
  </si>
  <si>
    <t>1L9PX</t>
  </si>
  <si>
    <t>WOS:000799613500001</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</si>
</sst>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65" width="8.0"/>
  </cols>
  <sheetData>
    <row r="1" ht="12.75" customHeight="1">
      <c r="A1" s="1" t="s">
        <v>0</v>
      </c>
      <c r="B1" s="1" t="s">
        <v>1</v>
      </c>
      <c r="C1" s="1" t="s">
        <v>2</v>
      </c>
      <c r="D1" s="1" t="s">
        <v>3</v>
      </c>
      <c r="E1" s="2" t="s">
        <v>4</v>
      </c>
      <c r="F1" s="1" t="s">
        <v>5</v>
      </c>
      <c r="G1" s="1" t="s">
        <v>6</v>
      </c>
      <c r="H1" s="1" t="s">
        <v>7</v>
      </c>
      <c r="I1" s="1" t="s">
        <v>8</v>
      </c>
      <c r="J1" s="1" t="s">
        <v>9</v>
      </c>
      <c r="K1" s="1" t="s">
        <v>10</v>
      </c>
      <c r="L1" s="1" t="s">
        <v>11</v>
      </c>
      <c r="M1" s="1" t="s">
        <v>12</v>
      </c>
      <c r="N1" s="2"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2"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ht="12.75" customHeight="1">
      <c r="A2" s="1" t="s">
        <v>65</v>
      </c>
      <c r="B2" s="1" t="s">
        <v>66</v>
      </c>
      <c r="C2" s="1" t="s">
        <v>67</v>
      </c>
      <c r="D2" s="1" t="s">
        <v>68</v>
      </c>
      <c r="E2" s="1" t="s">
        <v>69</v>
      </c>
      <c r="F2" s="1" t="s">
        <v>70</v>
      </c>
      <c r="G2" s="1" t="s">
        <v>68</v>
      </c>
      <c r="H2" s="1" t="s">
        <v>71</v>
      </c>
      <c r="I2" s="1" t="s">
        <v>72</v>
      </c>
      <c r="J2" s="1" t="s">
        <v>68</v>
      </c>
      <c r="K2" s="1" t="s">
        <v>68</v>
      </c>
      <c r="L2" s="1" t="s">
        <v>68</v>
      </c>
      <c r="M2" s="1" t="s">
        <v>68</v>
      </c>
      <c r="N2" s="1" t="s">
        <v>73</v>
      </c>
      <c r="O2" s="1" t="s">
        <v>74</v>
      </c>
      <c r="P2" s="1" t="s">
        <v>75</v>
      </c>
      <c r="Q2" s="1" t="s">
        <v>76</v>
      </c>
      <c r="R2" s="1" t="s">
        <v>77</v>
      </c>
      <c r="S2" s="1" t="s">
        <v>78</v>
      </c>
      <c r="T2" s="1" t="s">
        <v>79</v>
      </c>
      <c r="U2" s="1" t="s">
        <v>68</v>
      </c>
      <c r="V2" s="1" t="s">
        <v>68</v>
      </c>
      <c r="W2" s="1" t="s">
        <v>80</v>
      </c>
      <c r="X2" s="1" t="s">
        <v>81</v>
      </c>
      <c r="Y2" s="1" t="s">
        <v>82</v>
      </c>
      <c r="Z2" s="1">
        <v>27.0</v>
      </c>
      <c r="AA2" s="1">
        <v>0.0</v>
      </c>
      <c r="AB2" s="1">
        <v>0.0</v>
      </c>
      <c r="AC2" s="1">
        <v>0.0</v>
      </c>
      <c r="AD2" s="1">
        <v>0.0</v>
      </c>
      <c r="AE2" s="1" t="s">
        <v>83</v>
      </c>
      <c r="AF2" s="1" t="s">
        <v>84</v>
      </c>
      <c r="AG2" s="1" t="s">
        <v>85</v>
      </c>
      <c r="AH2" s="1" t="s">
        <v>86</v>
      </c>
      <c r="AI2" s="1" t="s">
        <v>68</v>
      </c>
      <c r="AJ2" s="1" t="s">
        <v>68</v>
      </c>
      <c r="AK2" s="1" t="s">
        <v>87</v>
      </c>
      <c r="AL2" s="1" t="s">
        <v>88</v>
      </c>
      <c r="AM2" s="1" t="s">
        <v>89</v>
      </c>
      <c r="AN2" s="1">
        <v>2026.0</v>
      </c>
      <c r="AO2" s="1">
        <v>17.0</v>
      </c>
      <c r="AP2" s="1" t="s">
        <v>68</v>
      </c>
      <c r="AQ2" s="1" t="s">
        <v>68</v>
      </c>
      <c r="AR2" s="1" t="s">
        <v>68</v>
      </c>
      <c r="AS2" s="1" t="s">
        <v>68</v>
      </c>
      <c r="AT2" s="1" t="s">
        <v>68</v>
      </c>
      <c r="AU2" s="1" t="s">
        <v>68</v>
      </c>
      <c r="AV2" s="1" t="s">
        <v>68</v>
      </c>
      <c r="AW2" s="1">
        <v>1775094.0</v>
      </c>
      <c r="AX2" s="1" t="s">
        <v>90</v>
      </c>
      <c r="AY2" s="3" t="str">
        <f>HYPERLINK("http://dx.doi.org/10.3389/fpls.2026.1775094","http://dx.doi.org/10.3389/fpls.2026.1775094")</f>
        <v>http://dx.doi.org/10.3389/fpls.2026.1775094</v>
      </c>
      <c r="AZ2" s="1" t="s">
        <v>68</v>
      </c>
      <c r="BA2" s="1" t="s">
        <v>68</v>
      </c>
      <c r="BB2" s="1">
        <v>9.0</v>
      </c>
      <c r="BC2" s="1" t="s">
        <v>91</v>
      </c>
      <c r="BD2" s="1" t="s">
        <v>92</v>
      </c>
      <c r="BE2" s="1" t="s">
        <v>91</v>
      </c>
      <c r="BF2" s="1" t="s">
        <v>93</v>
      </c>
      <c r="BG2" s="1">
        <v>4.1728007E7</v>
      </c>
      <c r="BH2" s="1" t="s">
        <v>94</v>
      </c>
      <c r="BI2" s="1" t="s">
        <v>68</v>
      </c>
      <c r="BJ2" s="1" t="s">
        <v>68</v>
      </c>
      <c r="BK2" s="1" t="s">
        <v>95</v>
      </c>
      <c r="BL2" s="1" t="s">
        <v>96</v>
      </c>
      <c r="BM2" s="1" t="str">
        <f>HYPERLINK("https%3A%2F%2Fwww.webofscience.com%2Fwos%2Fwoscc%2Ffull-record%2FWOS:001694431300001","View Full Record in Web of Science")</f>
        <v>View Full Record in Web of Science</v>
      </c>
    </row>
    <row r="3" ht="12.75" customHeight="1">
      <c r="A3" s="1" t="s">
        <v>65</v>
      </c>
      <c r="B3" s="1" t="s">
        <v>97</v>
      </c>
      <c r="C3" s="1" t="s">
        <v>98</v>
      </c>
      <c r="D3" s="1" t="s">
        <v>68</v>
      </c>
      <c r="E3" s="1" t="s">
        <v>99</v>
      </c>
      <c r="F3" s="1" t="s">
        <v>100</v>
      </c>
      <c r="G3" s="1" t="s">
        <v>68</v>
      </c>
      <c r="H3" s="1" t="s">
        <v>71</v>
      </c>
      <c r="I3" s="1" t="s">
        <v>101</v>
      </c>
      <c r="J3" s="1" t="s">
        <v>68</v>
      </c>
      <c r="K3" s="1" t="s">
        <v>68</v>
      </c>
      <c r="L3" s="1" t="s">
        <v>68</v>
      </c>
      <c r="M3" s="1" t="s">
        <v>68</v>
      </c>
      <c r="N3" s="1" t="s">
        <v>102</v>
      </c>
      <c r="O3" s="1" t="s">
        <v>103</v>
      </c>
      <c r="P3" s="1" t="s">
        <v>104</v>
      </c>
      <c r="Q3" s="1" t="s">
        <v>105</v>
      </c>
      <c r="R3" s="1" t="s">
        <v>106</v>
      </c>
      <c r="S3" s="1" t="s">
        <v>107</v>
      </c>
      <c r="T3" s="1" t="s">
        <v>108</v>
      </c>
      <c r="U3" s="1" t="s">
        <v>109</v>
      </c>
      <c r="V3" s="1" t="s">
        <v>110</v>
      </c>
      <c r="W3" s="1" t="s">
        <v>111</v>
      </c>
      <c r="X3" s="1" t="s">
        <v>112</v>
      </c>
      <c r="Y3" s="1" t="s">
        <v>113</v>
      </c>
      <c r="Z3" s="1">
        <v>67.0</v>
      </c>
      <c r="AA3" s="1">
        <v>70.0</v>
      </c>
      <c r="AB3" s="1">
        <v>85.0</v>
      </c>
      <c r="AC3" s="1">
        <v>9.0</v>
      </c>
      <c r="AD3" s="1">
        <v>90.0</v>
      </c>
      <c r="AE3" s="1" t="s">
        <v>114</v>
      </c>
      <c r="AF3" s="1" t="s">
        <v>115</v>
      </c>
      <c r="AG3" s="1" t="s">
        <v>116</v>
      </c>
      <c r="AH3" s="1" t="s">
        <v>117</v>
      </c>
      <c r="AI3" s="1" t="s">
        <v>118</v>
      </c>
      <c r="AJ3" s="1" t="s">
        <v>68</v>
      </c>
      <c r="AK3" s="1" t="s">
        <v>100</v>
      </c>
      <c r="AL3" s="1" t="s">
        <v>119</v>
      </c>
      <c r="AM3" s="1" t="s">
        <v>120</v>
      </c>
      <c r="AN3" s="1">
        <v>2015.0</v>
      </c>
      <c r="AO3" s="1">
        <v>12.0</v>
      </c>
      <c r="AP3" s="1">
        <v>4.0</v>
      </c>
      <c r="AQ3" s="1" t="s">
        <v>68</v>
      </c>
      <c r="AR3" s="1" t="s">
        <v>68</v>
      </c>
      <c r="AS3" s="1" t="s">
        <v>68</v>
      </c>
      <c r="AT3" s="1" t="s">
        <v>68</v>
      </c>
      <c r="AU3" s="1">
        <v>693.0</v>
      </c>
      <c r="AV3" s="1">
        <v>702.0</v>
      </c>
      <c r="AW3" s="1" t="s">
        <v>68</v>
      </c>
      <c r="AX3" s="1" t="s">
        <v>121</v>
      </c>
      <c r="AY3" s="3" t="str">
        <f>HYPERLINK("http://dx.doi.org/10.1007/s10393-015-1054-z","http://dx.doi.org/10.1007/s10393-015-1054-z")</f>
        <v>http://dx.doi.org/10.1007/s10393-015-1054-z</v>
      </c>
      <c r="AZ3" s="1" t="s">
        <v>68</v>
      </c>
      <c r="BA3" s="1" t="s">
        <v>68</v>
      </c>
      <c r="BB3" s="1">
        <v>10.0</v>
      </c>
      <c r="BC3" s="1" t="s">
        <v>122</v>
      </c>
      <c r="BD3" s="1" t="s">
        <v>92</v>
      </c>
      <c r="BE3" s="1" t="s">
        <v>123</v>
      </c>
      <c r="BF3" s="1" t="s">
        <v>124</v>
      </c>
      <c r="BG3" s="1">
        <v>2.6318592E7</v>
      </c>
      <c r="BH3" s="1" t="s">
        <v>68</v>
      </c>
      <c r="BI3" s="1" t="s">
        <v>68</v>
      </c>
      <c r="BJ3" s="1" t="s">
        <v>68</v>
      </c>
      <c r="BK3" s="1" t="s">
        <v>95</v>
      </c>
      <c r="BL3" s="1" t="s">
        <v>125</v>
      </c>
      <c r="BM3" s="1" t="str">
        <f>HYPERLINK("https%3A%2F%2Fwww.webofscience.com%2Fwos%2Fwoscc%2Ffull-record%2FWOS:000367627300018","View Full Record in Web of Science")</f>
        <v>View Full Record in Web of Science</v>
      </c>
    </row>
    <row r="4" ht="12.75" customHeight="1">
      <c r="A4" s="1" t="s">
        <v>65</v>
      </c>
      <c r="B4" s="1" t="s">
        <v>126</v>
      </c>
      <c r="C4" s="1" t="s">
        <v>127</v>
      </c>
      <c r="D4" s="1" t="s">
        <v>68</v>
      </c>
      <c r="E4" s="1" t="s">
        <v>128</v>
      </c>
      <c r="F4" s="1" t="s">
        <v>129</v>
      </c>
      <c r="G4" s="1" t="s">
        <v>68</v>
      </c>
      <c r="H4" s="1" t="s">
        <v>71</v>
      </c>
      <c r="I4" s="1" t="s">
        <v>72</v>
      </c>
      <c r="J4" s="1" t="s">
        <v>68</v>
      </c>
      <c r="K4" s="1" t="s">
        <v>68</v>
      </c>
      <c r="L4" s="1" t="s">
        <v>68</v>
      </c>
      <c r="M4" s="1" t="s">
        <v>68</v>
      </c>
      <c r="N4" s="1" t="s">
        <v>130</v>
      </c>
      <c r="O4" s="1" t="s">
        <v>68</v>
      </c>
      <c r="P4" s="1" t="s">
        <v>131</v>
      </c>
      <c r="Q4" s="1" t="s">
        <v>132</v>
      </c>
      <c r="R4" s="1" t="s">
        <v>133</v>
      </c>
      <c r="S4" s="1" t="s">
        <v>134</v>
      </c>
      <c r="T4" s="1" t="s">
        <v>135</v>
      </c>
      <c r="U4" s="1" t="s">
        <v>136</v>
      </c>
      <c r="V4" s="1" t="s">
        <v>137</v>
      </c>
      <c r="W4" s="1" t="s">
        <v>68</v>
      </c>
      <c r="X4" s="1" t="s">
        <v>68</v>
      </c>
      <c r="Y4" s="1" t="s">
        <v>68</v>
      </c>
      <c r="Z4" s="1">
        <v>45.0</v>
      </c>
      <c r="AA4" s="1">
        <v>5.0</v>
      </c>
      <c r="AB4" s="1">
        <v>5.0</v>
      </c>
      <c r="AC4" s="1">
        <v>0.0</v>
      </c>
      <c r="AD4" s="1">
        <v>7.0</v>
      </c>
      <c r="AE4" s="1" t="s">
        <v>83</v>
      </c>
      <c r="AF4" s="1" t="s">
        <v>84</v>
      </c>
      <c r="AG4" s="1" t="s">
        <v>85</v>
      </c>
      <c r="AH4" s="1" t="s">
        <v>138</v>
      </c>
      <c r="AI4" s="1" t="s">
        <v>68</v>
      </c>
      <c r="AJ4" s="1" t="s">
        <v>68</v>
      </c>
      <c r="AK4" s="1" t="s">
        <v>139</v>
      </c>
      <c r="AL4" s="1" t="s">
        <v>140</v>
      </c>
      <c r="AM4" s="1" t="s">
        <v>141</v>
      </c>
      <c r="AN4" s="1">
        <v>2023.0</v>
      </c>
      <c r="AO4" s="1">
        <v>10.0</v>
      </c>
      <c r="AP4" s="1" t="s">
        <v>68</v>
      </c>
      <c r="AQ4" s="1" t="s">
        <v>68</v>
      </c>
      <c r="AR4" s="1" t="s">
        <v>68</v>
      </c>
      <c r="AS4" s="1" t="s">
        <v>68</v>
      </c>
      <c r="AT4" s="1" t="s">
        <v>68</v>
      </c>
      <c r="AU4" s="1" t="s">
        <v>68</v>
      </c>
      <c r="AV4" s="1" t="s">
        <v>68</v>
      </c>
      <c r="AW4" s="1">
        <v>1110376.0</v>
      </c>
      <c r="AX4" s="1" t="s">
        <v>142</v>
      </c>
      <c r="AY4" s="3" t="str">
        <f>HYPERLINK("http://dx.doi.org/10.3389/fbioe.2022.1110376","http://dx.doi.org/10.3389/fbioe.2022.1110376")</f>
        <v>http://dx.doi.org/10.3389/fbioe.2022.1110376</v>
      </c>
      <c r="AZ4" s="1" t="s">
        <v>68</v>
      </c>
      <c r="BA4" s="1" t="s">
        <v>68</v>
      </c>
      <c r="BB4" s="1">
        <v>7.0</v>
      </c>
      <c r="BC4" s="1" t="s">
        <v>143</v>
      </c>
      <c r="BD4" s="1" t="s">
        <v>92</v>
      </c>
      <c r="BE4" s="1" t="s">
        <v>144</v>
      </c>
      <c r="BF4" s="1" t="s">
        <v>145</v>
      </c>
      <c r="BG4" s="1">
        <v>3.671463E7</v>
      </c>
      <c r="BH4" s="1" t="s">
        <v>94</v>
      </c>
      <c r="BI4" s="1" t="s">
        <v>68</v>
      </c>
      <c r="BJ4" s="1" t="s">
        <v>68</v>
      </c>
      <c r="BK4" s="1" t="s">
        <v>95</v>
      </c>
      <c r="BL4" s="1" t="s">
        <v>146</v>
      </c>
      <c r="BM4" s="1" t="str">
        <f>HYPERLINK("https%3A%2F%2Fwww.webofscience.com%2Fwos%2Fwoscc%2Ffull-record%2FWOS:000922759800001","View Full Record in Web of Science")</f>
        <v>View Full Record in Web of Science</v>
      </c>
    </row>
    <row r="5" ht="12.75" customHeight="1">
      <c r="A5" s="1" t="s">
        <v>65</v>
      </c>
      <c r="B5" s="1" t="s">
        <v>147</v>
      </c>
      <c r="C5" s="1" t="s">
        <v>148</v>
      </c>
      <c r="D5" s="1" t="s">
        <v>68</v>
      </c>
      <c r="E5" s="1" t="s">
        <v>149</v>
      </c>
      <c r="F5" s="1" t="s">
        <v>150</v>
      </c>
      <c r="G5" s="1" t="s">
        <v>68</v>
      </c>
      <c r="H5" s="1" t="s">
        <v>71</v>
      </c>
      <c r="I5" s="1" t="s">
        <v>72</v>
      </c>
      <c r="J5" s="1" t="s">
        <v>68</v>
      </c>
      <c r="K5" s="1" t="s">
        <v>68</v>
      </c>
      <c r="L5" s="1" t="s">
        <v>68</v>
      </c>
      <c r="M5" s="1" t="s">
        <v>68</v>
      </c>
      <c r="N5" s="1" t="s">
        <v>151</v>
      </c>
      <c r="O5" s="1" t="s">
        <v>152</v>
      </c>
      <c r="P5" s="1" t="s">
        <v>153</v>
      </c>
      <c r="Q5" s="1" t="s">
        <v>154</v>
      </c>
      <c r="R5" s="1" t="s">
        <v>155</v>
      </c>
      <c r="S5" s="1" t="s">
        <v>156</v>
      </c>
      <c r="T5" s="1" t="s">
        <v>157</v>
      </c>
      <c r="U5" s="1" t="s">
        <v>158</v>
      </c>
      <c r="V5" s="1" t="s">
        <v>159</v>
      </c>
      <c r="W5" s="1" t="s">
        <v>160</v>
      </c>
      <c r="X5" s="1" t="s">
        <v>161</v>
      </c>
      <c r="Y5" s="1" t="s">
        <v>162</v>
      </c>
      <c r="Z5" s="1">
        <v>27.0</v>
      </c>
      <c r="AA5" s="1">
        <v>4.0</v>
      </c>
      <c r="AB5" s="1">
        <v>4.0</v>
      </c>
      <c r="AC5" s="1">
        <v>0.0</v>
      </c>
      <c r="AD5" s="1">
        <v>6.0</v>
      </c>
      <c r="AE5" s="1" t="s">
        <v>163</v>
      </c>
      <c r="AF5" s="1" t="s">
        <v>164</v>
      </c>
      <c r="AG5" s="1" t="s">
        <v>165</v>
      </c>
      <c r="AH5" s="1" t="s">
        <v>166</v>
      </c>
      <c r="AI5" s="1" t="s">
        <v>167</v>
      </c>
      <c r="AJ5" s="1" t="s">
        <v>68</v>
      </c>
      <c r="AK5" s="1" t="s">
        <v>168</v>
      </c>
      <c r="AL5" s="1" t="s">
        <v>169</v>
      </c>
      <c r="AM5" s="1" t="s">
        <v>68</v>
      </c>
      <c r="AN5" s="1">
        <v>2020.0</v>
      </c>
      <c r="AO5" s="1">
        <v>56.0</v>
      </c>
      <c r="AP5" s="1">
        <v>2.0</v>
      </c>
      <c r="AQ5" s="1" t="s">
        <v>68</v>
      </c>
      <c r="AR5" s="1" t="s">
        <v>68</v>
      </c>
      <c r="AS5" s="1" t="s">
        <v>68</v>
      </c>
      <c r="AT5" s="1" t="s">
        <v>68</v>
      </c>
      <c r="AU5" s="1">
        <v>101.0</v>
      </c>
      <c r="AV5" s="1">
        <v>106.0</v>
      </c>
      <c r="AW5" s="1" t="s">
        <v>68</v>
      </c>
      <c r="AX5" s="1" t="s">
        <v>170</v>
      </c>
      <c r="AY5" s="3" t="str">
        <f>HYPERLINK("http://dx.doi.org/10.17221/46/2019-PPS","http://dx.doi.org/10.17221/46/2019-PPS")</f>
        <v>http://dx.doi.org/10.17221/46/2019-PPS</v>
      </c>
      <c r="AZ5" s="1" t="s">
        <v>68</v>
      </c>
      <c r="BA5" s="1" t="s">
        <v>68</v>
      </c>
      <c r="BB5" s="1">
        <v>6.0</v>
      </c>
      <c r="BC5" s="1" t="s">
        <v>171</v>
      </c>
      <c r="BD5" s="1" t="s">
        <v>92</v>
      </c>
      <c r="BE5" s="1" t="s">
        <v>172</v>
      </c>
      <c r="BF5" s="1" t="s">
        <v>173</v>
      </c>
      <c r="BG5" s="1" t="s">
        <v>68</v>
      </c>
      <c r="BH5" s="1" t="s">
        <v>94</v>
      </c>
      <c r="BI5" s="1" t="s">
        <v>68</v>
      </c>
      <c r="BJ5" s="1" t="s">
        <v>68</v>
      </c>
      <c r="BK5" s="1" t="s">
        <v>95</v>
      </c>
      <c r="BL5" s="1" t="s">
        <v>174</v>
      </c>
      <c r="BM5" s="1" t="str">
        <f>HYPERLINK("https%3A%2F%2Fwww.webofscience.com%2Fwos%2Fwoscc%2Ffull-record%2FWOS:000519629600005","View Full Record in Web of Science")</f>
        <v>View Full Record in Web of Science</v>
      </c>
    </row>
    <row r="6" ht="12.75" customHeight="1">
      <c r="A6" s="1" t="s">
        <v>65</v>
      </c>
      <c r="B6" s="1" t="s">
        <v>175</v>
      </c>
      <c r="C6" s="1" t="s">
        <v>176</v>
      </c>
      <c r="D6" s="1" t="s">
        <v>68</v>
      </c>
      <c r="E6" s="1" t="s">
        <v>177</v>
      </c>
      <c r="F6" s="1" t="s">
        <v>178</v>
      </c>
      <c r="G6" s="1" t="s">
        <v>68</v>
      </c>
      <c r="H6" s="1" t="s">
        <v>71</v>
      </c>
      <c r="I6" s="1" t="s">
        <v>101</v>
      </c>
      <c r="J6" s="1" t="s">
        <v>68</v>
      </c>
      <c r="K6" s="1" t="s">
        <v>68</v>
      </c>
      <c r="L6" s="1" t="s">
        <v>68</v>
      </c>
      <c r="M6" s="1" t="s">
        <v>68</v>
      </c>
      <c r="N6" s="1" t="s">
        <v>179</v>
      </c>
      <c r="O6" s="1" t="s">
        <v>180</v>
      </c>
      <c r="P6" s="1" t="s">
        <v>181</v>
      </c>
      <c r="Q6" s="1" t="s">
        <v>182</v>
      </c>
      <c r="R6" s="1" t="s">
        <v>68</v>
      </c>
      <c r="S6" s="1" t="s">
        <v>183</v>
      </c>
      <c r="T6" s="1" t="s">
        <v>184</v>
      </c>
      <c r="U6" s="1" t="s">
        <v>68</v>
      </c>
      <c r="V6" s="1" t="s">
        <v>68</v>
      </c>
      <c r="W6" s="1" t="s">
        <v>185</v>
      </c>
      <c r="X6" s="1" t="s">
        <v>186</v>
      </c>
      <c r="Y6" s="1" t="s">
        <v>187</v>
      </c>
      <c r="Z6" s="1">
        <v>110.0</v>
      </c>
      <c r="AA6" s="1">
        <v>34.0</v>
      </c>
      <c r="AB6" s="1">
        <v>37.0</v>
      </c>
      <c r="AC6" s="1">
        <v>0.0</v>
      </c>
      <c r="AD6" s="1">
        <v>15.0</v>
      </c>
      <c r="AE6" s="1" t="s">
        <v>188</v>
      </c>
      <c r="AF6" s="1" t="s">
        <v>189</v>
      </c>
      <c r="AG6" s="1" t="s">
        <v>190</v>
      </c>
      <c r="AH6" s="1" t="s">
        <v>68</v>
      </c>
      <c r="AI6" s="1" t="s">
        <v>191</v>
      </c>
      <c r="AJ6" s="1" t="s">
        <v>68</v>
      </c>
      <c r="AK6" s="1" t="s">
        <v>192</v>
      </c>
      <c r="AL6" s="1" t="s">
        <v>193</v>
      </c>
      <c r="AM6" s="1" t="s">
        <v>194</v>
      </c>
      <c r="AN6" s="1">
        <v>2020.0</v>
      </c>
      <c r="AO6" s="1">
        <v>1.0</v>
      </c>
      <c r="AP6" s="1">
        <v>1.0</v>
      </c>
      <c r="AQ6" s="1" t="s">
        <v>68</v>
      </c>
      <c r="AR6" s="1" t="s">
        <v>68</v>
      </c>
      <c r="AS6" s="1" t="s">
        <v>68</v>
      </c>
      <c r="AT6" s="1" t="s">
        <v>68</v>
      </c>
      <c r="AU6" s="1" t="s">
        <v>68</v>
      </c>
      <c r="AV6" s="1" t="s">
        <v>68</v>
      </c>
      <c r="AW6" s="1">
        <v>17.0</v>
      </c>
      <c r="AX6" s="1" t="s">
        <v>195</v>
      </c>
      <c r="AY6" s="3" t="str">
        <f>HYPERLINK("http://dx.doi.org/10.1186/s43170-020-00016-5","http://dx.doi.org/10.1186/s43170-020-00016-5")</f>
        <v>http://dx.doi.org/10.1186/s43170-020-00016-5</v>
      </c>
      <c r="AZ6" s="1" t="s">
        <v>68</v>
      </c>
      <c r="BA6" s="1" t="s">
        <v>68</v>
      </c>
      <c r="BB6" s="1">
        <v>16.0</v>
      </c>
      <c r="BC6" s="1" t="s">
        <v>196</v>
      </c>
      <c r="BD6" s="1" t="s">
        <v>197</v>
      </c>
      <c r="BE6" s="1" t="s">
        <v>198</v>
      </c>
      <c r="BF6" s="1" t="s">
        <v>199</v>
      </c>
      <c r="BG6" s="1">
        <v>3.374877E7</v>
      </c>
      <c r="BH6" s="1" t="s">
        <v>200</v>
      </c>
      <c r="BI6" s="1" t="s">
        <v>68</v>
      </c>
      <c r="BJ6" s="1" t="s">
        <v>68</v>
      </c>
      <c r="BK6" s="1" t="s">
        <v>95</v>
      </c>
      <c r="BL6" s="1" t="s">
        <v>201</v>
      </c>
      <c r="BM6" s="1" t="str">
        <f>HYPERLINK("https%3A%2F%2Fwww.webofscience.com%2Fwos%2Fwoscc%2Ffull-record%2FWOS:000921194400001","View Full Record in Web of Science")</f>
        <v>View Full Record in Web of Science</v>
      </c>
    </row>
    <row r="7" ht="12.75" customHeight="1">
      <c r="A7" s="1" t="s">
        <v>65</v>
      </c>
      <c r="B7" s="1" t="s">
        <v>202</v>
      </c>
      <c r="C7" s="1" t="s">
        <v>203</v>
      </c>
      <c r="D7" s="1" t="s">
        <v>68</v>
      </c>
      <c r="E7" s="1" t="s">
        <v>204</v>
      </c>
      <c r="F7" s="1" t="s">
        <v>205</v>
      </c>
      <c r="G7" s="1" t="s">
        <v>68</v>
      </c>
      <c r="H7" s="1" t="s">
        <v>71</v>
      </c>
      <c r="I7" s="1" t="s">
        <v>72</v>
      </c>
      <c r="J7" s="1" t="s">
        <v>68</v>
      </c>
      <c r="K7" s="1" t="s">
        <v>68</v>
      </c>
      <c r="L7" s="1" t="s">
        <v>68</v>
      </c>
      <c r="M7" s="1" t="s">
        <v>68</v>
      </c>
      <c r="N7" s="1" t="s">
        <v>206</v>
      </c>
      <c r="O7" s="1" t="s">
        <v>207</v>
      </c>
      <c r="P7" s="1" t="s">
        <v>208</v>
      </c>
      <c r="Q7" s="1" t="s">
        <v>209</v>
      </c>
      <c r="R7" s="1" t="s">
        <v>210</v>
      </c>
      <c r="S7" s="1" t="s">
        <v>211</v>
      </c>
      <c r="T7" s="1" t="s">
        <v>212</v>
      </c>
      <c r="U7" s="1" t="s">
        <v>213</v>
      </c>
      <c r="V7" s="1" t="s">
        <v>214</v>
      </c>
      <c r="W7" s="1" t="s">
        <v>215</v>
      </c>
      <c r="X7" s="1" t="s">
        <v>216</v>
      </c>
      <c r="Y7" s="1" t="s">
        <v>217</v>
      </c>
      <c r="Z7" s="1">
        <v>146.0</v>
      </c>
      <c r="AA7" s="1">
        <v>34.0</v>
      </c>
      <c r="AB7" s="1">
        <v>38.0</v>
      </c>
      <c r="AC7" s="1">
        <v>0.0</v>
      </c>
      <c r="AD7" s="1">
        <v>27.0</v>
      </c>
      <c r="AE7" s="1" t="s">
        <v>218</v>
      </c>
      <c r="AF7" s="1" t="s">
        <v>219</v>
      </c>
      <c r="AG7" s="1" t="s">
        <v>220</v>
      </c>
      <c r="AH7" s="1" t="s">
        <v>221</v>
      </c>
      <c r="AI7" s="1" t="s">
        <v>68</v>
      </c>
      <c r="AJ7" s="1" t="s">
        <v>68</v>
      </c>
      <c r="AK7" s="1" t="s">
        <v>222</v>
      </c>
      <c r="AL7" s="1" t="s">
        <v>223</v>
      </c>
      <c r="AM7" s="1" t="s">
        <v>224</v>
      </c>
      <c r="AN7" s="1">
        <v>2023.0</v>
      </c>
      <c r="AO7" s="1">
        <v>9.0</v>
      </c>
      <c r="AP7" s="1">
        <v>1.0</v>
      </c>
      <c r="AQ7" s="1" t="s">
        <v>68</v>
      </c>
      <c r="AR7" s="1" t="s">
        <v>68</v>
      </c>
      <c r="AS7" s="1" t="s">
        <v>68</v>
      </c>
      <c r="AT7" s="1" t="s">
        <v>68</v>
      </c>
      <c r="AU7" s="1">
        <v>15.0</v>
      </c>
      <c r="AV7" s="1">
        <v>32.0</v>
      </c>
      <c r="AW7" s="1" t="s">
        <v>68</v>
      </c>
      <c r="AX7" s="1" t="s">
        <v>225</v>
      </c>
      <c r="AY7" s="3" t="str">
        <f>HYPERLINK("http://dx.doi.org/10.1007/s40725-022-00176-9","http://dx.doi.org/10.1007/s40725-022-00176-9")</f>
        <v>http://dx.doi.org/10.1007/s40725-022-00176-9</v>
      </c>
      <c r="AZ7" s="1" t="s">
        <v>68</v>
      </c>
      <c r="BA7" s="1" t="s">
        <v>226</v>
      </c>
      <c r="BB7" s="1">
        <v>18.0</v>
      </c>
      <c r="BC7" s="1" t="s">
        <v>227</v>
      </c>
      <c r="BD7" s="1" t="s">
        <v>92</v>
      </c>
      <c r="BE7" s="1" t="s">
        <v>227</v>
      </c>
      <c r="BF7" s="1" t="s">
        <v>228</v>
      </c>
      <c r="BG7" s="1">
        <v>3.6466298E7</v>
      </c>
      <c r="BH7" s="1" t="s">
        <v>229</v>
      </c>
      <c r="BI7" s="1" t="s">
        <v>68</v>
      </c>
      <c r="BJ7" s="1" t="s">
        <v>68</v>
      </c>
      <c r="BK7" s="1" t="s">
        <v>95</v>
      </c>
      <c r="BL7" s="1" t="s">
        <v>230</v>
      </c>
      <c r="BM7" s="1" t="str">
        <f>HYPERLINK("https%3A%2F%2Fwww.webofscience.com%2Fwos%2Fwoscc%2Ffull-record%2FWOS:000888716300002","View Full Record in Web of Science")</f>
        <v>View Full Record in Web of Science</v>
      </c>
    </row>
    <row r="8" ht="12.75" customHeight="1">
      <c r="A8" s="1" t="s">
        <v>65</v>
      </c>
      <c r="B8" s="1" t="s">
        <v>231</v>
      </c>
      <c r="C8" s="1" t="s">
        <v>232</v>
      </c>
      <c r="D8" s="1" t="s">
        <v>68</v>
      </c>
      <c r="E8" s="1" t="s">
        <v>233</v>
      </c>
      <c r="F8" s="1" t="s">
        <v>234</v>
      </c>
      <c r="G8" s="1" t="s">
        <v>68</v>
      </c>
      <c r="H8" s="1" t="s">
        <v>71</v>
      </c>
      <c r="I8" s="1" t="s">
        <v>72</v>
      </c>
      <c r="J8" s="1" t="s">
        <v>68</v>
      </c>
      <c r="K8" s="1" t="s">
        <v>68</v>
      </c>
      <c r="L8" s="1" t="s">
        <v>68</v>
      </c>
      <c r="M8" s="1" t="s">
        <v>68</v>
      </c>
      <c r="N8" s="1" t="s">
        <v>235</v>
      </c>
      <c r="O8" s="1" t="s">
        <v>236</v>
      </c>
      <c r="P8" s="1" t="s">
        <v>237</v>
      </c>
      <c r="Q8" s="1" t="s">
        <v>238</v>
      </c>
      <c r="R8" s="1" t="s">
        <v>239</v>
      </c>
      <c r="S8" s="1" t="s">
        <v>240</v>
      </c>
      <c r="T8" s="1" t="s">
        <v>241</v>
      </c>
      <c r="U8" s="1" t="s">
        <v>242</v>
      </c>
      <c r="V8" s="1" t="s">
        <v>243</v>
      </c>
      <c r="W8" s="1" t="s">
        <v>244</v>
      </c>
      <c r="X8" s="1" t="s">
        <v>245</v>
      </c>
      <c r="Y8" s="1" t="s">
        <v>246</v>
      </c>
      <c r="Z8" s="1">
        <v>65.0</v>
      </c>
      <c r="AA8" s="1">
        <v>18.0</v>
      </c>
      <c r="AB8" s="1">
        <v>22.0</v>
      </c>
      <c r="AC8" s="1">
        <v>8.0</v>
      </c>
      <c r="AD8" s="1">
        <v>29.0</v>
      </c>
      <c r="AE8" s="1" t="s">
        <v>247</v>
      </c>
      <c r="AF8" s="1" t="s">
        <v>248</v>
      </c>
      <c r="AG8" s="1" t="s">
        <v>249</v>
      </c>
      <c r="AH8" s="1" t="s">
        <v>68</v>
      </c>
      <c r="AI8" s="1" t="s">
        <v>250</v>
      </c>
      <c r="AJ8" s="1" t="s">
        <v>68</v>
      </c>
      <c r="AK8" s="1" t="s">
        <v>234</v>
      </c>
      <c r="AL8" s="1" t="s">
        <v>251</v>
      </c>
      <c r="AM8" s="1" t="s">
        <v>252</v>
      </c>
      <c r="AN8" s="1">
        <v>2024.0</v>
      </c>
      <c r="AO8" s="1">
        <v>12.0</v>
      </c>
      <c r="AP8" s="1">
        <v>7.0</v>
      </c>
      <c r="AQ8" s="1" t="s">
        <v>68</v>
      </c>
      <c r="AR8" s="1" t="s">
        <v>68</v>
      </c>
      <c r="AS8" s="1" t="s">
        <v>68</v>
      </c>
      <c r="AT8" s="1" t="s">
        <v>68</v>
      </c>
      <c r="AU8" s="1" t="s">
        <v>68</v>
      </c>
      <c r="AV8" s="1" t="s">
        <v>68</v>
      </c>
      <c r="AW8" s="1">
        <v>101.0</v>
      </c>
      <c r="AX8" s="1" t="s">
        <v>253</v>
      </c>
      <c r="AY8" s="3" t="str">
        <f>HYPERLINK("http://dx.doi.org/10.3390/technologies12070101","http://dx.doi.org/10.3390/technologies12070101")</f>
        <v>http://dx.doi.org/10.3390/technologies12070101</v>
      </c>
      <c r="AZ8" s="1" t="s">
        <v>68</v>
      </c>
      <c r="BA8" s="1" t="s">
        <v>68</v>
      </c>
      <c r="BB8" s="1">
        <v>21.0</v>
      </c>
      <c r="BC8" s="1" t="s">
        <v>254</v>
      </c>
      <c r="BD8" s="1" t="s">
        <v>197</v>
      </c>
      <c r="BE8" s="1" t="s">
        <v>255</v>
      </c>
      <c r="BF8" s="1" t="s">
        <v>256</v>
      </c>
      <c r="BG8" s="1" t="s">
        <v>68</v>
      </c>
      <c r="BH8" s="1" t="s">
        <v>94</v>
      </c>
      <c r="BI8" s="1" t="s">
        <v>68</v>
      </c>
      <c r="BJ8" s="1" t="s">
        <v>68</v>
      </c>
      <c r="BK8" s="1" t="s">
        <v>95</v>
      </c>
      <c r="BL8" s="1" t="s">
        <v>257</v>
      </c>
      <c r="BM8" s="1" t="str">
        <f>HYPERLINK("https%3A%2F%2Fwww.webofscience.com%2Fwos%2Fwoscc%2Ffull-record%2FWOS:001278830200001","View Full Record in Web of Science")</f>
        <v>View Full Record in Web of Science</v>
      </c>
    </row>
    <row r="9" ht="12.75" customHeight="1">
      <c r="A9" s="1" t="s">
        <v>65</v>
      </c>
      <c r="B9" s="1" t="s">
        <v>258</v>
      </c>
      <c r="C9" s="1" t="s">
        <v>259</v>
      </c>
      <c r="D9" s="1" t="s">
        <v>68</v>
      </c>
      <c r="E9" s="1" t="s">
        <v>260</v>
      </c>
      <c r="F9" s="1" t="s">
        <v>261</v>
      </c>
      <c r="G9" s="1" t="s">
        <v>68</v>
      </c>
      <c r="H9" s="1" t="s">
        <v>71</v>
      </c>
      <c r="I9" s="1" t="s">
        <v>101</v>
      </c>
      <c r="J9" s="1" t="s">
        <v>68</v>
      </c>
      <c r="K9" s="1" t="s">
        <v>68</v>
      </c>
      <c r="L9" s="1" t="s">
        <v>68</v>
      </c>
      <c r="M9" s="1" t="s">
        <v>68</v>
      </c>
      <c r="N9" s="1" t="s">
        <v>262</v>
      </c>
      <c r="O9" s="1" t="s">
        <v>263</v>
      </c>
      <c r="P9" s="1" t="s">
        <v>264</v>
      </c>
      <c r="Q9" s="1" t="s">
        <v>265</v>
      </c>
      <c r="R9" s="1" t="s">
        <v>266</v>
      </c>
      <c r="S9" s="1" t="s">
        <v>267</v>
      </c>
      <c r="T9" s="1" t="s">
        <v>268</v>
      </c>
      <c r="U9" s="1" t="s">
        <v>269</v>
      </c>
      <c r="V9" s="1" t="s">
        <v>270</v>
      </c>
      <c r="W9" s="1" t="s">
        <v>271</v>
      </c>
      <c r="X9" s="1" t="s">
        <v>272</v>
      </c>
      <c r="Y9" s="1" t="s">
        <v>273</v>
      </c>
      <c r="Z9" s="1">
        <v>95.0</v>
      </c>
      <c r="AA9" s="1">
        <v>11.0</v>
      </c>
      <c r="AB9" s="1">
        <v>14.0</v>
      </c>
      <c r="AC9" s="1">
        <v>0.0</v>
      </c>
      <c r="AD9" s="1">
        <v>27.0</v>
      </c>
      <c r="AE9" s="1" t="s">
        <v>247</v>
      </c>
      <c r="AF9" s="1" t="s">
        <v>248</v>
      </c>
      <c r="AG9" s="1" t="s">
        <v>249</v>
      </c>
      <c r="AH9" s="1" t="s">
        <v>68</v>
      </c>
      <c r="AI9" s="1" t="s">
        <v>274</v>
      </c>
      <c r="AJ9" s="1" t="s">
        <v>68</v>
      </c>
      <c r="AK9" s="1" t="s">
        <v>275</v>
      </c>
      <c r="AL9" s="1" t="s">
        <v>276</v>
      </c>
      <c r="AM9" s="1" t="s">
        <v>252</v>
      </c>
      <c r="AN9" s="1">
        <v>2021.0</v>
      </c>
      <c r="AO9" s="1">
        <v>18.0</v>
      </c>
      <c r="AP9" s="1">
        <v>13.0</v>
      </c>
      <c r="AQ9" s="1" t="s">
        <v>68</v>
      </c>
      <c r="AR9" s="1" t="s">
        <v>68</v>
      </c>
      <c r="AS9" s="1" t="s">
        <v>68</v>
      </c>
      <c r="AT9" s="1" t="s">
        <v>68</v>
      </c>
      <c r="AU9" s="1" t="s">
        <v>68</v>
      </c>
      <c r="AV9" s="1" t="s">
        <v>68</v>
      </c>
      <c r="AW9" s="1">
        <v>7019.0</v>
      </c>
      <c r="AX9" s="1" t="s">
        <v>277</v>
      </c>
      <c r="AY9" s="3" t="str">
        <f>HYPERLINK("http://dx.doi.org/10.3390/ijerph18137019","http://dx.doi.org/10.3390/ijerph18137019")</f>
        <v>http://dx.doi.org/10.3390/ijerph18137019</v>
      </c>
      <c r="AZ9" s="1" t="s">
        <v>68</v>
      </c>
      <c r="BA9" s="1" t="s">
        <v>68</v>
      </c>
      <c r="BB9" s="1">
        <v>18.0</v>
      </c>
      <c r="BC9" s="1" t="s">
        <v>278</v>
      </c>
      <c r="BD9" s="1" t="s">
        <v>279</v>
      </c>
      <c r="BE9" s="1" t="s">
        <v>280</v>
      </c>
      <c r="BF9" s="1" t="s">
        <v>281</v>
      </c>
      <c r="BG9" s="1">
        <v>3.4209178E7</v>
      </c>
      <c r="BH9" s="1" t="s">
        <v>282</v>
      </c>
      <c r="BI9" s="1" t="s">
        <v>68</v>
      </c>
      <c r="BJ9" s="1" t="s">
        <v>68</v>
      </c>
      <c r="BK9" s="1" t="s">
        <v>95</v>
      </c>
      <c r="BL9" s="1" t="s">
        <v>283</v>
      </c>
      <c r="BM9" s="1" t="str">
        <f>HYPERLINK("https%3A%2F%2Fwww.webofscience.com%2Fwos%2Fwoscc%2Ffull-record%2FWOS:000671212800001","View Full Record in Web of Science")</f>
        <v>View Full Record in Web of Science</v>
      </c>
    </row>
    <row r="10" ht="12.75" customHeight="1">
      <c r="A10" s="1" t="s">
        <v>65</v>
      </c>
      <c r="B10" s="1" t="s">
        <v>284</v>
      </c>
      <c r="C10" s="1" t="s">
        <v>285</v>
      </c>
      <c r="D10" s="1" t="s">
        <v>68</v>
      </c>
      <c r="E10" s="1" t="s">
        <v>286</v>
      </c>
      <c r="F10" s="1" t="s">
        <v>287</v>
      </c>
      <c r="G10" s="1" t="s">
        <v>68</v>
      </c>
      <c r="H10" s="1" t="s">
        <v>71</v>
      </c>
      <c r="I10" s="1" t="s">
        <v>72</v>
      </c>
      <c r="J10" s="1" t="s">
        <v>68</v>
      </c>
      <c r="K10" s="1" t="s">
        <v>68</v>
      </c>
      <c r="L10" s="1" t="s">
        <v>68</v>
      </c>
      <c r="M10" s="1" t="s">
        <v>68</v>
      </c>
      <c r="N10" s="1" t="s">
        <v>288</v>
      </c>
      <c r="O10" s="1" t="s">
        <v>289</v>
      </c>
      <c r="P10" s="1" t="s">
        <v>290</v>
      </c>
      <c r="Q10" s="1" t="s">
        <v>291</v>
      </c>
      <c r="R10" s="1" t="s">
        <v>292</v>
      </c>
      <c r="S10" s="1" t="s">
        <v>293</v>
      </c>
      <c r="T10" s="1" t="s">
        <v>294</v>
      </c>
      <c r="U10" s="1" t="s">
        <v>295</v>
      </c>
      <c r="V10" s="1" t="s">
        <v>296</v>
      </c>
      <c r="W10" s="1" t="s">
        <v>297</v>
      </c>
      <c r="X10" s="1" t="s">
        <v>298</v>
      </c>
      <c r="Y10" s="1" t="s">
        <v>299</v>
      </c>
      <c r="Z10" s="1">
        <v>48.0</v>
      </c>
      <c r="AA10" s="1">
        <v>4.0</v>
      </c>
      <c r="AB10" s="1">
        <v>5.0</v>
      </c>
      <c r="AC10" s="1">
        <v>1.0</v>
      </c>
      <c r="AD10" s="1">
        <v>10.0</v>
      </c>
      <c r="AE10" s="1" t="s">
        <v>300</v>
      </c>
      <c r="AF10" s="1" t="s">
        <v>301</v>
      </c>
      <c r="AG10" s="1" t="s">
        <v>302</v>
      </c>
      <c r="AH10" s="1" t="s">
        <v>303</v>
      </c>
      <c r="AI10" s="1" t="s">
        <v>304</v>
      </c>
      <c r="AJ10" s="1" t="s">
        <v>68</v>
      </c>
      <c r="AK10" s="1" t="s">
        <v>305</v>
      </c>
      <c r="AL10" s="1" t="s">
        <v>306</v>
      </c>
      <c r="AM10" s="1" t="s">
        <v>224</v>
      </c>
      <c r="AN10" s="1">
        <v>2023.0</v>
      </c>
      <c r="AO10" s="1">
        <v>52.0</v>
      </c>
      <c r="AP10" s="1">
        <v>1.0</v>
      </c>
      <c r="AQ10" s="1" t="s">
        <v>68</v>
      </c>
      <c r="AR10" s="1" t="s">
        <v>68</v>
      </c>
      <c r="AS10" s="1" t="s">
        <v>68</v>
      </c>
      <c r="AT10" s="1" t="s">
        <v>68</v>
      </c>
      <c r="AU10" s="1">
        <v>46.0</v>
      </c>
      <c r="AV10" s="1">
        <v>56.0</v>
      </c>
      <c r="AW10" s="1" t="s">
        <v>68</v>
      </c>
      <c r="AX10" s="1" t="s">
        <v>307</v>
      </c>
      <c r="AY10" s="3" t="str">
        <f>HYPERLINK("http://dx.doi.org/10.1007/s13744-022-01014-0","http://dx.doi.org/10.1007/s13744-022-01014-0")</f>
        <v>http://dx.doi.org/10.1007/s13744-022-01014-0</v>
      </c>
      <c r="AZ10" s="1" t="s">
        <v>68</v>
      </c>
      <c r="BA10" s="1" t="s">
        <v>308</v>
      </c>
      <c r="BB10" s="1">
        <v>11.0</v>
      </c>
      <c r="BC10" s="1" t="s">
        <v>309</v>
      </c>
      <c r="BD10" s="1" t="s">
        <v>92</v>
      </c>
      <c r="BE10" s="1" t="s">
        <v>309</v>
      </c>
      <c r="BF10" s="1" t="s">
        <v>310</v>
      </c>
      <c r="BG10" s="1">
        <v>3.6508148E7</v>
      </c>
      <c r="BH10" s="1" t="s">
        <v>68</v>
      </c>
      <c r="BI10" s="1" t="s">
        <v>68</v>
      </c>
      <c r="BJ10" s="1" t="s">
        <v>68</v>
      </c>
      <c r="BK10" s="1" t="s">
        <v>95</v>
      </c>
      <c r="BL10" s="1" t="s">
        <v>311</v>
      </c>
      <c r="BM10" s="1" t="str">
        <f>HYPERLINK("https%3A%2F%2Fwww.webofscience.com%2Fwos%2Fwoscc%2Ffull-record%2FWOS:000898289200002","View Full Record in Web of Science")</f>
        <v>View Full Record in Web of Science</v>
      </c>
    </row>
    <row r="11" ht="12.75" customHeight="1">
      <c r="A11" s="1" t="s">
        <v>65</v>
      </c>
      <c r="B11" s="1" t="s">
        <v>312</v>
      </c>
      <c r="C11" s="1" t="s">
        <v>313</v>
      </c>
      <c r="D11" s="1" t="s">
        <v>68</v>
      </c>
      <c r="E11" s="1" t="s">
        <v>314</v>
      </c>
      <c r="F11" s="1" t="s">
        <v>315</v>
      </c>
      <c r="G11" s="1" t="s">
        <v>68</v>
      </c>
      <c r="H11" s="1" t="s">
        <v>71</v>
      </c>
      <c r="I11" s="1" t="s">
        <v>101</v>
      </c>
      <c r="J11" s="1" t="s">
        <v>68</v>
      </c>
      <c r="K11" s="1" t="s">
        <v>68</v>
      </c>
      <c r="L11" s="1" t="s">
        <v>68</v>
      </c>
      <c r="M11" s="1" t="s">
        <v>68</v>
      </c>
      <c r="N11" s="1" t="s">
        <v>316</v>
      </c>
      <c r="O11" s="1" t="s">
        <v>317</v>
      </c>
      <c r="P11" s="1" t="s">
        <v>318</v>
      </c>
      <c r="Q11" s="1" t="s">
        <v>319</v>
      </c>
      <c r="R11" s="1" t="s">
        <v>320</v>
      </c>
      <c r="S11" s="1" t="s">
        <v>321</v>
      </c>
      <c r="T11" s="1" t="s">
        <v>322</v>
      </c>
      <c r="U11" s="1" t="s">
        <v>323</v>
      </c>
      <c r="V11" s="1" t="s">
        <v>324</v>
      </c>
      <c r="W11" s="1" t="s">
        <v>325</v>
      </c>
      <c r="X11" s="1" t="s">
        <v>326</v>
      </c>
      <c r="Y11" s="1" t="s">
        <v>68</v>
      </c>
      <c r="Z11" s="1">
        <v>133.0</v>
      </c>
      <c r="AA11" s="1">
        <v>26.0</v>
      </c>
      <c r="AB11" s="1">
        <v>27.0</v>
      </c>
      <c r="AC11" s="1">
        <v>2.0</v>
      </c>
      <c r="AD11" s="1">
        <v>49.0</v>
      </c>
      <c r="AE11" s="1" t="s">
        <v>83</v>
      </c>
      <c r="AF11" s="1" t="s">
        <v>84</v>
      </c>
      <c r="AG11" s="1" t="s">
        <v>85</v>
      </c>
      <c r="AH11" s="1" t="s">
        <v>327</v>
      </c>
      <c r="AI11" s="1" t="s">
        <v>68</v>
      </c>
      <c r="AJ11" s="1" t="s">
        <v>68</v>
      </c>
      <c r="AK11" s="1" t="s">
        <v>328</v>
      </c>
      <c r="AL11" s="1" t="s">
        <v>329</v>
      </c>
      <c r="AM11" s="1" t="s">
        <v>330</v>
      </c>
      <c r="AN11" s="1">
        <v>2023.0</v>
      </c>
      <c r="AO11" s="1">
        <v>11.0</v>
      </c>
      <c r="AP11" s="1" t="s">
        <v>68</v>
      </c>
      <c r="AQ11" s="1" t="s">
        <v>68</v>
      </c>
      <c r="AR11" s="1" t="s">
        <v>68</v>
      </c>
      <c r="AS11" s="1" t="s">
        <v>68</v>
      </c>
      <c r="AT11" s="1" t="s">
        <v>68</v>
      </c>
      <c r="AU11" s="1" t="s">
        <v>68</v>
      </c>
      <c r="AV11" s="1" t="s">
        <v>68</v>
      </c>
      <c r="AW11" s="1">
        <v>1113978.0</v>
      </c>
      <c r="AX11" s="1" t="s">
        <v>331</v>
      </c>
      <c r="AY11" s="3" t="str">
        <f>HYPERLINK("http://dx.doi.org/10.3389/fevo.2023.1113978","http://dx.doi.org/10.3389/fevo.2023.1113978")</f>
        <v>http://dx.doi.org/10.3389/fevo.2023.1113978</v>
      </c>
      <c r="AZ11" s="1" t="s">
        <v>68</v>
      </c>
      <c r="BA11" s="1" t="s">
        <v>68</v>
      </c>
      <c r="BB11" s="1">
        <v>11.0</v>
      </c>
      <c r="BC11" s="1" t="s">
        <v>332</v>
      </c>
      <c r="BD11" s="1" t="s">
        <v>92</v>
      </c>
      <c r="BE11" s="1" t="s">
        <v>333</v>
      </c>
      <c r="BF11" s="1" t="s">
        <v>334</v>
      </c>
      <c r="BG11" s="1" t="s">
        <v>68</v>
      </c>
      <c r="BH11" s="1" t="s">
        <v>94</v>
      </c>
      <c r="BI11" s="1" t="s">
        <v>68</v>
      </c>
      <c r="BJ11" s="1" t="s">
        <v>68</v>
      </c>
      <c r="BK11" s="1" t="s">
        <v>95</v>
      </c>
      <c r="BL11" s="1" t="s">
        <v>335</v>
      </c>
      <c r="BM11" s="1" t="str">
        <f>HYPERLINK("https%3A%2F%2Fwww.webofscience.com%2Fwos%2Fwoscc%2Ffull-record%2FWOS:000941650700001","View Full Record in Web of Science")</f>
        <v>View Full Record in Web of Science</v>
      </c>
    </row>
    <row r="12" ht="12.75" customHeight="1">
      <c r="A12" s="1" t="s">
        <v>65</v>
      </c>
      <c r="B12" s="1" t="s">
        <v>336</v>
      </c>
      <c r="C12" s="1" t="s">
        <v>337</v>
      </c>
      <c r="D12" s="1" t="s">
        <v>68</v>
      </c>
      <c r="E12" s="1" t="s">
        <v>338</v>
      </c>
      <c r="F12" s="1" t="s">
        <v>339</v>
      </c>
      <c r="G12" s="1" t="s">
        <v>68</v>
      </c>
      <c r="H12" s="1" t="s">
        <v>71</v>
      </c>
      <c r="I12" s="1" t="s">
        <v>72</v>
      </c>
      <c r="J12" s="1" t="s">
        <v>68</v>
      </c>
      <c r="K12" s="1" t="s">
        <v>68</v>
      </c>
      <c r="L12" s="1" t="s">
        <v>68</v>
      </c>
      <c r="M12" s="1" t="s">
        <v>68</v>
      </c>
      <c r="N12" s="1" t="s">
        <v>340</v>
      </c>
      <c r="O12" s="1" t="s">
        <v>341</v>
      </c>
      <c r="P12" s="1" t="s">
        <v>342</v>
      </c>
      <c r="Q12" s="1" t="s">
        <v>343</v>
      </c>
      <c r="R12" s="1" t="s">
        <v>344</v>
      </c>
      <c r="S12" s="1" t="s">
        <v>345</v>
      </c>
      <c r="T12" s="1" t="s">
        <v>346</v>
      </c>
      <c r="U12" s="1" t="s">
        <v>347</v>
      </c>
      <c r="V12" s="1" t="s">
        <v>348</v>
      </c>
      <c r="W12" s="1" t="s">
        <v>349</v>
      </c>
      <c r="X12" s="1" t="s">
        <v>349</v>
      </c>
      <c r="Y12" s="1" t="s">
        <v>350</v>
      </c>
      <c r="Z12" s="1">
        <v>70.0</v>
      </c>
      <c r="AA12" s="1">
        <v>7.0</v>
      </c>
      <c r="AB12" s="1">
        <v>7.0</v>
      </c>
      <c r="AC12" s="1">
        <v>0.0</v>
      </c>
      <c r="AD12" s="1">
        <v>2.0</v>
      </c>
      <c r="AE12" s="1" t="s">
        <v>247</v>
      </c>
      <c r="AF12" s="1" t="s">
        <v>248</v>
      </c>
      <c r="AG12" s="1" t="s">
        <v>351</v>
      </c>
      <c r="AH12" s="1" t="s">
        <v>68</v>
      </c>
      <c r="AI12" s="1" t="s">
        <v>352</v>
      </c>
      <c r="AJ12" s="1" t="s">
        <v>68</v>
      </c>
      <c r="AK12" s="1" t="s">
        <v>339</v>
      </c>
      <c r="AL12" s="1" t="s">
        <v>353</v>
      </c>
      <c r="AM12" s="1" t="s">
        <v>120</v>
      </c>
      <c r="AN12" s="1">
        <v>2023.0</v>
      </c>
      <c r="AO12" s="1">
        <v>15.0</v>
      </c>
      <c r="AP12" s="1">
        <v>12.0</v>
      </c>
      <c r="AQ12" s="1" t="s">
        <v>68</v>
      </c>
      <c r="AR12" s="1" t="s">
        <v>68</v>
      </c>
      <c r="AS12" s="1" t="s">
        <v>68</v>
      </c>
      <c r="AT12" s="1" t="s">
        <v>68</v>
      </c>
      <c r="AU12" s="1" t="s">
        <v>68</v>
      </c>
      <c r="AV12" s="1" t="s">
        <v>68</v>
      </c>
      <c r="AW12" s="1">
        <v>2348.0</v>
      </c>
      <c r="AX12" s="1" t="s">
        <v>354</v>
      </c>
      <c r="AY12" s="3" t="str">
        <f>HYPERLINK("http://dx.doi.org/10.3390/v15122348","http://dx.doi.org/10.3390/v15122348")</f>
        <v>http://dx.doi.org/10.3390/v15122348</v>
      </c>
      <c r="AZ12" s="1" t="s">
        <v>68</v>
      </c>
      <c r="BA12" s="1" t="s">
        <v>68</v>
      </c>
      <c r="BB12" s="1">
        <v>17.0</v>
      </c>
      <c r="BC12" s="1" t="s">
        <v>355</v>
      </c>
      <c r="BD12" s="1" t="s">
        <v>92</v>
      </c>
      <c r="BE12" s="1" t="s">
        <v>355</v>
      </c>
      <c r="BF12" s="1" t="s">
        <v>356</v>
      </c>
      <c r="BG12" s="1">
        <v>3.8140589E7</v>
      </c>
      <c r="BH12" s="1" t="s">
        <v>94</v>
      </c>
      <c r="BI12" s="1" t="s">
        <v>68</v>
      </c>
      <c r="BJ12" s="1" t="s">
        <v>68</v>
      </c>
      <c r="BK12" s="1" t="s">
        <v>95</v>
      </c>
      <c r="BL12" s="1" t="s">
        <v>357</v>
      </c>
      <c r="BM12" s="1" t="str">
        <f>HYPERLINK("https%3A%2F%2Fwww.webofscience.com%2Fwos%2Fwoscc%2Ffull-record%2FWOS:001130935700001","View Full Record in Web of Science")</f>
        <v>View Full Record in Web of Science</v>
      </c>
    </row>
    <row r="13" ht="12.75" customHeight="1">
      <c r="A13" s="1" t="s">
        <v>65</v>
      </c>
      <c r="B13" s="1" t="s">
        <v>358</v>
      </c>
      <c r="C13" s="1" t="s">
        <v>359</v>
      </c>
      <c r="D13" s="1" t="s">
        <v>68</v>
      </c>
      <c r="E13" s="1" t="s">
        <v>360</v>
      </c>
      <c r="F13" s="1" t="s">
        <v>361</v>
      </c>
      <c r="G13" s="1" t="s">
        <v>68</v>
      </c>
      <c r="H13" s="1" t="s">
        <v>71</v>
      </c>
      <c r="I13" s="1" t="s">
        <v>72</v>
      </c>
      <c r="J13" s="1" t="s">
        <v>68</v>
      </c>
      <c r="K13" s="1" t="s">
        <v>68</v>
      </c>
      <c r="L13" s="1" t="s">
        <v>68</v>
      </c>
      <c r="M13" s="1" t="s">
        <v>68</v>
      </c>
      <c r="N13" s="1" t="s">
        <v>362</v>
      </c>
      <c r="O13" s="1" t="s">
        <v>363</v>
      </c>
      <c r="P13" s="1" t="s">
        <v>364</v>
      </c>
      <c r="Q13" s="1" t="s">
        <v>365</v>
      </c>
      <c r="R13" s="1" t="s">
        <v>366</v>
      </c>
      <c r="S13" s="1" t="s">
        <v>367</v>
      </c>
      <c r="T13" s="1" t="s">
        <v>368</v>
      </c>
      <c r="U13" s="1" t="s">
        <v>369</v>
      </c>
      <c r="V13" s="1" t="s">
        <v>370</v>
      </c>
      <c r="W13" s="1" t="s">
        <v>371</v>
      </c>
      <c r="X13" s="1" t="s">
        <v>372</v>
      </c>
      <c r="Y13" s="1" t="s">
        <v>373</v>
      </c>
      <c r="Z13" s="1">
        <v>72.0</v>
      </c>
      <c r="AA13" s="1">
        <v>0.0</v>
      </c>
      <c r="AB13" s="1">
        <v>0.0</v>
      </c>
      <c r="AC13" s="1">
        <v>0.0</v>
      </c>
      <c r="AD13" s="1">
        <v>8.0</v>
      </c>
      <c r="AE13" s="1" t="s">
        <v>374</v>
      </c>
      <c r="AF13" s="1" t="s">
        <v>375</v>
      </c>
      <c r="AG13" s="1" t="s">
        <v>376</v>
      </c>
      <c r="AH13" s="1" t="s">
        <v>377</v>
      </c>
      <c r="AI13" s="1" t="s">
        <v>378</v>
      </c>
      <c r="AJ13" s="1" t="s">
        <v>68</v>
      </c>
      <c r="AK13" s="1" t="s">
        <v>379</v>
      </c>
      <c r="AL13" s="1" t="s">
        <v>380</v>
      </c>
      <c r="AM13" s="1" t="s">
        <v>381</v>
      </c>
      <c r="AN13" s="1">
        <v>2024.0</v>
      </c>
      <c r="AO13" s="1">
        <v>18.0</v>
      </c>
      <c r="AP13" s="1">
        <v>1.0</v>
      </c>
      <c r="AQ13" s="1" t="s">
        <v>68</v>
      </c>
      <c r="AR13" s="1" t="s">
        <v>68</v>
      </c>
      <c r="AS13" s="1" t="s">
        <v>68</v>
      </c>
      <c r="AT13" s="1" t="s">
        <v>68</v>
      </c>
      <c r="AU13" s="1">
        <v>67.0</v>
      </c>
      <c r="AV13" s="1">
        <v>86.0</v>
      </c>
      <c r="AW13" s="1" t="s">
        <v>68</v>
      </c>
      <c r="AX13" s="1" t="s">
        <v>382</v>
      </c>
      <c r="AY13" s="3" t="str">
        <f>HYPERLINK("http://dx.doi.org/10.5709/ce.1897-9254.526","http://dx.doi.org/10.5709/ce.1897-9254.526")</f>
        <v>http://dx.doi.org/10.5709/ce.1897-9254.526</v>
      </c>
      <c r="AZ13" s="1" t="s">
        <v>68</v>
      </c>
      <c r="BA13" s="1" t="s">
        <v>68</v>
      </c>
      <c r="BB13" s="1">
        <v>20.0</v>
      </c>
      <c r="BC13" s="1" t="s">
        <v>383</v>
      </c>
      <c r="BD13" s="1" t="s">
        <v>197</v>
      </c>
      <c r="BE13" s="1" t="s">
        <v>384</v>
      </c>
      <c r="BF13" s="1" t="s">
        <v>385</v>
      </c>
      <c r="BG13" s="1" t="s">
        <v>68</v>
      </c>
      <c r="BH13" s="1" t="s">
        <v>94</v>
      </c>
      <c r="BI13" s="1" t="s">
        <v>68</v>
      </c>
      <c r="BJ13" s="1" t="s">
        <v>68</v>
      </c>
      <c r="BK13" s="1" t="s">
        <v>95</v>
      </c>
      <c r="BL13" s="1" t="s">
        <v>386</v>
      </c>
      <c r="BM13" s="1" t="str">
        <f>HYPERLINK("https%3A%2F%2Fwww.webofscience.com%2Fwos%2Fwoscc%2Ffull-record%2FWOS:001181894900002","View Full Record in Web of Science")</f>
        <v>View Full Record in Web of Science</v>
      </c>
    </row>
    <row r="14" ht="12.75" customHeight="1">
      <c r="A14" s="1" t="s">
        <v>65</v>
      </c>
      <c r="B14" s="1" t="s">
        <v>387</v>
      </c>
      <c r="C14" s="1" t="s">
        <v>388</v>
      </c>
      <c r="D14" s="1" t="s">
        <v>68</v>
      </c>
      <c r="E14" s="1" t="s">
        <v>389</v>
      </c>
      <c r="F14" s="1" t="s">
        <v>390</v>
      </c>
      <c r="G14" s="1" t="s">
        <v>68</v>
      </c>
      <c r="H14" s="1" t="s">
        <v>71</v>
      </c>
      <c r="I14" s="1" t="s">
        <v>72</v>
      </c>
      <c r="J14" s="1" t="s">
        <v>68</v>
      </c>
      <c r="K14" s="1" t="s">
        <v>68</v>
      </c>
      <c r="L14" s="1" t="s">
        <v>68</v>
      </c>
      <c r="M14" s="1" t="s">
        <v>68</v>
      </c>
      <c r="N14" s="1" t="s">
        <v>391</v>
      </c>
      <c r="O14" s="1" t="s">
        <v>392</v>
      </c>
      <c r="P14" s="1" t="s">
        <v>393</v>
      </c>
      <c r="Q14" s="1" t="s">
        <v>394</v>
      </c>
      <c r="R14" s="1" t="s">
        <v>395</v>
      </c>
      <c r="S14" s="1" t="s">
        <v>396</v>
      </c>
      <c r="T14" s="1" t="s">
        <v>397</v>
      </c>
      <c r="U14" s="1" t="s">
        <v>398</v>
      </c>
      <c r="V14" s="1" t="s">
        <v>399</v>
      </c>
      <c r="W14" s="1" t="s">
        <v>400</v>
      </c>
      <c r="X14" s="1" t="s">
        <v>400</v>
      </c>
      <c r="Y14" s="1" t="s">
        <v>401</v>
      </c>
      <c r="Z14" s="1">
        <v>41.0</v>
      </c>
      <c r="AA14" s="1">
        <v>6.0</v>
      </c>
      <c r="AB14" s="1">
        <v>6.0</v>
      </c>
      <c r="AC14" s="1">
        <v>4.0</v>
      </c>
      <c r="AD14" s="1">
        <v>12.0</v>
      </c>
      <c r="AE14" s="1" t="s">
        <v>247</v>
      </c>
      <c r="AF14" s="1" t="s">
        <v>248</v>
      </c>
      <c r="AG14" s="1" t="s">
        <v>351</v>
      </c>
      <c r="AH14" s="1" t="s">
        <v>68</v>
      </c>
      <c r="AI14" s="1" t="s">
        <v>402</v>
      </c>
      <c r="AJ14" s="1" t="s">
        <v>68</v>
      </c>
      <c r="AK14" s="1" t="s">
        <v>390</v>
      </c>
      <c r="AL14" s="1" t="s">
        <v>403</v>
      </c>
      <c r="AM14" s="1" t="s">
        <v>404</v>
      </c>
      <c r="AN14" s="1">
        <v>2023.0</v>
      </c>
      <c r="AO14" s="1">
        <v>12.0</v>
      </c>
      <c r="AP14" s="1">
        <v>9.0</v>
      </c>
      <c r="AQ14" s="1" t="s">
        <v>68</v>
      </c>
      <c r="AR14" s="1" t="s">
        <v>68</v>
      </c>
      <c r="AS14" s="1" t="s">
        <v>68</v>
      </c>
      <c r="AT14" s="1" t="s">
        <v>68</v>
      </c>
      <c r="AU14" s="1" t="s">
        <v>68</v>
      </c>
      <c r="AV14" s="1" t="s">
        <v>68</v>
      </c>
      <c r="AW14" s="1">
        <v>1183.0</v>
      </c>
      <c r="AX14" s="1" t="s">
        <v>405</v>
      </c>
      <c r="AY14" s="3" t="str">
        <f>HYPERLINK("http://dx.doi.org/10.3390/pathogens12091183","http://dx.doi.org/10.3390/pathogens12091183")</f>
        <v>http://dx.doi.org/10.3390/pathogens12091183</v>
      </c>
      <c r="AZ14" s="1" t="s">
        <v>68</v>
      </c>
      <c r="BA14" s="1" t="s">
        <v>68</v>
      </c>
      <c r="BB14" s="1">
        <v>10.0</v>
      </c>
      <c r="BC14" s="1" t="s">
        <v>406</v>
      </c>
      <c r="BD14" s="1" t="s">
        <v>92</v>
      </c>
      <c r="BE14" s="1" t="s">
        <v>406</v>
      </c>
      <c r="BF14" s="1" t="s">
        <v>407</v>
      </c>
      <c r="BG14" s="1">
        <v>3.7764991E7</v>
      </c>
      <c r="BH14" s="1" t="s">
        <v>94</v>
      </c>
      <c r="BI14" s="1" t="s">
        <v>68</v>
      </c>
      <c r="BJ14" s="1" t="s">
        <v>68</v>
      </c>
      <c r="BK14" s="1" t="s">
        <v>95</v>
      </c>
      <c r="BL14" s="1" t="s">
        <v>408</v>
      </c>
      <c r="BM14" s="1" t="str">
        <f>HYPERLINK("https%3A%2F%2Fwww.webofscience.com%2Fwos%2Fwoscc%2Ffull-record%2FWOS:001072516600001","View Full Record in Web of Science")</f>
        <v>View Full Record in Web of Science</v>
      </c>
    </row>
    <row r="15" ht="12.75" customHeight="1">
      <c r="A15" s="1" t="s">
        <v>65</v>
      </c>
      <c r="B15" s="1" t="s">
        <v>409</v>
      </c>
      <c r="C15" s="1" t="s">
        <v>410</v>
      </c>
      <c r="D15" s="1" t="s">
        <v>68</v>
      </c>
      <c r="E15" s="1" t="s">
        <v>411</v>
      </c>
      <c r="F15" s="1" t="s">
        <v>412</v>
      </c>
      <c r="G15" s="1" t="s">
        <v>68</v>
      </c>
      <c r="H15" s="1" t="s">
        <v>71</v>
      </c>
      <c r="I15" s="1" t="s">
        <v>72</v>
      </c>
      <c r="J15" s="1" t="s">
        <v>68</v>
      </c>
      <c r="K15" s="1" t="s">
        <v>68</v>
      </c>
      <c r="L15" s="1" t="s">
        <v>68</v>
      </c>
      <c r="M15" s="1" t="s">
        <v>68</v>
      </c>
      <c r="N15" s="1" t="s">
        <v>413</v>
      </c>
      <c r="O15" s="1" t="s">
        <v>414</v>
      </c>
      <c r="P15" s="1" t="s">
        <v>415</v>
      </c>
      <c r="Q15" s="1" t="s">
        <v>416</v>
      </c>
      <c r="R15" s="1" t="s">
        <v>417</v>
      </c>
      <c r="S15" s="1" t="s">
        <v>418</v>
      </c>
      <c r="T15" s="1" t="s">
        <v>419</v>
      </c>
      <c r="U15" s="1" t="s">
        <v>420</v>
      </c>
      <c r="V15" s="1" t="s">
        <v>421</v>
      </c>
      <c r="W15" s="1" t="s">
        <v>68</v>
      </c>
      <c r="X15" s="1" t="s">
        <v>68</v>
      </c>
      <c r="Y15" s="1" t="s">
        <v>68</v>
      </c>
      <c r="Z15" s="1">
        <v>86.0</v>
      </c>
      <c r="AA15" s="1">
        <v>47.0</v>
      </c>
      <c r="AB15" s="1">
        <v>57.0</v>
      </c>
      <c r="AC15" s="1">
        <v>0.0</v>
      </c>
      <c r="AD15" s="1">
        <v>32.0</v>
      </c>
      <c r="AE15" s="1" t="s">
        <v>422</v>
      </c>
      <c r="AF15" s="1" t="s">
        <v>423</v>
      </c>
      <c r="AG15" s="1" t="s">
        <v>424</v>
      </c>
      <c r="AH15" s="1" t="s">
        <v>425</v>
      </c>
      <c r="AI15" s="1" t="s">
        <v>426</v>
      </c>
      <c r="AJ15" s="1" t="s">
        <v>68</v>
      </c>
      <c r="AK15" s="1" t="s">
        <v>412</v>
      </c>
      <c r="AL15" s="1" t="s">
        <v>427</v>
      </c>
      <c r="AM15" s="1" t="s">
        <v>428</v>
      </c>
      <c r="AN15" s="1">
        <v>2020.0</v>
      </c>
      <c r="AO15" s="1">
        <v>70.0</v>
      </c>
      <c r="AP15" s="1">
        <v>10.0</v>
      </c>
      <c r="AQ15" s="1" t="s">
        <v>68</v>
      </c>
      <c r="AR15" s="1" t="s">
        <v>68</v>
      </c>
      <c r="AS15" s="1" t="s">
        <v>68</v>
      </c>
      <c r="AT15" s="1" t="s">
        <v>68</v>
      </c>
      <c r="AU15" s="1">
        <v>914.0</v>
      </c>
      <c r="AV15" s="1">
        <v>923.0</v>
      </c>
      <c r="AW15" s="1" t="s">
        <v>68</v>
      </c>
      <c r="AX15" s="1" t="s">
        <v>429</v>
      </c>
      <c r="AY15" s="3" t="str">
        <f>HYPERLINK("http://dx.doi.org/10.1093/biosci/biaa092","http://dx.doi.org/10.1093/biosci/biaa092")</f>
        <v>http://dx.doi.org/10.1093/biosci/biaa092</v>
      </c>
      <c r="AZ15" s="1" t="s">
        <v>68</v>
      </c>
      <c r="BA15" s="1" t="s">
        <v>68</v>
      </c>
      <c r="BB15" s="1">
        <v>10.0</v>
      </c>
      <c r="BC15" s="1" t="s">
        <v>430</v>
      </c>
      <c r="BD15" s="1" t="s">
        <v>92</v>
      </c>
      <c r="BE15" s="1" t="s">
        <v>431</v>
      </c>
      <c r="BF15" s="1" t="s">
        <v>432</v>
      </c>
      <c r="BG15" s="1" t="s">
        <v>68</v>
      </c>
      <c r="BH15" s="1" t="s">
        <v>68</v>
      </c>
      <c r="BI15" s="1" t="s">
        <v>68</v>
      </c>
      <c r="BJ15" s="1" t="s">
        <v>68</v>
      </c>
      <c r="BK15" s="1" t="s">
        <v>95</v>
      </c>
      <c r="BL15" s="1" t="s">
        <v>433</v>
      </c>
      <c r="BM15" s="1" t="str">
        <f>HYPERLINK("https%3A%2F%2Fwww.webofscience.com%2Fwos%2Fwoscc%2Ffull-record%2FWOS:000592982800008","View Full Record in Web of Science")</f>
        <v>View Full Record in Web of Science</v>
      </c>
    </row>
    <row r="16" ht="12.75" customHeight="1">
      <c r="A16" s="1" t="s">
        <v>65</v>
      </c>
      <c r="B16" s="1" t="s">
        <v>434</v>
      </c>
      <c r="C16" s="1" t="s">
        <v>435</v>
      </c>
      <c r="D16" s="1" t="s">
        <v>68</v>
      </c>
      <c r="E16" s="1" t="s">
        <v>436</v>
      </c>
      <c r="F16" s="1" t="s">
        <v>437</v>
      </c>
      <c r="G16" s="1" t="s">
        <v>68</v>
      </c>
      <c r="H16" s="1" t="s">
        <v>71</v>
      </c>
      <c r="I16" s="1" t="s">
        <v>72</v>
      </c>
      <c r="J16" s="1" t="s">
        <v>68</v>
      </c>
      <c r="K16" s="1" t="s">
        <v>68</v>
      </c>
      <c r="L16" s="1" t="s">
        <v>68</v>
      </c>
      <c r="M16" s="1" t="s">
        <v>68</v>
      </c>
      <c r="N16" s="1" t="s">
        <v>438</v>
      </c>
      <c r="O16" s="1" t="s">
        <v>439</v>
      </c>
      <c r="P16" s="1" t="s">
        <v>440</v>
      </c>
      <c r="Q16" s="1" t="s">
        <v>441</v>
      </c>
      <c r="R16" s="1" t="s">
        <v>442</v>
      </c>
      <c r="S16" s="1" t="s">
        <v>443</v>
      </c>
      <c r="T16" s="1" t="s">
        <v>444</v>
      </c>
      <c r="U16" s="1" t="s">
        <v>445</v>
      </c>
      <c r="V16" s="1" t="s">
        <v>446</v>
      </c>
      <c r="W16" s="1" t="s">
        <v>447</v>
      </c>
      <c r="X16" s="1" t="s">
        <v>448</v>
      </c>
      <c r="Y16" s="1" t="s">
        <v>449</v>
      </c>
      <c r="Z16" s="1">
        <v>45.0</v>
      </c>
      <c r="AA16" s="1">
        <v>11.0</v>
      </c>
      <c r="AB16" s="1">
        <v>12.0</v>
      </c>
      <c r="AC16" s="1">
        <v>2.0</v>
      </c>
      <c r="AD16" s="1">
        <v>14.0</v>
      </c>
      <c r="AE16" s="1" t="s">
        <v>450</v>
      </c>
      <c r="AF16" s="1" t="s">
        <v>451</v>
      </c>
      <c r="AG16" s="1" t="s">
        <v>452</v>
      </c>
      <c r="AH16" s="1" t="s">
        <v>453</v>
      </c>
      <c r="AI16" s="1" t="s">
        <v>454</v>
      </c>
      <c r="AJ16" s="1" t="s">
        <v>68</v>
      </c>
      <c r="AK16" s="1" t="s">
        <v>455</v>
      </c>
      <c r="AL16" s="1" t="s">
        <v>456</v>
      </c>
      <c r="AM16" s="1" t="s">
        <v>457</v>
      </c>
      <c r="AN16" s="1">
        <v>2023.0</v>
      </c>
      <c r="AO16" s="1">
        <v>14.0</v>
      </c>
      <c r="AP16" s="1">
        <v>3.0</v>
      </c>
      <c r="AQ16" s="1" t="s">
        <v>68</v>
      </c>
      <c r="AR16" s="1" t="s">
        <v>68</v>
      </c>
      <c r="AS16" s="1" t="s">
        <v>68</v>
      </c>
      <c r="AT16" s="1" t="s">
        <v>68</v>
      </c>
      <c r="AU16" s="1" t="s">
        <v>68</v>
      </c>
      <c r="AV16" s="1" t="s">
        <v>68</v>
      </c>
      <c r="AW16" s="1">
        <v>102144.0</v>
      </c>
      <c r="AX16" s="1" t="s">
        <v>458</v>
      </c>
      <c r="AY16" s="3" t="str">
        <f>HYPERLINK("http://dx.doi.org/10.1016/j.ttbdis.2023.102144","http://dx.doi.org/10.1016/j.ttbdis.2023.102144")</f>
        <v>http://dx.doi.org/10.1016/j.ttbdis.2023.102144</v>
      </c>
      <c r="AZ16" s="1" t="s">
        <v>68</v>
      </c>
      <c r="BA16" s="1" t="s">
        <v>459</v>
      </c>
      <c r="BB16" s="1">
        <v>8.0</v>
      </c>
      <c r="BC16" s="1" t="s">
        <v>460</v>
      </c>
      <c r="BD16" s="1" t="s">
        <v>92</v>
      </c>
      <c r="BE16" s="1" t="s">
        <v>460</v>
      </c>
      <c r="BF16" s="1" t="s">
        <v>461</v>
      </c>
      <c r="BG16" s="1">
        <v>3.6905814E7</v>
      </c>
      <c r="BH16" s="1" t="s">
        <v>462</v>
      </c>
      <c r="BI16" s="1" t="s">
        <v>68</v>
      </c>
      <c r="BJ16" s="1" t="s">
        <v>68</v>
      </c>
      <c r="BK16" s="1" t="s">
        <v>95</v>
      </c>
      <c r="BL16" s="1" t="s">
        <v>463</v>
      </c>
      <c r="BM16" s="1" t="str">
        <f>HYPERLINK("https%3A%2F%2Fwww.webofscience.com%2Fwos%2Fwoscc%2Ffull-record%2FWOS:000962570300001","View Full Record in Web of Science")</f>
        <v>View Full Record in Web of Science</v>
      </c>
    </row>
    <row r="17" ht="12.75" customHeight="1">
      <c r="A17" s="1" t="s">
        <v>65</v>
      </c>
      <c r="B17" s="1" t="s">
        <v>464</v>
      </c>
      <c r="C17" s="1" t="s">
        <v>465</v>
      </c>
      <c r="D17" s="1" t="s">
        <v>68</v>
      </c>
      <c r="E17" s="1" t="s">
        <v>466</v>
      </c>
      <c r="F17" s="1" t="s">
        <v>467</v>
      </c>
      <c r="G17" s="1" t="s">
        <v>68</v>
      </c>
      <c r="H17" s="1" t="s">
        <v>71</v>
      </c>
      <c r="I17" s="1" t="s">
        <v>72</v>
      </c>
      <c r="J17" s="1" t="s">
        <v>68</v>
      </c>
      <c r="K17" s="1" t="s">
        <v>68</v>
      </c>
      <c r="L17" s="1" t="s">
        <v>68</v>
      </c>
      <c r="M17" s="1" t="s">
        <v>68</v>
      </c>
      <c r="N17" s="1" t="s">
        <v>468</v>
      </c>
      <c r="O17" s="1" t="s">
        <v>68</v>
      </c>
      <c r="P17" s="1" t="s">
        <v>469</v>
      </c>
      <c r="Q17" s="1" t="s">
        <v>470</v>
      </c>
      <c r="R17" s="1" t="s">
        <v>471</v>
      </c>
      <c r="S17" s="1" t="s">
        <v>472</v>
      </c>
      <c r="T17" s="1" t="s">
        <v>473</v>
      </c>
      <c r="U17" s="1" t="s">
        <v>474</v>
      </c>
      <c r="V17" s="1" t="s">
        <v>475</v>
      </c>
      <c r="W17" s="1" t="s">
        <v>476</v>
      </c>
      <c r="X17" s="1" t="s">
        <v>477</v>
      </c>
      <c r="Y17" s="1" t="s">
        <v>478</v>
      </c>
      <c r="Z17" s="1">
        <v>29.0</v>
      </c>
      <c r="AA17" s="1">
        <v>7.0</v>
      </c>
      <c r="AB17" s="1">
        <v>7.0</v>
      </c>
      <c r="AC17" s="1">
        <v>4.0</v>
      </c>
      <c r="AD17" s="1">
        <v>5.0</v>
      </c>
      <c r="AE17" s="1" t="s">
        <v>83</v>
      </c>
      <c r="AF17" s="1" t="s">
        <v>84</v>
      </c>
      <c r="AG17" s="1" t="s">
        <v>85</v>
      </c>
      <c r="AH17" s="1" t="s">
        <v>68</v>
      </c>
      <c r="AI17" s="1" t="s">
        <v>479</v>
      </c>
      <c r="AJ17" s="1" t="s">
        <v>68</v>
      </c>
      <c r="AK17" s="1" t="s">
        <v>480</v>
      </c>
      <c r="AL17" s="1" t="s">
        <v>481</v>
      </c>
      <c r="AM17" s="1" t="s">
        <v>482</v>
      </c>
      <c r="AN17" s="1">
        <v>2023.0</v>
      </c>
      <c r="AO17" s="1">
        <v>11.0</v>
      </c>
      <c r="AP17" s="1" t="s">
        <v>68</v>
      </c>
      <c r="AQ17" s="1" t="s">
        <v>68</v>
      </c>
      <c r="AR17" s="1" t="s">
        <v>68</v>
      </c>
      <c r="AS17" s="1" t="s">
        <v>68</v>
      </c>
      <c r="AT17" s="1" t="s">
        <v>68</v>
      </c>
      <c r="AU17" s="1" t="s">
        <v>68</v>
      </c>
      <c r="AV17" s="1" t="s">
        <v>68</v>
      </c>
      <c r="AW17" s="1">
        <v>1177413.0</v>
      </c>
      <c r="AX17" s="1" t="s">
        <v>483</v>
      </c>
      <c r="AY17" s="3" t="str">
        <f>HYPERLINK("http://dx.doi.org/10.3389/fenvs.2023.1177413","http://dx.doi.org/10.3389/fenvs.2023.1177413")</f>
        <v>http://dx.doi.org/10.3389/fenvs.2023.1177413</v>
      </c>
      <c r="AZ17" s="1" t="s">
        <v>68</v>
      </c>
      <c r="BA17" s="1" t="s">
        <v>68</v>
      </c>
      <c r="BB17" s="1">
        <v>13.0</v>
      </c>
      <c r="BC17" s="1" t="s">
        <v>484</v>
      </c>
      <c r="BD17" s="1" t="s">
        <v>92</v>
      </c>
      <c r="BE17" s="1" t="s">
        <v>333</v>
      </c>
      <c r="BF17" s="1" t="s">
        <v>485</v>
      </c>
      <c r="BG17" s="1" t="s">
        <v>68</v>
      </c>
      <c r="BH17" s="1" t="s">
        <v>200</v>
      </c>
      <c r="BI17" s="1" t="s">
        <v>68</v>
      </c>
      <c r="BJ17" s="1" t="s">
        <v>68</v>
      </c>
      <c r="BK17" s="1" t="s">
        <v>95</v>
      </c>
      <c r="BL17" s="1" t="s">
        <v>486</v>
      </c>
      <c r="BM17" s="1" t="str">
        <f>HYPERLINK("https%3A%2F%2Fwww.webofscience.com%2Fwos%2Fwoscc%2Ffull-record%2FWOS:001000441700001","View Full Record in Web of Science")</f>
        <v>View Full Record in Web of Science</v>
      </c>
    </row>
    <row r="18" ht="12.75" customHeight="1">
      <c r="A18" s="1" t="s">
        <v>65</v>
      </c>
      <c r="B18" s="1" t="s">
        <v>487</v>
      </c>
      <c r="C18" s="1" t="s">
        <v>488</v>
      </c>
      <c r="D18" s="1" t="s">
        <v>68</v>
      </c>
      <c r="E18" s="1" t="s">
        <v>489</v>
      </c>
      <c r="F18" s="1" t="s">
        <v>490</v>
      </c>
      <c r="G18" s="1" t="s">
        <v>68</v>
      </c>
      <c r="H18" s="1" t="s">
        <v>71</v>
      </c>
      <c r="I18" s="1" t="s">
        <v>72</v>
      </c>
      <c r="J18" s="1" t="s">
        <v>68</v>
      </c>
      <c r="K18" s="1" t="s">
        <v>68</v>
      </c>
      <c r="L18" s="1" t="s">
        <v>68</v>
      </c>
      <c r="M18" s="1" t="s">
        <v>68</v>
      </c>
      <c r="N18" s="1" t="s">
        <v>491</v>
      </c>
      <c r="O18" s="1" t="s">
        <v>492</v>
      </c>
      <c r="P18" s="1" t="s">
        <v>493</v>
      </c>
      <c r="Q18" s="1" t="s">
        <v>494</v>
      </c>
      <c r="R18" s="1" t="s">
        <v>495</v>
      </c>
      <c r="S18" s="1" t="s">
        <v>496</v>
      </c>
      <c r="T18" s="1" t="s">
        <v>497</v>
      </c>
      <c r="U18" s="1" t="s">
        <v>498</v>
      </c>
      <c r="V18" s="1" t="s">
        <v>499</v>
      </c>
      <c r="W18" s="1" t="s">
        <v>500</v>
      </c>
      <c r="X18" s="1" t="s">
        <v>501</v>
      </c>
      <c r="Y18" s="1" t="s">
        <v>502</v>
      </c>
      <c r="Z18" s="1">
        <v>39.0</v>
      </c>
      <c r="AA18" s="1">
        <v>49.0</v>
      </c>
      <c r="AB18" s="1">
        <v>63.0</v>
      </c>
      <c r="AC18" s="1">
        <v>0.0</v>
      </c>
      <c r="AD18" s="1">
        <v>186.0</v>
      </c>
      <c r="AE18" s="1" t="s">
        <v>503</v>
      </c>
      <c r="AF18" s="1" t="s">
        <v>504</v>
      </c>
      <c r="AG18" s="1" t="s">
        <v>505</v>
      </c>
      <c r="AH18" s="1" t="s">
        <v>506</v>
      </c>
      <c r="AI18" s="1" t="s">
        <v>507</v>
      </c>
      <c r="AJ18" s="1" t="s">
        <v>68</v>
      </c>
      <c r="AK18" s="1" t="s">
        <v>508</v>
      </c>
      <c r="AL18" s="1" t="s">
        <v>509</v>
      </c>
      <c r="AM18" s="1" t="s">
        <v>404</v>
      </c>
      <c r="AN18" s="1">
        <v>2015.0</v>
      </c>
      <c r="AO18" s="1">
        <v>40.0</v>
      </c>
      <c r="AP18" s="1" t="s">
        <v>68</v>
      </c>
      <c r="AQ18" s="1" t="s">
        <v>68</v>
      </c>
      <c r="AR18" s="1">
        <v>1.0</v>
      </c>
      <c r="AS18" s="1" t="s">
        <v>68</v>
      </c>
      <c r="AT18" s="1" t="s">
        <v>68</v>
      </c>
      <c r="AU18" s="1">
        <v>3.0</v>
      </c>
      <c r="AV18" s="1">
        <v>11.0</v>
      </c>
      <c r="AW18" s="1" t="s">
        <v>68</v>
      </c>
      <c r="AX18" s="1" t="s">
        <v>510</v>
      </c>
      <c r="AY18" s="3" t="str">
        <f>HYPERLINK("http://dx.doi.org/10.1111/een.12227","http://dx.doi.org/10.1111/een.12227")</f>
        <v>http://dx.doi.org/10.1111/een.12227</v>
      </c>
      <c r="AZ18" s="1" t="s">
        <v>68</v>
      </c>
      <c r="BA18" s="1" t="s">
        <v>68</v>
      </c>
      <c r="BB18" s="1">
        <v>9.0</v>
      </c>
      <c r="BC18" s="1" t="s">
        <v>309</v>
      </c>
      <c r="BD18" s="1" t="s">
        <v>92</v>
      </c>
      <c r="BE18" s="1" t="s">
        <v>309</v>
      </c>
      <c r="BF18" s="1" t="s">
        <v>511</v>
      </c>
      <c r="BG18" s="1" t="s">
        <v>68</v>
      </c>
      <c r="BH18" s="1" t="s">
        <v>512</v>
      </c>
      <c r="BI18" s="1" t="s">
        <v>68</v>
      </c>
      <c r="BJ18" s="1" t="s">
        <v>68</v>
      </c>
      <c r="BK18" s="1" t="s">
        <v>95</v>
      </c>
      <c r="BL18" s="1" t="s">
        <v>513</v>
      </c>
      <c r="BM18" s="1" t="str">
        <f>HYPERLINK("https%3A%2F%2Fwww.webofscience.com%2Fwos%2Fwoscc%2Ffull-record%2FWOS:000360220600002","View Full Record in Web of Science")</f>
        <v>View Full Record in Web of Science</v>
      </c>
    </row>
    <row r="19" ht="12.75" customHeight="1">
      <c r="A19" s="1" t="s">
        <v>65</v>
      </c>
      <c r="B19" s="1" t="s">
        <v>514</v>
      </c>
      <c r="C19" s="1" t="s">
        <v>515</v>
      </c>
      <c r="D19" s="1" t="s">
        <v>68</v>
      </c>
      <c r="E19" s="1" t="s">
        <v>516</v>
      </c>
      <c r="F19" s="1" t="s">
        <v>517</v>
      </c>
      <c r="G19" s="1" t="s">
        <v>68</v>
      </c>
      <c r="H19" s="1" t="s">
        <v>71</v>
      </c>
      <c r="I19" s="1" t="s">
        <v>72</v>
      </c>
      <c r="J19" s="1" t="s">
        <v>68</v>
      </c>
      <c r="K19" s="1" t="s">
        <v>68</v>
      </c>
      <c r="L19" s="1" t="s">
        <v>68</v>
      </c>
      <c r="M19" s="1" t="s">
        <v>68</v>
      </c>
      <c r="N19" s="1" t="s">
        <v>518</v>
      </c>
      <c r="O19" s="1" t="s">
        <v>519</v>
      </c>
      <c r="P19" s="1" t="s">
        <v>520</v>
      </c>
      <c r="Q19" s="1" t="s">
        <v>521</v>
      </c>
      <c r="R19" s="1" t="s">
        <v>522</v>
      </c>
      <c r="S19" s="1" t="s">
        <v>523</v>
      </c>
      <c r="T19" s="1" t="s">
        <v>524</v>
      </c>
      <c r="U19" s="1" t="s">
        <v>525</v>
      </c>
      <c r="V19" s="1" t="s">
        <v>526</v>
      </c>
      <c r="W19" s="1" t="s">
        <v>527</v>
      </c>
      <c r="X19" s="1" t="s">
        <v>527</v>
      </c>
      <c r="Y19" s="1" t="s">
        <v>528</v>
      </c>
      <c r="Z19" s="1">
        <v>63.0</v>
      </c>
      <c r="AA19" s="1">
        <v>0.0</v>
      </c>
      <c r="AB19" s="1">
        <v>0.0</v>
      </c>
      <c r="AC19" s="1">
        <v>0.0</v>
      </c>
      <c r="AD19" s="1">
        <v>3.0</v>
      </c>
      <c r="AE19" s="1" t="s">
        <v>529</v>
      </c>
      <c r="AF19" s="1" t="s">
        <v>530</v>
      </c>
      <c r="AG19" s="1" t="s">
        <v>531</v>
      </c>
      <c r="AH19" s="1" t="s">
        <v>532</v>
      </c>
      <c r="AI19" s="1" t="s">
        <v>533</v>
      </c>
      <c r="AJ19" s="1" t="s">
        <v>68</v>
      </c>
      <c r="AK19" s="1" t="s">
        <v>534</v>
      </c>
      <c r="AL19" s="1" t="s">
        <v>535</v>
      </c>
      <c r="AM19" s="1" t="s">
        <v>536</v>
      </c>
      <c r="AN19" s="1">
        <v>2024.0</v>
      </c>
      <c r="AO19" s="1">
        <v>61.0</v>
      </c>
      <c r="AP19" s="1">
        <v>6.0</v>
      </c>
      <c r="AQ19" s="1" t="s">
        <v>68</v>
      </c>
      <c r="AR19" s="1" t="s">
        <v>68</v>
      </c>
      <c r="AS19" s="1" t="s">
        <v>68</v>
      </c>
      <c r="AT19" s="1" t="s">
        <v>68</v>
      </c>
      <c r="AU19" s="1">
        <v>1399.0</v>
      </c>
      <c r="AV19" s="1">
        <v>1409.0</v>
      </c>
      <c r="AW19" s="1" t="s">
        <v>68</v>
      </c>
      <c r="AX19" s="1" t="s">
        <v>537</v>
      </c>
      <c r="AY19" s="3" t="str">
        <f>HYPERLINK("http://dx.doi.org/10.1093/jme/tjae117","http://dx.doi.org/10.1093/jme/tjae117")</f>
        <v>http://dx.doi.org/10.1093/jme/tjae117</v>
      </c>
      <c r="AZ19" s="1" t="s">
        <v>68</v>
      </c>
      <c r="BA19" s="1" t="s">
        <v>538</v>
      </c>
      <c r="BB19" s="1">
        <v>11.0</v>
      </c>
      <c r="BC19" s="1" t="s">
        <v>539</v>
      </c>
      <c r="BD19" s="1" t="s">
        <v>92</v>
      </c>
      <c r="BE19" s="1" t="s">
        <v>539</v>
      </c>
      <c r="BF19" s="1" t="s">
        <v>540</v>
      </c>
      <c r="BG19" s="1">
        <v>3.9271136E7</v>
      </c>
      <c r="BH19" s="1" t="s">
        <v>68</v>
      </c>
      <c r="BI19" s="1" t="s">
        <v>68</v>
      </c>
      <c r="BJ19" s="1" t="s">
        <v>68</v>
      </c>
      <c r="BK19" s="1" t="s">
        <v>95</v>
      </c>
      <c r="BL19" s="1" t="s">
        <v>541</v>
      </c>
      <c r="BM19" s="1" t="str">
        <f>HYPERLINK("https%3A%2F%2Fwww.webofscience.com%2Fwos%2Fwoscc%2Ffull-record%2FWOS:001311900300001","View Full Record in Web of Science")</f>
        <v>View Full Record in Web of Science</v>
      </c>
    </row>
    <row r="20" ht="12.75" customHeight="1">
      <c r="A20" s="1" t="s">
        <v>65</v>
      </c>
      <c r="B20" s="1" t="s">
        <v>542</v>
      </c>
      <c r="C20" s="1" t="s">
        <v>543</v>
      </c>
      <c r="D20" s="1" t="s">
        <v>68</v>
      </c>
      <c r="E20" s="1" t="s">
        <v>544</v>
      </c>
      <c r="F20" s="1" t="s">
        <v>545</v>
      </c>
      <c r="G20" s="1" t="s">
        <v>68</v>
      </c>
      <c r="H20" s="1" t="s">
        <v>71</v>
      </c>
      <c r="I20" s="1" t="s">
        <v>72</v>
      </c>
      <c r="J20" s="1" t="s">
        <v>68</v>
      </c>
      <c r="K20" s="1" t="s">
        <v>68</v>
      </c>
      <c r="L20" s="1" t="s">
        <v>68</v>
      </c>
      <c r="M20" s="1" t="s">
        <v>68</v>
      </c>
      <c r="N20" s="1" t="s">
        <v>546</v>
      </c>
      <c r="O20" s="1" t="s">
        <v>547</v>
      </c>
      <c r="P20" s="1" t="s">
        <v>548</v>
      </c>
      <c r="Q20" s="1" t="s">
        <v>549</v>
      </c>
      <c r="R20" s="1" t="s">
        <v>550</v>
      </c>
      <c r="S20" s="1" t="s">
        <v>551</v>
      </c>
      <c r="T20" s="1" t="s">
        <v>552</v>
      </c>
      <c r="U20" s="1" t="s">
        <v>553</v>
      </c>
      <c r="V20" s="1" t="s">
        <v>554</v>
      </c>
      <c r="W20" s="1" t="s">
        <v>555</v>
      </c>
      <c r="X20" s="1" t="s">
        <v>556</v>
      </c>
      <c r="Y20" s="1" t="s">
        <v>557</v>
      </c>
      <c r="Z20" s="1">
        <v>50.0</v>
      </c>
      <c r="AA20" s="1">
        <v>10.0</v>
      </c>
      <c r="AB20" s="1">
        <v>10.0</v>
      </c>
      <c r="AC20" s="1">
        <v>3.0</v>
      </c>
      <c r="AD20" s="1">
        <v>12.0</v>
      </c>
      <c r="AE20" s="1" t="s">
        <v>529</v>
      </c>
      <c r="AF20" s="1" t="s">
        <v>530</v>
      </c>
      <c r="AG20" s="1" t="s">
        <v>531</v>
      </c>
      <c r="AH20" s="1" t="s">
        <v>558</v>
      </c>
      <c r="AI20" s="1" t="s">
        <v>559</v>
      </c>
      <c r="AJ20" s="1" t="s">
        <v>68</v>
      </c>
      <c r="AK20" s="1" t="s">
        <v>560</v>
      </c>
      <c r="AL20" s="1" t="s">
        <v>561</v>
      </c>
      <c r="AM20" s="1" t="s">
        <v>562</v>
      </c>
      <c r="AN20" s="1">
        <v>2022.0</v>
      </c>
      <c r="AO20" s="1">
        <v>115.0</v>
      </c>
      <c r="AP20" s="1">
        <v>5.0</v>
      </c>
      <c r="AQ20" s="1" t="s">
        <v>68</v>
      </c>
      <c r="AR20" s="1" t="s">
        <v>68</v>
      </c>
      <c r="AS20" s="1" t="s">
        <v>563</v>
      </c>
      <c r="AT20" s="1" t="s">
        <v>68</v>
      </c>
      <c r="AU20" s="1">
        <v>1650.0</v>
      </c>
      <c r="AV20" s="1">
        <v>1658.0</v>
      </c>
      <c r="AW20" s="1" t="s">
        <v>68</v>
      </c>
      <c r="AX20" s="1" t="s">
        <v>564</v>
      </c>
      <c r="AY20" s="3" t="str">
        <f>HYPERLINK("http://dx.doi.org/10.1093/jee/toac122","http://dx.doi.org/10.1093/jee/toac122")</f>
        <v>http://dx.doi.org/10.1093/jee/toac122</v>
      </c>
      <c r="AZ20" s="1" t="s">
        <v>68</v>
      </c>
      <c r="BA20" s="1" t="s">
        <v>565</v>
      </c>
      <c r="BB20" s="1">
        <v>9.0</v>
      </c>
      <c r="BC20" s="1" t="s">
        <v>309</v>
      </c>
      <c r="BD20" s="1" t="s">
        <v>92</v>
      </c>
      <c r="BE20" s="1" t="s">
        <v>309</v>
      </c>
      <c r="BF20" s="1" t="s">
        <v>566</v>
      </c>
      <c r="BG20" s="1">
        <v>3.5988044E7</v>
      </c>
      <c r="BH20" s="1" t="s">
        <v>68</v>
      </c>
      <c r="BI20" s="1" t="s">
        <v>68</v>
      </c>
      <c r="BJ20" s="1" t="s">
        <v>68</v>
      </c>
      <c r="BK20" s="1" t="s">
        <v>95</v>
      </c>
      <c r="BL20" s="1" t="s">
        <v>567</v>
      </c>
      <c r="BM20" s="1" t="str">
        <f>HYPERLINK("https%3A%2F%2Fwww.webofscience.com%2Fwos%2Fwoscc%2Ffull-record%2FWOS:000842191500001","View Full Record in Web of Science")</f>
        <v>View Full Record in Web of Science</v>
      </c>
    </row>
    <row r="21" ht="12.75" customHeight="1">
      <c r="A21" s="1" t="s">
        <v>65</v>
      </c>
      <c r="B21" s="1" t="s">
        <v>568</v>
      </c>
      <c r="C21" s="1" t="s">
        <v>569</v>
      </c>
      <c r="D21" s="1" t="s">
        <v>68</v>
      </c>
      <c r="E21" s="1" t="s">
        <v>570</v>
      </c>
      <c r="F21" s="1" t="s">
        <v>571</v>
      </c>
      <c r="G21" s="1" t="s">
        <v>68</v>
      </c>
      <c r="H21" s="1" t="s">
        <v>71</v>
      </c>
      <c r="I21" s="1" t="s">
        <v>72</v>
      </c>
      <c r="J21" s="1" t="s">
        <v>68</v>
      </c>
      <c r="K21" s="1" t="s">
        <v>68</v>
      </c>
      <c r="L21" s="1" t="s">
        <v>68</v>
      </c>
      <c r="M21" s="1" t="s">
        <v>68</v>
      </c>
      <c r="N21" s="1" t="s">
        <v>572</v>
      </c>
      <c r="O21" s="1" t="s">
        <v>573</v>
      </c>
      <c r="P21" s="1" t="s">
        <v>574</v>
      </c>
      <c r="Q21" s="1" t="s">
        <v>575</v>
      </c>
      <c r="R21" s="1" t="s">
        <v>576</v>
      </c>
      <c r="S21" s="1" t="s">
        <v>577</v>
      </c>
      <c r="T21" s="1" t="s">
        <v>578</v>
      </c>
      <c r="U21" s="1" t="s">
        <v>579</v>
      </c>
      <c r="V21" s="1" t="s">
        <v>68</v>
      </c>
      <c r="W21" s="1" t="s">
        <v>580</v>
      </c>
      <c r="X21" s="1" t="s">
        <v>581</v>
      </c>
      <c r="Y21" s="1" t="s">
        <v>582</v>
      </c>
      <c r="Z21" s="1">
        <v>44.0</v>
      </c>
      <c r="AA21" s="1">
        <v>58.0</v>
      </c>
      <c r="AB21" s="1">
        <v>69.0</v>
      </c>
      <c r="AC21" s="1">
        <v>1.0</v>
      </c>
      <c r="AD21" s="1">
        <v>90.0</v>
      </c>
      <c r="AE21" s="1" t="s">
        <v>583</v>
      </c>
      <c r="AF21" s="1" t="s">
        <v>584</v>
      </c>
      <c r="AG21" s="1" t="s">
        <v>585</v>
      </c>
      <c r="AH21" s="1" t="s">
        <v>586</v>
      </c>
      <c r="AI21" s="1" t="s">
        <v>68</v>
      </c>
      <c r="AJ21" s="1" t="s">
        <v>68</v>
      </c>
      <c r="AK21" s="1" t="s">
        <v>587</v>
      </c>
      <c r="AL21" s="1" t="s">
        <v>588</v>
      </c>
      <c r="AM21" s="1" t="s">
        <v>224</v>
      </c>
      <c r="AN21" s="1">
        <v>2011.0</v>
      </c>
      <c r="AO21" s="1">
        <v>25.0</v>
      </c>
      <c r="AP21" s="1">
        <v>1.0</v>
      </c>
      <c r="AQ21" s="1" t="s">
        <v>68</v>
      </c>
      <c r="AR21" s="1" t="s">
        <v>68</v>
      </c>
      <c r="AS21" s="1" t="s">
        <v>68</v>
      </c>
      <c r="AT21" s="1" t="s">
        <v>68</v>
      </c>
      <c r="AU21" s="1">
        <v>182.0</v>
      </c>
      <c r="AV21" s="1">
        <v>188.0</v>
      </c>
      <c r="AW21" s="1" t="s">
        <v>68</v>
      </c>
      <c r="AX21" s="1" t="s">
        <v>589</v>
      </c>
      <c r="AY21" s="3" t="str">
        <f>HYPERLINK("http://dx.doi.org/10.1111/j.1523-1739.2010.01567.x","http://dx.doi.org/10.1111/j.1523-1739.2010.01567.x")</f>
        <v>http://dx.doi.org/10.1111/j.1523-1739.2010.01567.x</v>
      </c>
      <c r="AZ21" s="1" t="s">
        <v>68</v>
      </c>
      <c r="BA21" s="1" t="s">
        <v>68</v>
      </c>
      <c r="BB21" s="1">
        <v>7.0</v>
      </c>
      <c r="BC21" s="1" t="s">
        <v>122</v>
      </c>
      <c r="BD21" s="1" t="s">
        <v>92</v>
      </c>
      <c r="BE21" s="1" t="s">
        <v>123</v>
      </c>
      <c r="BF21" s="1" t="s">
        <v>590</v>
      </c>
      <c r="BG21" s="1">
        <v>2.0735452E7</v>
      </c>
      <c r="BH21" s="1" t="s">
        <v>591</v>
      </c>
      <c r="BI21" s="1" t="s">
        <v>68</v>
      </c>
      <c r="BJ21" s="1" t="s">
        <v>68</v>
      </c>
      <c r="BK21" s="1" t="s">
        <v>95</v>
      </c>
      <c r="BL21" s="1" t="s">
        <v>592</v>
      </c>
      <c r="BM21" s="1" t="str">
        <f>HYPERLINK("https%3A%2F%2Fwww.webofscience.com%2Fwos%2Fwoscc%2Ffull-record%2FWOS:000286380500021","View Full Record in Web of Science")</f>
        <v>View Full Record in Web of Science</v>
      </c>
    </row>
    <row r="22" ht="12.75" customHeight="1">
      <c r="A22" s="1" t="s">
        <v>65</v>
      </c>
      <c r="B22" s="1" t="s">
        <v>593</v>
      </c>
      <c r="C22" s="1" t="s">
        <v>594</v>
      </c>
      <c r="D22" s="1" t="s">
        <v>68</v>
      </c>
      <c r="E22" s="1" t="s">
        <v>595</v>
      </c>
      <c r="F22" s="1" t="s">
        <v>596</v>
      </c>
      <c r="G22" s="1" t="s">
        <v>68</v>
      </c>
      <c r="H22" s="1" t="s">
        <v>71</v>
      </c>
      <c r="I22" s="1" t="s">
        <v>597</v>
      </c>
      <c r="J22" s="1" t="s">
        <v>68</v>
      </c>
      <c r="K22" s="1" t="s">
        <v>68</v>
      </c>
      <c r="L22" s="1" t="s">
        <v>68</v>
      </c>
      <c r="M22" s="1" t="s">
        <v>68</v>
      </c>
      <c r="N22" s="1" t="s">
        <v>598</v>
      </c>
      <c r="O22" s="1" t="s">
        <v>68</v>
      </c>
      <c r="P22" s="1" t="s">
        <v>599</v>
      </c>
      <c r="Q22" s="1" t="s">
        <v>600</v>
      </c>
      <c r="R22" s="1" t="s">
        <v>601</v>
      </c>
      <c r="S22" s="1" t="s">
        <v>602</v>
      </c>
      <c r="T22" s="1" t="s">
        <v>603</v>
      </c>
      <c r="U22" s="1" t="s">
        <v>604</v>
      </c>
      <c r="V22" s="1" t="s">
        <v>605</v>
      </c>
      <c r="W22" s="1" t="s">
        <v>606</v>
      </c>
      <c r="X22" s="1" t="s">
        <v>607</v>
      </c>
      <c r="Y22" s="1" t="s">
        <v>608</v>
      </c>
      <c r="Z22" s="1">
        <v>10.0</v>
      </c>
      <c r="AA22" s="1">
        <v>2.0</v>
      </c>
      <c r="AB22" s="1">
        <v>2.0</v>
      </c>
      <c r="AC22" s="1">
        <v>2.0</v>
      </c>
      <c r="AD22" s="1">
        <v>7.0</v>
      </c>
      <c r="AE22" s="1" t="s">
        <v>422</v>
      </c>
      <c r="AF22" s="1" t="s">
        <v>423</v>
      </c>
      <c r="AG22" s="1" t="s">
        <v>424</v>
      </c>
      <c r="AH22" s="1" t="s">
        <v>609</v>
      </c>
      <c r="AI22" s="1" t="s">
        <v>68</v>
      </c>
      <c r="AJ22" s="1" t="s">
        <v>68</v>
      </c>
      <c r="AK22" s="1" t="s">
        <v>596</v>
      </c>
      <c r="AL22" s="1" t="s">
        <v>610</v>
      </c>
      <c r="AM22" s="1" t="s">
        <v>611</v>
      </c>
      <c r="AN22" s="1">
        <v>2024.0</v>
      </c>
      <c r="AO22" s="1">
        <v>13.0</v>
      </c>
      <c r="AP22" s="1" t="s">
        <v>68</v>
      </c>
      <c r="AQ22" s="1" t="s">
        <v>68</v>
      </c>
      <c r="AR22" s="1" t="s">
        <v>68</v>
      </c>
      <c r="AS22" s="1" t="s">
        <v>68</v>
      </c>
      <c r="AT22" s="1" t="s">
        <v>68</v>
      </c>
      <c r="AU22" s="1" t="s">
        <v>68</v>
      </c>
      <c r="AV22" s="1" t="s">
        <v>68</v>
      </c>
      <c r="AW22" s="1" t="s">
        <v>612</v>
      </c>
      <c r="AX22" s="1" t="s">
        <v>613</v>
      </c>
      <c r="AY22" s="3" t="str">
        <f>HYPERLINK("http://dx.doi.org/10.1093/gigascience/giae007","http://dx.doi.org/10.1093/gigascience/giae007")</f>
        <v>http://dx.doi.org/10.1093/gigascience/giae007</v>
      </c>
      <c r="AZ22" s="1" t="s">
        <v>68</v>
      </c>
      <c r="BA22" s="1" t="s">
        <v>614</v>
      </c>
      <c r="BB22" s="1">
        <v>3.0</v>
      </c>
      <c r="BC22" s="1" t="s">
        <v>615</v>
      </c>
      <c r="BD22" s="1" t="s">
        <v>92</v>
      </c>
      <c r="BE22" s="1" t="s">
        <v>616</v>
      </c>
      <c r="BF22" s="1" t="s">
        <v>617</v>
      </c>
      <c r="BG22" s="1">
        <v>3.8442146E7</v>
      </c>
      <c r="BH22" s="1" t="s">
        <v>618</v>
      </c>
      <c r="BI22" s="1" t="s">
        <v>68</v>
      </c>
      <c r="BJ22" s="1" t="s">
        <v>68</v>
      </c>
      <c r="BK22" s="1" t="s">
        <v>95</v>
      </c>
      <c r="BL22" s="1" t="s">
        <v>619</v>
      </c>
      <c r="BM22" s="1" t="str">
        <f>HYPERLINK("https%3A%2F%2Fwww.webofscience.com%2Fwos%2Fwoscc%2Ffull-record%2FWOS:001282398500002","View Full Record in Web of Science")</f>
        <v>View Full Record in Web of Science</v>
      </c>
    </row>
    <row r="23" ht="12.75" customHeight="1">
      <c r="A23" s="1" t="s">
        <v>65</v>
      </c>
      <c r="B23" s="1" t="s">
        <v>620</v>
      </c>
      <c r="C23" s="1" t="s">
        <v>621</v>
      </c>
      <c r="D23" s="1" t="s">
        <v>68</v>
      </c>
      <c r="E23" s="1" t="s">
        <v>622</v>
      </c>
      <c r="F23" s="1" t="s">
        <v>623</v>
      </c>
      <c r="G23" s="1" t="s">
        <v>68</v>
      </c>
      <c r="H23" s="1" t="s">
        <v>71</v>
      </c>
      <c r="I23" s="1" t="s">
        <v>597</v>
      </c>
      <c r="J23" s="1" t="s">
        <v>68</v>
      </c>
      <c r="K23" s="1" t="s">
        <v>68</v>
      </c>
      <c r="L23" s="1" t="s">
        <v>68</v>
      </c>
      <c r="M23" s="1" t="s">
        <v>68</v>
      </c>
      <c r="N23" s="1" t="s">
        <v>624</v>
      </c>
      <c r="O23" s="1" t="s">
        <v>625</v>
      </c>
      <c r="P23" s="1" t="s">
        <v>626</v>
      </c>
      <c r="Q23" s="1" t="s">
        <v>627</v>
      </c>
      <c r="R23" s="1" t="s">
        <v>628</v>
      </c>
      <c r="S23" s="1" t="s">
        <v>629</v>
      </c>
      <c r="T23" s="1" t="s">
        <v>630</v>
      </c>
      <c r="U23" s="1" t="s">
        <v>631</v>
      </c>
      <c r="V23" s="1" t="s">
        <v>632</v>
      </c>
      <c r="W23" s="1" t="s">
        <v>633</v>
      </c>
      <c r="X23" s="1" t="s">
        <v>245</v>
      </c>
      <c r="Y23" s="1" t="s">
        <v>634</v>
      </c>
      <c r="Z23" s="1">
        <v>88.0</v>
      </c>
      <c r="AA23" s="1">
        <v>11.0</v>
      </c>
      <c r="AB23" s="1">
        <v>12.0</v>
      </c>
      <c r="AC23" s="1">
        <v>16.0</v>
      </c>
      <c r="AD23" s="1">
        <v>35.0</v>
      </c>
      <c r="AE23" s="1" t="s">
        <v>503</v>
      </c>
      <c r="AF23" s="1" t="s">
        <v>504</v>
      </c>
      <c r="AG23" s="1" t="s">
        <v>505</v>
      </c>
      <c r="AH23" s="1" t="s">
        <v>635</v>
      </c>
      <c r="AI23" s="1" t="s">
        <v>636</v>
      </c>
      <c r="AJ23" s="1" t="s">
        <v>68</v>
      </c>
      <c r="AK23" s="1" t="s">
        <v>637</v>
      </c>
      <c r="AL23" s="1" t="s">
        <v>638</v>
      </c>
      <c r="AM23" s="1" t="s">
        <v>120</v>
      </c>
      <c r="AN23" s="1">
        <v>2024.0</v>
      </c>
      <c r="AO23" s="1">
        <v>51.0</v>
      </c>
      <c r="AP23" s="1">
        <v>12.0</v>
      </c>
      <c r="AQ23" s="1" t="s">
        <v>68</v>
      </c>
      <c r="AR23" s="1" t="s">
        <v>68</v>
      </c>
      <c r="AS23" s="1" t="s">
        <v>68</v>
      </c>
      <c r="AT23" s="1" t="s">
        <v>68</v>
      </c>
      <c r="AU23" s="1">
        <v>2412.0</v>
      </c>
      <c r="AV23" s="1">
        <v>2423.0</v>
      </c>
      <c r="AW23" s="1" t="s">
        <v>68</v>
      </c>
      <c r="AX23" s="1" t="s">
        <v>639</v>
      </c>
      <c r="AY23" s="3" t="str">
        <f>HYPERLINK("http://dx.doi.org/10.1111/jbi.15000","http://dx.doi.org/10.1111/jbi.15000")</f>
        <v>http://dx.doi.org/10.1111/jbi.15000</v>
      </c>
      <c r="AZ23" s="1" t="s">
        <v>68</v>
      </c>
      <c r="BA23" s="1" t="s">
        <v>640</v>
      </c>
      <c r="BB23" s="1">
        <v>12.0</v>
      </c>
      <c r="BC23" s="1" t="s">
        <v>641</v>
      </c>
      <c r="BD23" s="1" t="s">
        <v>92</v>
      </c>
      <c r="BE23" s="1" t="s">
        <v>642</v>
      </c>
      <c r="BF23" s="1" t="s">
        <v>643</v>
      </c>
      <c r="BG23" s="1" t="s">
        <v>68</v>
      </c>
      <c r="BH23" s="1" t="s">
        <v>644</v>
      </c>
      <c r="BI23" s="1" t="s">
        <v>68</v>
      </c>
      <c r="BJ23" s="1" t="s">
        <v>68</v>
      </c>
      <c r="BK23" s="1" t="s">
        <v>95</v>
      </c>
      <c r="BL23" s="1" t="s">
        <v>645</v>
      </c>
      <c r="BM23" s="1" t="str">
        <f>HYPERLINK("https%3A%2F%2Fwww.webofscience.com%2Fwos%2Fwoscc%2Ffull-record%2FWOS:001303969600001","View Full Record in Web of Science")</f>
        <v>View Full Record in Web of Science</v>
      </c>
    </row>
    <row r="24" ht="12.75" customHeight="1">
      <c r="A24" s="1" t="s">
        <v>65</v>
      </c>
      <c r="B24" s="1" t="s">
        <v>646</v>
      </c>
      <c r="C24" s="1" t="s">
        <v>647</v>
      </c>
      <c r="D24" s="1" t="s">
        <v>68</v>
      </c>
      <c r="E24" s="1" t="s">
        <v>648</v>
      </c>
      <c r="F24" s="1" t="s">
        <v>649</v>
      </c>
      <c r="G24" s="1" t="s">
        <v>68</v>
      </c>
      <c r="H24" s="1" t="s">
        <v>71</v>
      </c>
      <c r="I24" s="1" t="s">
        <v>72</v>
      </c>
      <c r="J24" s="1" t="s">
        <v>68</v>
      </c>
      <c r="K24" s="1" t="s">
        <v>68</v>
      </c>
      <c r="L24" s="1" t="s">
        <v>68</v>
      </c>
      <c r="M24" s="1" t="s">
        <v>68</v>
      </c>
      <c r="N24" s="1" t="s">
        <v>650</v>
      </c>
      <c r="O24" s="1" t="s">
        <v>651</v>
      </c>
      <c r="P24" s="1" t="s">
        <v>652</v>
      </c>
      <c r="Q24" s="1" t="s">
        <v>653</v>
      </c>
      <c r="R24" s="1" t="s">
        <v>654</v>
      </c>
      <c r="S24" s="1" t="s">
        <v>655</v>
      </c>
      <c r="T24" s="1" t="s">
        <v>656</v>
      </c>
      <c r="U24" s="1" t="s">
        <v>657</v>
      </c>
      <c r="V24" s="1" t="s">
        <v>658</v>
      </c>
      <c r="W24" s="1" t="s">
        <v>659</v>
      </c>
      <c r="X24" s="1" t="s">
        <v>660</v>
      </c>
      <c r="Y24" s="1" t="s">
        <v>661</v>
      </c>
      <c r="Z24" s="1">
        <v>53.0</v>
      </c>
      <c r="AA24" s="1">
        <v>9.0</v>
      </c>
      <c r="AB24" s="1">
        <v>11.0</v>
      </c>
      <c r="AC24" s="1">
        <v>0.0</v>
      </c>
      <c r="AD24" s="1">
        <v>18.0</v>
      </c>
      <c r="AE24" s="1" t="s">
        <v>662</v>
      </c>
      <c r="AF24" s="1" t="s">
        <v>663</v>
      </c>
      <c r="AG24" s="1" t="s">
        <v>664</v>
      </c>
      <c r="AH24" s="1" t="s">
        <v>68</v>
      </c>
      <c r="AI24" s="1" t="s">
        <v>665</v>
      </c>
      <c r="AJ24" s="1" t="s">
        <v>68</v>
      </c>
      <c r="AK24" s="1" t="s">
        <v>666</v>
      </c>
      <c r="AL24" s="1" t="s">
        <v>667</v>
      </c>
      <c r="AM24" s="1" t="s">
        <v>668</v>
      </c>
      <c r="AN24" s="1">
        <v>2021.0</v>
      </c>
      <c r="AO24" s="1">
        <v>20.0</v>
      </c>
      <c r="AP24" s="1">
        <v>1.0</v>
      </c>
      <c r="AQ24" s="1" t="s">
        <v>68</v>
      </c>
      <c r="AR24" s="1" t="s">
        <v>68</v>
      </c>
      <c r="AS24" s="1" t="s">
        <v>68</v>
      </c>
      <c r="AT24" s="1" t="s">
        <v>68</v>
      </c>
      <c r="AU24" s="1" t="s">
        <v>68</v>
      </c>
      <c r="AV24" s="1" t="s">
        <v>68</v>
      </c>
      <c r="AW24" s="1">
        <v>36.0</v>
      </c>
      <c r="AX24" s="1" t="s">
        <v>669</v>
      </c>
      <c r="AY24" s="3" t="str">
        <f>HYPERLINK("http://dx.doi.org/10.1186/s12936-020-03579-w","http://dx.doi.org/10.1186/s12936-020-03579-w")</f>
        <v>http://dx.doi.org/10.1186/s12936-020-03579-w</v>
      </c>
      <c r="AZ24" s="1" t="s">
        <v>68</v>
      </c>
      <c r="BA24" s="1" t="s">
        <v>68</v>
      </c>
      <c r="BB24" s="1">
        <v>14.0</v>
      </c>
      <c r="BC24" s="1" t="s">
        <v>670</v>
      </c>
      <c r="BD24" s="1" t="s">
        <v>92</v>
      </c>
      <c r="BE24" s="1" t="s">
        <v>670</v>
      </c>
      <c r="BF24" s="1" t="s">
        <v>671</v>
      </c>
      <c r="BG24" s="1">
        <v>3.3423679E7</v>
      </c>
      <c r="BH24" s="1" t="s">
        <v>672</v>
      </c>
      <c r="BI24" s="1" t="s">
        <v>68</v>
      </c>
      <c r="BJ24" s="1" t="s">
        <v>68</v>
      </c>
      <c r="BK24" s="1" t="s">
        <v>95</v>
      </c>
      <c r="BL24" s="1" t="s">
        <v>673</v>
      </c>
      <c r="BM24" s="1" t="str">
        <f>HYPERLINK("https%3A%2F%2Fwww.webofscience.com%2Fwos%2Fwoscc%2Ffull-record%2FWOS:000606746800001","View Full Record in Web of Science")</f>
        <v>View Full Record in Web of Science</v>
      </c>
    </row>
    <row r="25" ht="12.75" customHeight="1">
      <c r="A25" s="1" t="s">
        <v>65</v>
      </c>
      <c r="B25" s="1" t="s">
        <v>674</v>
      </c>
      <c r="C25" s="1" t="s">
        <v>675</v>
      </c>
      <c r="D25" s="1" t="s">
        <v>68</v>
      </c>
      <c r="E25" s="1" t="s">
        <v>676</v>
      </c>
      <c r="F25" s="1" t="s">
        <v>677</v>
      </c>
      <c r="G25" s="1" t="s">
        <v>68</v>
      </c>
      <c r="H25" s="1" t="s">
        <v>71</v>
      </c>
      <c r="I25" s="1" t="s">
        <v>72</v>
      </c>
      <c r="J25" s="1" t="s">
        <v>68</v>
      </c>
      <c r="K25" s="1" t="s">
        <v>68</v>
      </c>
      <c r="L25" s="1" t="s">
        <v>68</v>
      </c>
      <c r="M25" s="1" t="s">
        <v>68</v>
      </c>
      <c r="N25" s="1" t="s">
        <v>68</v>
      </c>
      <c r="O25" s="1" t="s">
        <v>678</v>
      </c>
      <c r="P25" s="1" t="s">
        <v>68</v>
      </c>
      <c r="Q25" s="1" t="s">
        <v>679</v>
      </c>
      <c r="R25" s="1" t="s">
        <v>680</v>
      </c>
      <c r="S25" s="1" t="s">
        <v>681</v>
      </c>
      <c r="T25" s="1" t="s">
        <v>68</v>
      </c>
      <c r="U25" s="1" t="s">
        <v>682</v>
      </c>
      <c r="V25" s="1" t="s">
        <v>683</v>
      </c>
      <c r="W25" s="1" t="s">
        <v>684</v>
      </c>
      <c r="X25" s="1" t="s">
        <v>685</v>
      </c>
      <c r="Y25" s="1" t="s">
        <v>686</v>
      </c>
      <c r="Z25" s="1">
        <v>30.0</v>
      </c>
      <c r="AA25" s="1">
        <v>5.0</v>
      </c>
      <c r="AB25" s="1">
        <v>7.0</v>
      </c>
      <c r="AC25" s="1">
        <v>0.0</v>
      </c>
      <c r="AD25" s="1">
        <v>15.0</v>
      </c>
      <c r="AE25" s="1" t="s">
        <v>687</v>
      </c>
      <c r="AF25" s="1" t="s">
        <v>688</v>
      </c>
      <c r="AG25" s="1" t="s">
        <v>689</v>
      </c>
      <c r="AH25" s="1" t="s">
        <v>690</v>
      </c>
      <c r="AI25" s="1" t="s">
        <v>691</v>
      </c>
      <c r="AJ25" s="1" t="s">
        <v>68</v>
      </c>
      <c r="AK25" s="1" t="s">
        <v>692</v>
      </c>
      <c r="AL25" s="1" t="s">
        <v>693</v>
      </c>
      <c r="AM25" s="1" t="s">
        <v>694</v>
      </c>
      <c r="AN25" s="1">
        <v>2019.0</v>
      </c>
      <c r="AO25" s="1">
        <v>74.0</v>
      </c>
      <c r="AP25" s="1">
        <v>3.0</v>
      </c>
      <c r="AQ25" s="1" t="s">
        <v>68</v>
      </c>
      <c r="AR25" s="1" t="s">
        <v>68</v>
      </c>
      <c r="AS25" s="1" t="s">
        <v>68</v>
      </c>
      <c r="AT25" s="1" t="s">
        <v>68</v>
      </c>
      <c r="AU25" s="1" t="s">
        <v>695</v>
      </c>
      <c r="AV25" s="1" t="s">
        <v>696</v>
      </c>
      <c r="AW25" s="1" t="s">
        <v>68</v>
      </c>
      <c r="AX25" s="1" t="s">
        <v>697</v>
      </c>
      <c r="AY25" s="3" t="str">
        <f>HYPERLINK("http://dx.doi.org/10.2489/jswc.74.3.49A","http://dx.doi.org/10.2489/jswc.74.3.49A")</f>
        <v>http://dx.doi.org/10.2489/jswc.74.3.49A</v>
      </c>
      <c r="AZ25" s="1" t="s">
        <v>68</v>
      </c>
      <c r="BA25" s="1" t="s">
        <v>68</v>
      </c>
      <c r="BB25" s="1">
        <v>6.0</v>
      </c>
      <c r="BC25" s="1" t="s">
        <v>698</v>
      </c>
      <c r="BD25" s="1" t="s">
        <v>92</v>
      </c>
      <c r="BE25" s="1" t="s">
        <v>699</v>
      </c>
      <c r="BF25" s="1" t="s">
        <v>700</v>
      </c>
      <c r="BG25" s="1" t="s">
        <v>68</v>
      </c>
      <c r="BH25" s="1" t="s">
        <v>701</v>
      </c>
      <c r="BI25" s="1" t="s">
        <v>68</v>
      </c>
      <c r="BJ25" s="1" t="s">
        <v>68</v>
      </c>
      <c r="BK25" s="1" t="s">
        <v>95</v>
      </c>
      <c r="BL25" s="1" t="s">
        <v>702</v>
      </c>
      <c r="BM25" s="1" t="str">
        <f>HYPERLINK("https%3A%2F%2Fwww.webofscience.com%2Fwos%2Fwoscc%2Ffull-record%2FWOS:000467558600002","View Full Record in Web of Science")</f>
        <v>View Full Record in Web of Science</v>
      </c>
    </row>
    <row r="26" ht="12.75" customHeight="1">
      <c r="A26" s="1" t="s">
        <v>65</v>
      </c>
      <c r="B26" s="1" t="s">
        <v>703</v>
      </c>
      <c r="C26" s="1" t="s">
        <v>704</v>
      </c>
      <c r="D26" s="1" t="s">
        <v>68</v>
      </c>
      <c r="E26" s="1" t="s">
        <v>705</v>
      </c>
      <c r="F26" s="1" t="s">
        <v>706</v>
      </c>
      <c r="G26" s="1" t="s">
        <v>68</v>
      </c>
      <c r="H26" s="1" t="s">
        <v>71</v>
      </c>
      <c r="I26" s="1" t="s">
        <v>72</v>
      </c>
      <c r="J26" s="1" t="s">
        <v>68</v>
      </c>
      <c r="K26" s="1" t="s">
        <v>68</v>
      </c>
      <c r="L26" s="1" t="s">
        <v>68</v>
      </c>
      <c r="M26" s="1" t="s">
        <v>68</v>
      </c>
      <c r="N26" s="1" t="s">
        <v>707</v>
      </c>
      <c r="O26" s="1" t="s">
        <v>68</v>
      </c>
      <c r="P26" s="1" t="s">
        <v>708</v>
      </c>
      <c r="Q26" s="1" t="s">
        <v>709</v>
      </c>
      <c r="R26" s="1" t="s">
        <v>710</v>
      </c>
      <c r="S26" s="1" t="s">
        <v>711</v>
      </c>
      <c r="T26" s="1" t="s">
        <v>712</v>
      </c>
      <c r="U26" s="1" t="s">
        <v>713</v>
      </c>
      <c r="V26" s="1" t="s">
        <v>714</v>
      </c>
      <c r="W26" s="1" t="s">
        <v>68</v>
      </c>
      <c r="X26" s="1" t="s">
        <v>68</v>
      </c>
      <c r="Y26" s="1" t="s">
        <v>68</v>
      </c>
      <c r="Z26" s="1">
        <v>9.0</v>
      </c>
      <c r="AA26" s="1">
        <v>8.0</v>
      </c>
      <c r="AB26" s="1">
        <v>9.0</v>
      </c>
      <c r="AC26" s="1">
        <v>0.0</v>
      </c>
      <c r="AD26" s="1">
        <v>17.0</v>
      </c>
      <c r="AE26" s="1" t="s">
        <v>715</v>
      </c>
      <c r="AF26" s="1" t="s">
        <v>716</v>
      </c>
      <c r="AG26" s="1" t="s">
        <v>717</v>
      </c>
      <c r="AH26" s="1" t="s">
        <v>718</v>
      </c>
      <c r="AI26" s="1" t="s">
        <v>719</v>
      </c>
      <c r="AJ26" s="1" t="s">
        <v>68</v>
      </c>
      <c r="AK26" s="1" t="s">
        <v>720</v>
      </c>
      <c r="AL26" s="1" t="s">
        <v>721</v>
      </c>
      <c r="AM26" s="1" t="s">
        <v>68</v>
      </c>
      <c r="AN26" s="1">
        <v>2020.0</v>
      </c>
      <c r="AO26" s="1" t="s">
        <v>68</v>
      </c>
      <c r="AP26" s="1" t="s">
        <v>68</v>
      </c>
      <c r="AQ26" s="1" t="s">
        <v>68</v>
      </c>
      <c r="AR26" s="1" t="s">
        <v>68</v>
      </c>
      <c r="AS26" s="1">
        <v>95.0</v>
      </c>
      <c r="AT26" s="1" t="s">
        <v>68</v>
      </c>
      <c r="AU26" s="1">
        <v>824.0</v>
      </c>
      <c r="AV26" s="1">
        <v>828.0</v>
      </c>
      <c r="AW26" s="1" t="s">
        <v>68</v>
      </c>
      <c r="AX26" s="1" t="s">
        <v>722</v>
      </c>
      <c r="AY26" s="3" t="str">
        <f>HYPERLINK("http://dx.doi.org/10.2112/SI95-160.1","http://dx.doi.org/10.2112/SI95-160.1")</f>
        <v>http://dx.doi.org/10.2112/SI95-160.1</v>
      </c>
      <c r="AZ26" s="1" t="s">
        <v>68</v>
      </c>
      <c r="BA26" s="1" t="s">
        <v>68</v>
      </c>
      <c r="BB26" s="1">
        <v>5.0</v>
      </c>
      <c r="BC26" s="1" t="s">
        <v>723</v>
      </c>
      <c r="BD26" s="1" t="s">
        <v>92</v>
      </c>
      <c r="BE26" s="1" t="s">
        <v>724</v>
      </c>
      <c r="BF26" s="1" t="s">
        <v>725</v>
      </c>
      <c r="BG26" s="1" t="s">
        <v>68</v>
      </c>
      <c r="BH26" s="1" t="s">
        <v>68</v>
      </c>
      <c r="BI26" s="1" t="s">
        <v>68</v>
      </c>
      <c r="BJ26" s="1" t="s">
        <v>68</v>
      </c>
      <c r="BK26" s="1" t="s">
        <v>95</v>
      </c>
      <c r="BL26" s="1" t="s">
        <v>726</v>
      </c>
      <c r="BM26" s="1" t="str">
        <f>HYPERLINK("https%3A%2F%2Fwww.webofscience.com%2Fwos%2Fwoscc%2Ffull-record%2FWOS:000537556600154","View Full Record in Web of Science")</f>
        <v>View Full Record in Web of Science</v>
      </c>
    </row>
    <row r="27" ht="12.75" customHeight="1">
      <c r="A27" s="1" t="s">
        <v>65</v>
      </c>
      <c r="B27" s="1" t="s">
        <v>727</v>
      </c>
      <c r="C27" s="1" t="s">
        <v>728</v>
      </c>
      <c r="D27" s="1" t="s">
        <v>68</v>
      </c>
      <c r="E27" s="1" t="s">
        <v>729</v>
      </c>
      <c r="F27" s="1" t="s">
        <v>730</v>
      </c>
      <c r="G27" s="1" t="s">
        <v>68</v>
      </c>
      <c r="H27" s="1" t="s">
        <v>71</v>
      </c>
      <c r="I27" s="1" t="s">
        <v>597</v>
      </c>
      <c r="J27" s="1" t="s">
        <v>68</v>
      </c>
      <c r="K27" s="1" t="s">
        <v>68</v>
      </c>
      <c r="L27" s="1" t="s">
        <v>68</v>
      </c>
      <c r="M27" s="1" t="s">
        <v>68</v>
      </c>
      <c r="N27" s="1" t="s">
        <v>68</v>
      </c>
      <c r="O27" s="1" t="s">
        <v>68</v>
      </c>
      <c r="P27" s="1" t="s">
        <v>68</v>
      </c>
      <c r="Q27" s="1" t="s">
        <v>731</v>
      </c>
      <c r="R27" s="1" t="s">
        <v>732</v>
      </c>
      <c r="S27" s="1" t="s">
        <v>733</v>
      </c>
      <c r="T27" s="1" t="s">
        <v>68</v>
      </c>
      <c r="U27" s="1" t="s">
        <v>734</v>
      </c>
      <c r="V27" s="1" t="s">
        <v>68</v>
      </c>
      <c r="W27" s="1" t="s">
        <v>68</v>
      </c>
      <c r="X27" s="1" t="s">
        <v>68</v>
      </c>
      <c r="Y27" s="1" t="s">
        <v>68</v>
      </c>
      <c r="Z27" s="1">
        <v>0.0</v>
      </c>
      <c r="AA27" s="1">
        <v>1.0</v>
      </c>
      <c r="AB27" s="1">
        <v>1.0</v>
      </c>
      <c r="AC27" s="1">
        <v>0.0</v>
      </c>
      <c r="AD27" s="1">
        <v>7.0</v>
      </c>
      <c r="AE27" s="1" t="s">
        <v>735</v>
      </c>
      <c r="AF27" s="1" t="s">
        <v>736</v>
      </c>
      <c r="AG27" s="1" t="s">
        <v>737</v>
      </c>
      <c r="AH27" s="1" t="s">
        <v>68</v>
      </c>
      <c r="AI27" s="1" t="s">
        <v>738</v>
      </c>
      <c r="AJ27" s="1" t="s">
        <v>68</v>
      </c>
      <c r="AK27" s="1" t="s">
        <v>730</v>
      </c>
      <c r="AL27" s="1" t="s">
        <v>739</v>
      </c>
      <c r="AM27" s="1" t="s">
        <v>740</v>
      </c>
      <c r="AN27" s="1">
        <v>2021.0</v>
      </c>
      <c r="AO27" s="1">
        <v>24.0</v>
      </c>
      <c r="AP27" s="1">
        <v>11.0</v>
      </c>
      <c r="AQ27" s="1" t="s">
        <v>68</v>
      </c>
      <c r="AR27" s="1" t="s">
        <v>68</v>
      </c>
      <c r="AS27" s="1" t="s">
        <v>68</v>
      </c>
      <c r="AT27" s="1" t="s">
        <v>68</v>
      </c>
      <c r="AU27" s="1" t="s">
        <v>68</v>
      </c>
      <c r="AV27" s="1" t="s">
        <v>68</v>
      </c>
      <c r="AW27" s="1">
        <v>103267.0</v>
      </c>
      <c r="AX27" s="1" t="s">
        <v>741</v>
      </c>
      <c r="AY27" s="3" t="str">
        <f>HYPERLINK("http://dx.doi.org/10.1016/j.isci.2021.103267","http://dx.doi.org/10.1016/j.isci.2021.103267")</f>
        <v>http://dx.doi.org/10.1016/j.isci.2021.103267</v>
      </c>
      <c r="AZ27" s="1" t="s">
        <v>68</v>
      </c>
      <c r="BA27" s="1" t="s">
        <v>68</v>
      </c>
      <c r="BB27" s="1">
        <v>3.0</v>
      </c>
      <c r="BC27" s="1" t="s">
        <v>742</v>
      </c>
      <c r="BD27" s="1" t="s">
        <v>92</v>
      </c>
      <c r="BE27" s="1" t="s">
        <v>743</v>
      </c>
      <c r="BF27" s="1" t="s">
        <v>744</v>
      </c>
      <c r="BG27" s="1">
        <v>3.4761187E7</v>
      </c>
      <c r="BH27" s="1" t="s">
        <v>94</v>
      </c>
      <c r="BI27" s="1" t="s">
        <v>68</v>
      </c>
      <c r="BJ27" s="1" t="s">
        <v>68</v>
      </c>
      <c r="BK27" s="1" t="s">
        <v>95</v>
      </c>
      <c r="BL27" s="1" t="s">
        <v>745</v>
      </c>
      <c r="BM27" s="1" t="str">
        <f>HYPERLINK("https%3A%2F%2Fwww.webofscience.com%2Fwos%2Fwoscc%2Ffull-record%2FWOS:000730109700007","View Full Record in Web of Science")</f>
        <v>View Full Record in Web of Science</v>
      </c>
    </row>
    <row r="28" ht="12.75" customHeight="1">
      <c r="A28" s="1" t="s">
        <v>65</v>
      </c>
      <c r="B28" s="1" t="s">
        <v>746</v>
      </c>
      <c r="C28" s="1" t="s">
        <v>747</v>
      </c>
      <c r="D28" s="1" t="s">
        <v>68</v>
      </c>
      <c r="E28" s="1" t="s">
        <v>748</v>
      </c>
      <c r="F28" s="1" t="s">
        <v>749</v>
      </c>
      <c r="G28" s="1" t="s">
        <v>68</v>
      </c>
      <c r="H28" s="1" t="s">
        <v>71</v>
      </c>
      <c r="I28" s="1" t="s">
        <v>72</v>
      </c>
      <c r="J28" s="1" t="s">
        <v>68</v>
      </c>
      <c r="K28" s="1" t="s">
        <v>68</v>
      </c>
      <c r="L28" s="1" t="s">
        <v>68</v>
      </c>
      <c r="M28" s="1" t="s">
        <v>68</v>
      </c>
      <c r="N28" s="1" t="s">
        <v>750</v>
      </c>
      <c r="O28" s="1" t="s">
        <v>751</v>
      </c>
      <c r="P28" s="1" t="s">
        <v>752</v>
      </c>
      <c r="Q28" s="1" t="s">
        <v>753</v>
      </c>
      <c r="R28" s="1" t="s">
        <v>754</v>
      </c>
      <c r="S28" s="1" t="s">
        <v>755</v>
      </c>
      <c r="T28" s="1" t="s">
        <v>756</v>
      </c>
      <c r="U28" s="1" t="s">
        <v>68</v>
      </c>
      <c r="V28" s="1" t="s">
        <v>757</v>
      </c>
      <c r="W28" s="1" t="s">
        <v>68</v>
      </c>
      <c r="X28" s="1" t="s">
        <v>68</v>
      </c>
      <c r="Y28" s="1" t="s">
        <v>68</v>
      </c>
      <c r="Z28" s="1">
        <v>68.0</v>
      </c>
      <c r="AA28" s="1">
        <v>34.0</v>
      </c>
      <c r="AB28" s="1">
        <v>42.0</v>
      </c>
      <c r="AC28" s="1">
        <v>1.0</v>
      </c>
      <c r="AD28" s="1">
        <v>73.0</v>
      </c>
      <c r="AE28" s="1" t="s">
        <v>758</v>
      </c>
      <c r="AF28" s="1" t="s">
        <v>759</v>
      </c>
      <c r="AG28" s="1" t="s">
        <v>760</v>
      </c>
      <c r="AH28" s="1" t="s">
        <v>761</v>
      </c>
      <c r="AI28" s="1" t="s">
        <v>762</v>
      </c>
      <c r="AJ28" s="1" t="s">
        <v>68</v>
      </c>
      <c r="AK28" s="1" t="s">
        <v>763</v>
      </c>
      <c r="AL28" s="1" t="s">
        <v>764</v>
      </c>
      <c r="AM28" s="1" t="s">
        <v>68</v>
      </c>
      <c r="AN28" s="1">
        <v>2018.0</v>
      </c>
      <c r="AO28" s="1">
        <v>45.0</v>
      </c>
      <c r="AP28" s="1">
        <v>2.0</v>
      </c>
      <c r="AQ28" s="1" t="s">
        <v>68</v>
      </c>
      <c r="AR28" s="1" t="s">
        <v>68</v>
      </c>
      <c r="AS28" s="1" t="s">
        <v>68</v>
      </c>
      <c r="AT28" s="1" t="s">
        <v>68</v>
      </c>
      <c r="AU28" s="1">
        <v>176.0</v>
      </c>
      <c r="AV28" s="1">
        <v>184.0</v>
      </c>
      <c r="AW28" s="1" t="s">
        <v>68</v>
      </c>
      <c r="AX28" s="1" t="s">
        <v>765</v>
      </c>
      <c r="AY28" s="3" t="str">
        <f>HYPERLINK("http://dx.doi.org/10.1071/WR17141","http://dx.doi.org/10.1071/WR17141")</f>
        <v>http://dx.doi.org/10.1071/WR17141</v>
      </c>
      <c r="AZ28" s="1" t="s">
        <v>68</v>
      </c>
      <c r="BA28" s="1" t="s">
        <v>68</v>
      </c>
      <c r="BB28" s="1">
        <v>9.0</v>
      </c>
      <c r="BC28" s="1" t="s">
        <v>766</v>
      </c>
      <c r="BD28" s="1" t="s">
        <v>92</v>
      </c>
      <c r="BE28" s="1" t="s">
        <v>767</v>
      </c>
      <c r="BF28" s="1" t="s">
        <v>768</v>
      </c>
      <c r="BG28" s="1" t="s">
        <v>68</v>
      </c>
      <c r="BH28" s="1" t="s">
        <v>68</v>
      </c>
      <c r="BI28" s="1" t="s">
        <v>68</v>
      </c>
      <c r="BJ28" s="1" t="s">
        <v>68</v>
      </c>
      <c r="BK28" s="1" t="s">
        <v>95</v>
      </c>
      <c r="BL28" s="1" t="s">
        <v>769</v>
      </c>
      <c r="BM28" s="1" t="str">
        <f>HYPERLINK("https%3A%2F%2Fwww.webofscience.com%2Fwos%2Fwoscc%2Ffull-record%2FWOS:000431735700007","View Full Record in Web of Science")</f>
        <v>View Full Record in Web of Science</v>
      </c>
    </row>
    <row r="29" ht="12.75" customHeight="1">
      <c r="A29" s="1" t="s">
        <v>65</v>
      </c>
      <c r="B29" s="1" t="s">
        <v>770</v>
      </c>
      <c r="C29" s="1" t="s">
        <v>771</v>
      </c>
      <c r="D29" s="1" t="s">
        <v>68</v>
      </c>
      <c r="E29" s="1" t="s">
        <v>772</v>
      </c>
      <c r="F29" s="1" t="s">
        <v>773</v>
      </c>
      <c r="G29" s="1" t="s">
        <v>68</v>
      </c>
      <c r="H29" s="1" t="s">
        <v>71</v>
      </c>
      <c r="I29" s="1" t="s">
        <v>72</v>
      </c>
      <c r="J29" s="1" t="s">
        <v>68</v>
      </c>
      <c r="K29" s="1" t="s">
        <v>68</v>
      </c>
      <c r="L29" s="1" t="s">
        <v>68</v>
      </c>
      <c r="M29" s="1" t="s">
        <v>68</v>
      </c>
      <c r="N29" s="1" t="s">
        <v>68</v>
      </c>
      <c r="O29" s="1" t="s">
        <v>774</v>
      </c>
      <c r="P29" s="1" t="s">
        <v>775</v>
      </c>
      <c r="Q29" s="1" t="s">
        <v>776</v>
      </c>
      <c r="R29" s="1" t="s">
        <v>777</v>
      </c>
      <c r="S29" s="1" t="s">
        <v>778</v>
      </c>
      <c r="T29" s="1" t="s">
        <v>779</v>
      </c>
      <c r="U29" s="1" t="s">
        <v>780</v>
      </c>
      <c r="V29" s="1" t="s">
        <v>781</v>
      </c>
      <c r="W29" s="1" t="s">
        <v>782</v>
      </c>
      <c r="X29" s="1" t="s">
        <v>783</v>
      </c>
      <c r="Y29" s="1" t="s">
        <v>68</v>
      </c>
      <c r="Z29" s="1">
        <v>7.0</v>
      </c>
      <c r="AA29" s="1">
        <v>99.0</v>
      </c>
      <c r="AB29" s="1">
        <v>123.0</v>
      </c>
      <c r="AC29" s="1">
        <v>2.0</v>
      </c>
      <c r="AD29" s="1">
        <v>113.0</v>
      </c>
      <c r="AE29" s="1" t="s">
        <v>784</v>
      </c>
      <c r="AF29" s="1" t="s">
        <v>785</v>
      </c>
      <c r="AG29" s="1" t="s">
        <v>786</v>
      </c>
      <c r="AH29" s="1" t="s">
        <v>787</v>
      </c>
      <c r="AI29" s="1" t="s">
        <v>68</v>
      </c>
      <c r="AJ29" s="1" t="s">
        <v>68</v>
      </c>
      <c r="AK29" s="1" t="s">
        <v>788</v>
      </c>
      <c r="AL29" s="1" t="s">
        <v>789</v>
      </c>
      <c r="AM29" s="1" t="s">
        <v>790</v>
      </c>
      <c r="AN29" s="1">
        <v>2012.0</v>
      </c>
      <c r="AO29" s="1">
        <v>10.0</v>
      </c>
      <c r="AP29" s="1">
        <v>6.0</v>
      </c>
      <c r="AQ29" s="1" t="s">
        <v>68</v>
      </c>
      <c r="AR29" s="1" t="s">
        <v>68</v>
      </c>
      <c r="AS29" s="1" t="s">
        <v>563</v>
      </c>
      <c r="AT29" s="1" t="s">
        <v>68</v>
      </c>
      <c r="AU29" s="1">
        <v>332.0</v>
      </c>
      <c r="AV29" s="1">
        <v>334.0</v>
      </c>
      <c r="AW29" s="1" t="s">
        <v>68</v>
      </c>
      <c r="AX29" s="1" t="s">
        <v>791</v>
      </c>
      <c r="AY29" s="3" t="str">
        <f>HYPERLINK("http://dx.doi.org/10.1890/110266","http://dx.doi.org/10.1890/110266")</f>
        <v>http://dx.doi.org/10.1890/110266</v>
      </c>
      <c r="AZ29" s="1" t="s">
        <v>68</v>
      </c>
      <c r="BA29" s="1" t="s">
        <v>68</v>
      </c>
      <c r="BB29" s="1">
        <v>3.0</v>
      </c>
      <c r="BC29" s="1" t="s">
        <v>792</v>
      </c>
      <c r="BD29" s="1" t="s">
        <v>92</v>
      </c>
      <c r="BE29" s="1" t="s">
        <v>333</v>
      </c>
      <c r="BF29" s="1" t="s">
        <v>793</v>
      </c>
      <c r="BG29" s="1" t="s">
        <v>68</v>
      </c>
      <c r="BH29" s="1" t="s">
        <v>68</v>
      </c>
      <c r="BI29" s="1" t="s">
        <v>68</v>
      </c>
      <c r="BJ29" s="1" t="s">
        <v>68</v>
      </c>
      <c r="BK29" s="1" t="s">
        <v>95</v>
      </c>
      <c r="BL29" s="1" t="s">
        <v>794</v>
      </c>
      <c r="BM29" s="1" t="str">
        <f>HYPERLINK("https%3A%2F%2Fwww.webofscience.com%2Fwos%2Fwoscc%2Ffull-record%2FWOS:000307146600014","View Full Record in Web of Science")</f>
        <v>View Full Record in Web of Science</v>
      </c>
    </row>
    <row r="30" ht="12.75" customHeight="1">
      <c r="A30" s="1" t="s">
        <v>65</v>
      </c>
      <c r="B30" s="1" t="s">
        <v>795</v>
      </c>
      <c r="C30" s="1" t="s">
        <v>796</v>
      </c>
      <c r="D30" s="1" t="s">
        <v>68</v>
      </c>
      <c r="E30" s="1" t="s">
        <v>797</v>
      </c>
      <c r="F30" s="1" t="s">
        <v>798</v>
      </c>
      <c r="G30" s="1" t="s">
        <v>68</v>
      </c>
      <c r="H30" s="1" t="s">
        <v>71</v>
      </c>
      <c r="I30" s="1" t="s">
        <v>72</v>
      </c>
      <c r="J30" s="1" t="s">
        <v>68</v>
      </c>
      <c r="K30" s="1" t="s">
        <v>68</v>
      </c>
      <c r="L30" s="1" t="s">
        <v>68</v>
      </c>
      <c r="M30" s="1" t="s">
        <v>68</v>
      </c>
      <c r="N30" s="1" t="s">
        <v>799</v>
      </c>
      <c r="O30" s="1" t="s">
        <v>800</v>
      </c>
      <c r="P30" s="1" t="s">
        <v>801</v>
      </c>
      <c r="Q30" s="1" t="s">
        <v>802</v>
      </c>
      <c r="R30" s="1" t="s">
        <v>803</v>
      </c>
      <c r="S30" s="1" t="s">
        <v>804</v>
      </c>
      <c r="T30" s="1" t="s">
        <v>805</v>
      </c>
      <c r="U30" s="1" t="s">
        <v>806</v>
      </c>
      <c r="V30" s="1" t="s">
        <v>807</v>
      </c>
      <c r="W30" s="1" t="s">
        <v>808</v>
      </c>
      <c r="X30" s="1" t="s">
        <v>809</v>
      </c>
      <c r="Y30" s="1" t="s">
        <v>810</v>
      </c>
      <c r="Z30" s="1">
        <v>75.0</v>
      </c>
      <c r="AA30" s="1">
        <v>595.0</v>
      </c>
      <c r="AB30" s="1">
        <v>716.0</v>
      </c>
      <c r="AC30" s="1">
        <v>7.0</v>
      </c>
      <c r="AD30" s="1">
        <v>273.0</v>
      </c>
      <c r="AE30" s="1" t="s">
        <v>811</v>
      </c>
      <c r="AF30" s="1" t="s">
        <v>423</v>
      </c>
      <c r="AG30" s="1" t="s">
        <v>812</v>
      </c>
      <c r="AH30" s="1" t="s">
        <v>813</v>
      </c>
      <c r="AI30" s="1" t="s">
        <v>814</v>
      </c>
      <c r="AJ30" s="1" t="s">
        <v>68</v>
      </c>
      <c r="AK30" s="1" t="s">
        <v>815</v>
      </c>
      <c r="AL30" s="1" t="s">
        <v>816</v>
      </c>
      <c r="AM30" s="1" t="s">
        <v>68</v>
      </c>
      <c r="AN30" s="1">
        <v>2017.0</v>
      </c>
      <c r="AO30" s="1">
        <v>213.0</v>
      </c>
      <c r="AP30" s="1" t="s">
        <v>68</v>
      </c>
      <c r="AQ30" s="1" t="s">
        <v>817</v>
      </c>
      <c r="AR30" s="1" t="s">
        <v>68</v>
      </c>
      <c r="AS30" s="1" t="s">
        <v>563</v>
      </c>
      <c r="AT30" s="1" t="s">
        <v>68</v>
      </c>
      <c r="AU30" s="1">
        <v>280.0</v>
      </c>
      <c r="AV30" s="1">
        <v>294.0</v>
      </c>
      <c r="AW30" s="1" t="s">
        <v>68</v>
      </c>
      <c r="AX30" s="1" t="s">
        <v>818</v>
      </c>
      <c r="AY30" s="3" t="str">
        <f>HYPERLINK("http://dx.doi.org/10.1016/j.biocon.2016.09.004","http://dx.doi.org/10.1016/j.biocon.2016.09.004")</f>
        <v>http://dx.doi.org/10.1016/j.biocon.2016.09.004</v>
      </c>
      <c r="AZ30" s="1" t="s">
        <v>68</v>
      </c>
      <c r="BA30" s="1" t="s">
        <v>68</v>
      </c>
      <c r="BB30" s="1">
        <v>15.0</v>
      </c>
      <c r="BC30" s="1" t="s">
        <v>122</v>
      </c>
      <c r="BD30" s="1" t="s">
        <v>92</v>
      </c>
      <c r="BE30" s="1" t="s">
        <v>123</v>
      </c>
      <c r="BF30" s="1" t="s">
        <v>819</v>
      </c>
      <c r="BG30" s="1" t="s">
        <v>68</v>
      </c>
      <c r="BH30" s="1" t="s">
        <v>644</v>
      </c>
      <c r="BI30" s="1" t="s">
        <v>820</v>
      </c>
      <c r="BJ30" s="1" t="s">
        <v>821</v>
      </c>
      <c r="BK30" s="1" t="s">
        <v>95</v>
      </c>
      <c r="BL30" s="1" t="s">
        <v>822</v>
      </c>
      <c r="BM30" s="1" t="str">
        <f>HYPERLINK("https%3A%2F%2Fwww.webofscience.com%2Fwos%2Fwoscc%2Ffull-record%2FWOS:000410011900006","View Full Record in Web of Science")</f>
        <v>View Full Record in Web of Science</v>
      </c>
    </row>
    <row r="31" ht="12.75" customHeight="1">
      <c r="A31" s="1" t="s">
        <v>65</v>
      </c>
      <c r="B31" s="1" t="s">
        <v>823</v>
      </c>
      <c r="C31" s="1" t="s">
        <v>824</v>
      </c>
      <c r="D31" s="1" t="s">
        <v>68</v>
      </c>
      <c r="E31" s="1" t="s">
        <v>825</v>
      </c>
      <c r="F31" s="1" t="s">
        <v>826</v>
      </c>
      <c r="G31" s="1" t="s">
        <v>68</v>
      </c>
      <c r="H31" s="1" t="s">
        <v>71</v>
      </c>
      <c r="I31" s="1" t="s">
        <v>72</v>
      </c>
      <c r="J31" s="1" t="s">
        <v>68</v>
      </c>
      <c r="K31" s="1" t="s">
        <v>68</v>
      </c>
      <c r="L31" s="1" t="s">
        <v>68</v>
      </c>
      <c r="M31" s="1" t="s">
        <v>68</v>
      </c>
      <c r="N31" s="1" t="s">
        <v>68</v>
      </c>
      <c r="O31" s="1" t="s">
        <v>827</v>
      </c>
      <c r="P31" s="1" t="s">
        <v>828</v>
      </c>
      <c r="Q31" s="1" t="s">
        <v>829</v>
      </c>
      <c r="R31" s="1" t="s">
        <v>830</v>
      </c>
      <c r="S31" s="1" t="s">
        <v>831</v>
      </c>
      <c r="T31" s="1" t="s">
        <v>832</v>
      </c>
      <c r="U31" s="1" t="s">
        <v>833</v>
      </c>
      <c r="V31" s="1" t="s">
        <v>834</v>
      </c>
      <c r="W31" s="1" t="s">
        <v>835</v>
      </c>
      <c r="X31" s="1" t="s">
        <v>836</v>
      </c>
      <c r="Y31" s="1" t="s">
        <v>837</v>
      </c>
      <c r="Z31" s="1">
        <v>49.0</v>
      </c>
      <c r="AA31" s="1">
        <v>54.0</v>
      </c>
      <c r="AB31" s="1">
        <v>61.0</v>
      </c>
      <c r="AC31" s="1">
        <v>1.0</v>
      </c>
      <c r="AD31" s="1">
        <v>29.0</v>
      </c>
      <c r="AE31" s="1" t="s">
        <v>838</v>
      </c>
      <c r="AF31" s="1" t="s">
        <v>839</v>
      </c>
      <c r="AG31" s="1" t="s">
        <v>840</v>
      </c>
      <c r="AH31" s="1" t="s">
        <v>841</v>
      </c>
      <c r="AI31" s="1" t="s">
        <v>68</v>
      </c>
      <c r="AJ31" s="1" t="s">
        <v>68</v>
      </c>
      <c r="AK31" s="1" t="s">
        <v>842</v>
      </c>
      <c r="AL31" s="1" t="s">
        <v>843</v>
      </c>
      <c r="AM31" s="1" t="s">
        <v>844</v>
      </c>
      <c r="AN31" s="1">
        <v>2021.0</v>
      </c>
      <c r="AO31" s="1">
        <v>11.0</v>
      </c>
      <c r="AP31" s="1">
        <v>1.0</v>
      </c>
      <c r="AQ31" s="1" t="s">
        <v>68</v>
      </c>
      <c r="AR31" s="1" t="s">
        <v>68</v>
      </c>
      <c r="AS31" s="1" t="s">
        <v>68</v>
      </c>
      <c r="AT31" s="1" t="s">
        <v>68</v>
      </c>
      <c r="AU31" s="1" t="s">
        <v>68</v>
      </c>
      <c r="AV31" s="1" t="s">
        <v>68</v>
      </c>
      <c r="AW31" s="1">
        <v>4718.0</v>
      </c>
      <c r="AX31" s="1" t="s">
        <v>845</v>
      </c>
      <c r="AY31" s="3" t="str">
        <f>HYPERLINK("http://dx.doi.org/10.1038/s41598-021-83657-4","http://dx.doi.org/10.1038/s41598-021-83657-4")</f>
        <v>http://dx.doi.org/10.1038/s41598-021-83657-4</v>
      </c>
      <c r="AZ31" s="1" t="s">
        <v>68</v>
      </c>
      <c r="BA31" s="1" t="s">
        <v>68</v>
      </c>
      <c r="BB31" s="1">
        <v>12.0</v>
      </c>
      <c r="BC31" s="1" t="s">
        <v>742</v>
      </c>
      <c r="BD31" s="1" t="s">
        <v>92</v>
      </c>
      <c r="BE31" s="1" t="s">
        <v>743</v>
      </c>
      <c r="BF31" s="1" t="s">
        <v>846</v>
      </c>
      <c r="BG31" s="1">
        <v>3.3633197E7</v>
      </c>
      <c r="BH31" s="1" t="s">
        <v>847</v>
      </c>
      <c r="BI31" s="1" t="s">
        <v>68</v>
      </c>
      <c r="BJ31" s="1" t="s">
        <v>68</v>
      </c>
      <c r="BK31" s="1" t="s">
        <v>95</v>
      </c>
      <c r="BL31" s="1" t="s">
        <v>848</v>
      </c>
      <c r="BM31" s="1" t="str">
        <f>HYPERLINK("https%3A%2F%2Fwww.webofscience.com%2Fwos%2Fwoscc%2Ffull-record%2FWOS:000626621800078","View Full Record in Web of Science")</f>
        <v>View Full Record in Web of Science</v>
      </c>
    </row>
    <row r="32" ht="12.75" customHeight="1">
      <c r="A32" s="1" t="s">
        <v>65</v>
      </c>
      <c r="B32" s="1" t="s">
        <v>849</v>
      </c>
      <c r="C32" s="1" t="s">
        <v>850</v>
      </c>
      <c r="D32" s="1" t="s">
        <v>68</v>
      </c>
      <c r="E32" s="1" t="s">
        <v>851</v>
      </c>
      <c r="F32" s="1" t="s">
        <v>749</v>
      </c>
      <c r="G32" s="1" t="s">
        <v>68</v>
      </c>
      <c r="H32" s="1" t="s">
        <v>71</v>
      </c>
      <c r="I32" s="1" t="s">
        <v>72</v>
      </c>
      <c r="J32" s="1" t="s">
        <v>68</v>
      </c>
      <c r="K32" s="1" t="s">
        <v>68</v>
      </c>
      <c r="L32" s="1" t="s">
        <v>68</v>
      </c>
      <c r="M32" s="1" t="s">
        <v>68</v>
      </c>
      <c r="N32" s="1" t="s">
        <v>852</v>
      </c>
      <c r="O32" s="1" t="s">
        <v>68</v>
      </c>
      <c r="P32" s="1" t="s">
        <v>853</v>
      </c>
      <c r="Q32" s="1" t="s">
        <v>854</v>
      </c>
      <c r="R32" s="1" t="s">
        <v>855</v>
      </c>
      <c r="S32" s="1" t="s">
        <v>856</v>
      </c>
      <c r="T32" s="1" t="s">
        <v>857</v>
      </c>
      <c r="U32" s="1" t="s">
        <v>68</v>
      </c>
      <c r="V32" s="1" t="s">
        <v>858</v>
      </c>
      <c r="W32" s="1" t="s">
        <v>859</v>
      </c>
      <c r="X32" s="1" t="s">
        <v>860</v>
      </c>
      <c r="Y32" s="1" t="s">
        <v>861</v>
      </c>
      <c r="Z32" s="1">
        <v>37.0</v>
      </c>
      <c r="AA32" s="1">
        <v>4.0</v>
      </c>
      <c r="AB32" s="1">
        <v>5.0</v>
      </c>
      <c r="AC32" s="1">
        <v>2.0</v>
      </c>
      <c r="AD32" s="1">
        <v>8.0</v>
      </c>
      <c r="AE32" s="1" t="s">
        <v>758</v>
      </c>
      <c r="AF32" s="1" t="s">
        <v>862</v>
      </c>
      <c r="AG32" s="1" t="s">
        <v>863</v>
      </c>
      <c r="AH32" s="1" t="s">
        <v>761</v>
      </c>
      <c r="AI32" s="1" t="s">
        <v>762</v>
      </c>
      <c r="AJ32" s="1" t="s">
        <v>68</v>
      </c>
      <c r="AK32" s="1" t="s">
        <v>763</v>
      </c>
      <c r="AL32" s="1" t="s">
        <v>764</v>
      </c>
      <c r="AM32" s="1" t="s">
        <v>68</v>
      </c>
      <c r="AN32" s="1">
        <v>2024.0</v>
      </c>
      <c r="AO32" s="1">
        <v>51.0</v>
      </c>
      <c r="AP32" s="1">
        <v>7.0</v>
      </c>
      <c r="AQ32" s="1" t="s">
        <v>68</v>
      </c>
      <c r="AR32" s="1" t="s">
        <v>68</v>
      </c>
      <c r="AS32" s="1" t="s">
        <v>68</v>
      </c>
      <c r="AT32" s="1" t="s">
        <v>68</v>
      </c>
      <c r="AU32" s="1" t="s">
        <v>68</v>
      </c>
      <c r="AV32" s="1" t="s">
        <v>68</v>
      </c>
      <c r="AW32" s="1" t="s">
        <v>864</v>
      </c>
      <c r="AX32" s="1" t="s">
        <v>865</v>
      </c>
      <c r="AY32" s="3" t="str">
        <f>HYPERLINK("http://dx.doi.org/10.1071/WR24046","http://dx.doi.org/10.1071/WR24046")</f>
        <v>http://dx.doi.org/10.1071/WR24046</v>
      </c>
      <c r="AZ32" s="1" t="s">
        <v>68</v>
      </c>
      <c r="BA32" s="1" t="s">
        <v>68</v>
      </c>
      <c r="BB32" s="1">
        <v>9.0</v>
      </c>
      <c r="BC32" s="1" t="s">
        <v>766</v>
      </c>
      <c r="BD32" s="1" t="s">
        <v>92</v>
      </c>
      <c r="BE32" s="1" t="s">
        <v>767</v>
      </c>
      <c r="BF32" s="1" t="s">
        <v>866</v>
      </c>
      <c r="BG32" s="1" t="s">
        <v>68</v>
      </c>
      <c r="BH32" s="1" t="s">
        <v>867</v>
      </c>
      <c r="BI32" s="1" t="s">
        <v>68</v>
      </c>
      <c r="BJ32" s="1" t="s">
        <v>68</v>
      </c>
      <c r="BK32" s="1" t="s">
        <v>95</v>
      </c>
      <c r="BL32" s="1" t="s">
        <v>868</v>
      </c>
      <c r="BM32" s="1" t="str">
        <f>HYPERLINK("https%3A%2F%2Fwww.webofscience.com%2Fwos%2Fwoscc%2Ffull-record%2FWOS:001253429400001","View Full Record in Web of Science")</f>
        <v>View Full Record in Web of Science</v>
      </c>
    </row>
    <row r="33" ht="12.75" customHeight="1">
      <c r="A33" s="1" t="s">
        <v>65</v>
      </c>
      <c r="B33" s="1" t="s">
        <v>869</v>
      </c>
      <c r="C33" s="1" t="s">
        <v>870</v>
      </c>
      <c r="D33" s="1" t="s">
        <v>68</v>
      </c>
      <c r="E33" s="1" t="s">
        <v>871</v>
      </c>
      <c r="F33" s="1" t="s">
        <v>872</v>
      </c>
      <c r="G33" s="1" t="s">
        <v>68</v>
      </c>
      <c r="H33" s="1" t="s">
        <v>71</v>
      </c>
      <c r="I33" s="1" t="s">
        <v>101</v>
      </c>
      <c r="J33" s="1" t="s">
        <v>68</v>
      </c>
      <c r="K33" s="1" t="s">
        <v>68</v>
      </c>
      <c r="L33" s="1" t="s">
        <v>68</v>
      </c>
      <c r="M33" s="1" t="s">
        <v>68</v>
      </c>
      <c r="N33" s="1" t="s">
        <v>873</v>
      </c>
      <c r="O33" s="1" t="s">
        <v>874</v>
      </c>
      <c r="P33" s="1" t="s">
        <v>875</v>
      </c>
      <c r="Q33" s="1" t="s">
        <v>876</v>
      </c>
      <c r="R33" s="1" t="s">
        <v>877</v>
      </c>
      <c r="S33" s="1" t="s">
        <v>878</v>
      </c>
      <c r="T33" s="1" t="s">
        <v>879</v>
      </c>
      <c r="U33" s="1" t="s">
        <v>880</v>
      </c>
      <c r="V33" s="1" t="s">
        <v>881</v>
      </c>
      <c r="W33" s="1" t="s">
        <v>882</v>
      </c>
      <c r="X33" s="1" t="s">
        <v>883</v>
      </c>
      <c r="Y33" s="1" t="s">
        <v>884</v>
      </c>
      <c r="Z33" s="1">
        <v>40.0</v>
      </c>
      <c r="AA33" s="1">
        <v>53.0</v>
      </c>
      <c r="AB33" s="1">
        <v>61.0</v>
      </c>
      <c r="AC33" s="1">
        <v>0.0</v>
      </c>
      <c r="AD33" s="1">
        <v>37.0</v>
      </c>
      <c r="AE33" s="1" t="s">
        <v>885</v>
      </c>
      <c r="AF33" s="1" t="s">
        <v>219</v>
      </c>
      <c r="AG33" s="1" t="s">
        <v>220</v>
      </c>
      <c r="AH33" s="1" t="s">
        <v>886</v>
      </c>
      <c r="AI33" s="1" t="s">
        <v>68</v>
      </c>
      <c r="AJ33" s="1" t="s">
        <v>68</v>
      </c>
      <c r="AK33" s="1" t="s">
        <v>872</v>
      </c>
      <c r="AL33" s="1" t="s">
        <v>887</v>
      </c>
      <c r="AM33" s="1" t="s">
        <v>888</v>
      </c>
      <c r="AN33" s="1">
        <v>2016.0</v>
      </c>
      <c r="AO33" s="1">
        <v>5.0</v>
      </c>
      <c r="AP33" s="1" t="s">
        <v>68</v>
      </c>
      <c r="AQ33" s="1" t="s">
        <v>68</v>
      </c>
      <c r="AR33" s="1" t="s">
        <v>68</v>
      </c>
      <c r="AS33" s="1" t="s">
        <v>68</v>
      </c>
      <c r="AT33" s="1" t="s">
        <v>68</v>
      </c>
      <c r="AU33" s="1" t="s">
        <v>68</v>
      </c>
      <c r="AV33" s="1" t="s">
        <v>68</v>
      </c>
      <c r="AW33" s="1">
        <v>1890.0</v>
      </c>
      <c r="AX33" s="1" t="s">
        <v>889</v>
      </c>
      <c r="AY33" s="3" t="str">
        <f>HYPERLINK("http://dx.doi.org/10.1186/s40064-016-3583-5","http://dx.doi.org/10.1186/s40064-016-3583-5")</f>
        <v>http://dx.doi.org/10.1186/s40064-016-3583-5</v>
      </c>
      <c r="AZ33" s="1" t="s">
        <v>68</v>
      </c>
      <c r="BA33" s="1" t="s">
        <v>68</v>
      </c>
      <c r="BB33" s="1">
        <v>14.0</v>
      </c>
      <c r="BC33" s="1" t="s">
        <v>742</v>
      </c>
      <c r="BD33" s="1" t="s">
        <v>279</v>
      </c>
      <c r="BE33" s="1" t="s">
        <v>743</v>
      </c>
      <c r="BF33" s="1" t="s">
        <v>890</v>
      </c>
      <c r="BG33" s="1">
        <v>2.7843747E7</v>
      </c>
      <c r="BH33" s="1" t="s">
        <v>94</v>
      </c>
      <c r="BI33" s="1" t="s">
        <v>68</v>
      </c>
      <c r="BJ33" s="1" t="s">
        <v>68</v>
      </c>
      <c r="BK33" s="1" t="s">
        <v>95</v>
      </c>
      <c r="BL33" s="1" t="s">
        <v>891</v>
      </c>
      <c r="BM33" s="1" t="str">
        <f>HYPERLINK("https%3A%2F%2Fwww.webofscience.com%2Fwos%2Fwoscc%2Ffull-record%2FWOS:000391814300005","View Full Record in Web of Science")</f>
        <v>View Full Record in Web of Science</v>
      </c>
    </row>
    <row r="34" ht="12.75" customHeight="1">
      <c r="A34" s="1" t="s">
        <v>65</v>
      </c>
      <c r="B34" s="1" t="s">
        <v>892</v>
      </c>
      <c r="C34" s="1" t="s">
        <v>893</v>
      </c>
      <c r="D34" s="1" t="s">
        <v>68</v>
      </c>
      <c r="E34" s="1" t="s">
        <v>894</v>
      </c>
      <c r="F34" s="1" t="s">
        <v>895</v>
      </c>
      <c r="G34" s="1" t="s">
        <v>68</v>
      </c>
      <c r="H34" s="1" t="s">
        <v>71</v>
      </c>
      <c r="I34" s="1" t="s">
        <v>101</v>
      </c>
      <c r="J34" s="1" t="s">
        <v>68</v>
      </c>
      <c r="K34" s="1" t="s">
        <v>68</v>
      </c>
      <c r="L34" s="1" t="s">
        <v>68</v>
      </c>
      <c r="M34" s="1" t="s">
        <v>68</v>
      </c>
      <c r="N34" s="1" t="s">
        <v>68</v>
      </c>
      <c r="O34" s="1" t="s">
        <v>896</v>
      </c>
      <c r="P34" s="1" t="s">
        <v>897</v>
      </c>
      <c r="Q34" s="1" t="s">
        <v>898</v>
      </c>
      <c r="R34" s="1" t="s">
        <v>899</v>
      </c>
      <c r="S34" s="1" t="s">
        <v>900</v>
      </c>
      <c r="T34" s="1" t="s">
        <v>901</v>
      </c>
      <c r="U34" s="1" t="s">
        <v>902</v>
      </c>
      <c r="V34" s="1" t="s">
        <v>903</v>
      </c>
      <c r="W34" s="1" t="s">
        <v>904</v>
      </c>
      <c r="X34" s="1" t="s">
        <v>905</v>
      </c>
      <c r="Y34" s="1" t="s">
        <v>906</v>
      </c>
      <c r="Z34" s="1">
        <v>60.0</v>
      </c>
      <c r="AA34" s="1">
        <v>64.0</v>
      </c>
      <c r="AB34" s="1">
        <v>77.0</v>
      </c>
      <c r="AC34" s="1">
        <v>1.0</v>
      </c>
      <c r="AD34" s="1">
        <v>42.0</v>
      </c>
      <c r="AE34" s="1" t="s">
        <v>735</v>
      </c>
      <c r="AF34" s="1" t="s">
        <v>736</v>
      </c>
      <c r="AG34" s="1" t="s">
        <v>737</v>
      </c>
      <c r="AH34" s="1" t="s">
        <v>907</v>
      </c>
      <c r="AI34" s="1" t="s">
        <v>68</v>
      </c>
      <c r="AJ34" s="1" t="s">
        <v>68</v>
      </c>
      <c r="AK34" s="1" t="s">
        <v>895</v>
      </c>
      <c r="AL34" s="1" t="s">
        <v>908</v>
      </c>
      <c r="AM34" s="1" t="s">
        <v>909</v>
      </c>
      <c r="AN34" s="1">
        <v>2020.0</v>
      </c>
      <c r="AO34" s="1">
        <v>1.0</v>
      </c>
      <c r="AP34" s="1">
        <v>7.0</v>
      </c>
      <c r="AQ34" s="1" t="s">
        <v>68</v>
      </c>
      <c r="AR34" s="1" t="s">
        <v>68</v>
      </c>
      <c r="AS34" s="1" t="s">
        <v>68</v>
      </c>
      <c r="AT34" s="1" t="s">
        <v>68</v>
      </c>
      <c r="AU34" s="1" t="s">
        <v>68</v>
      </c>
      <c r="AV34" s="1" t="s">
        <v>68</v>
      </c>
      <c r="AW34" s="1">
        <v>100109.0</v>
      </c>
      <c r="AX34" s="1" t="s">
        <v>910</v>
      </c>
      <c r="AY34" s="3" t="str">
        <f>HYPERLINK("http://dx.doi.org/10.1016/j.patter.2020.100109","http://dx.doi.org/10.1016/j.patter.2020.100109")</f>
        <v>http://dx.doi.org/10.1016/j.patter.2020.100109</v>
      </c>
      <c r="AZ34" s="1" t="s">
        <v>68</v>
      </c>
      <c r="BA34" s="1" t="s">
        <v>68</v>
      </c>
      <c r="BB34" s="1">
        <v>9.0</v>
      </c>
      <c r="BC34" s="1" t="s">
        <v>911</v>
      </c>
      <c r="BD34" s="1" t="s">
        <v>197</v>
      </c>
      <c r="BE34" s="1" t="s">
        <v>912</v>
      </c>
      <c r="BF34" s="1" t="s">
        <v>913</v>
      </c>
      <c r="BG34" s="1">
        <v>3.3205139E7</v>
      </c>
      <c r="BH34" s="1" t="s">
        <v>94</v>
      </c>
      <c r="BI34" s="1" t="s">
        <v>68</v>
      </c>
      <c r="BJ34" s="1" t="s">
        <v>68</v>
      </c>
      <c r="BK34" s="1" t="s">
        <v>95</v>
      </c>
      <c r="BL34" s="1" t="s">
        <v>914</v>
      </c>
      <c r="BM34" s="1" t="str">
        <f>HYPERLINK("https%3A%2F%2Fwww.webofscience.com%2Fwos%2Fwoscc%2Ffull-record%2FWOS:000653830500007","View Full Record in Web of Science")</f>
        <v>View Full Record in Web of Science</v>
      </c>
    </row>
    <row r="35" ht="12.75" customHeight="1">
      <c r="A35" s="1" t="s">
        <v>65</v>
      </c>
      <c r="B35" s="1" t="s">
        <v>915</v>
      </c>
      <c r="C35" s="1" t="s">
        <v>916</v>
      </c>
      <c r="D35" s="1" t="s">
        <v>68</v>
      </c>
      <c r="E35" s="1" t="s">
        <v>917</v>
      </c>
      <c r="F35" s="1" t="s">
        <v>918</v>
      </c>
      <c r="G35" s="1" t="s">
        <v>68</v>
      </c>
      <c r="H35" s="1" t="s">
        <v>71</v>
      </c>
      <c r="I35" s="1" t="s">
        <v>919</v>
      </c>
      <c r="J35" s="1" t="s">
        <v>920</v>
      </c>
      <c r="K35" s="1" t="s">
        <v>921</v>
      </c>
      <c r="L35" s="1" t="s">
        <v>922</v>
      </c>
      <c r="M35" s="1" t="s">
        <v>68</v>
      </c>
      <c r="N35" s="1" t="s">
        <v>923</v>
      </c>
      <c r="O35" s="1" t="s">
        <v>68</v>
      </c>
      <c r="P35" s="1" t="s">
        <v>924</v>
      </c>
      <c r="Q35" s="1" t="s">
        <v>925</v>
      </c>
      <c r="R35" s="1" t="s">
        <v>68</v>
      </c>
      <c r="S35" s="1" t="s">
        <v>926</v>
      </c>
      <c r="T35" s="1" t="s">
        <v>68</v>
      </c>
      <c r="U35" s="1" t="s">
        <v>68</v>
      </c>
      <c r="V35" s="1" t="s">
        <v>68</v>
      </c>
      <c r="W35" s="1" t="s">
        <v>68</v>
      </c>
      <c r="X35" s="1" t="s">
        <v>68</v>
      </c>
      <c r="Y35" s="1" t="s">
        <v>68</v>
      </c>
      <c r="Z35" s="1">
        <v>17.0</v>
      </c>
      <c r="AA35" s="1">
        <v>1.0</v>
      </c>
      <c r="AB35" s="1">
        <v>1.0</v>
      </c>
      <c r="AC35" s="1">
        <v>0.0</v>
      </c>
      <c r="AD35" s="1">
        <v>31.0</v>
      </c>
      <c r="AE35" s="1" t="s">
        <v>927</v>
      </c>
      <c r="AF35" s="1" t="s">
        <v>922</v>
      </c>
      <c r="AG35" s="1" t="s">
        <v>928</v>
      </c>
      <c r="AH35" s="1" t="s">
        <v>929</v>
      </c>
      <c r="AI35" s="1" t="s">
        <v>68</v>
      </c>
      <c r="AJ35" s="1" t="s">
        <v>68</v>
      </c>
      <c r="AK35" s="1" t="s">
        <v>930</v>
      </c>
      <c r="AL35" s="1" t="s">
        <v>931</v>
      </c>
      <c r="AM35" s="1" t="s">
        <v>932</v>
      </c>
      <c r="AN35" s="1">
        <v>2011.0</v>
      </c>
      <c r="AO35" s="1" t="s">
        <v>68</v>
      </c>
      <c r="AP35" s="1" t="s">
        <v>68</v>
      </c>
      <c r="AQ35" s="1" t="s">
        <v>68</v>
      </c>
      <c r="AR35" s="1">
        <v>24.0</v>
      </c>
      <c r="AS35" s="1" t="s">
        <v>68</v>
      </c>
      <c r="AT35" s="1" t="s">
        <v>68</v>
      </c>
      <c r="AU35" s="1">
        <v>23.0</v>
      </c>
      <c r="AV35" s="1">
        <v>25.0</v>
      </c>
      <c r="AW35" s="1" t="s">
        <v>68</v>
      </c>
      <c r="AX35" s="1" t="s">
        <v>68</v>
      </c>
      <c r="AY35" s="1" t="s">
        <v>68</v>
      </c>
      <c r="AZ35" s="1" t="s">
        <v>68</v>
      </c>
      <c r="BA35" s="1" t="s">
        <v>68</v>
      </c>
      <c r="BB35" s="1">
        <v>3.0</v>
      </c>
      <c r="BC35" s="1" t="s">
        <v>933</v>
      </c>
      <c r="BD35" s="1" t="s">
        <v>934</v>
      </c>
      <c r="BE35" s="1" t="s">
        <v>933</v>
      </c>
      <c r="BF35" s="1" t="s">
        <v>935</v>
      </c>
      <c r="BG35" s="1" t="s">
        <v>68</v>
      </c>
      <c r="BH35" s="1" t="s">
        <v>68</v>
      </c>
      <c r="BI35" s="1" t="s">
        <v>68</v>
      </c>
      <c r="BJ35" s="1" t="s">
        <v>68</v>
      </c>
      <c r="BK35" s="1" t="s">
        <v>95</v>
      </c>
      <c r="BL35" s="1" t="s">
        <v>936</v>
      </c>
      <c r="BM35" s="1" t="str">
        <f>HYPERLINK("https%3A%2F%2Fwww.webofscience.com%2Fwos%2Fwoscc%2Ffull-record%2FWOS:000290123500006","View Full Record in Web of Science")</f>
        <v>View Full Record in Web of Science</v>
      </c>
    </row>
    <row r="36" ht="12.75" customHeight="1">
      <c r="A36" s="1" t="s">
        <v>65</v>
      </c>
      <c r="B36" s="1" t="s">
        <v>937</v>
      </c>
      <c r="C36" s="1" t="s">
        <v>938</v>
      </c>
      <c r="D36" s="1" t="s">
        <v>68</v>
      </c>
      <c r="E36" s="1" t="s">
        <v>939</v>
      </c>
      <c r="F36" s="1" t="s">
        <v>940</v>
      </c>
      <c r="G36" s="1" t="s">
        <v>68</v>
      </c>
      <c r="H36" s="1" t="s">
        <v>71</v>
      </c>
      <c r="I36" s="1" t="s">
        <v>72</v>
      </c>
      <c r="J36" s="1" t="s">
        <v>68</v>
      </c>
      <c r="K36" s="1" t="s">
        <v>68</v>
      </c>
      <c r="L36" s="1" t="s">
        <v>68</v>
      </c>
      <c r="M36" s="1" t="s">
        <v>68</v>
      </c>
      <c r="N36" s="1" t="s">
        <v>941</v>
      </c>
      <c r="O36" s="1" t="s">
        <v>942</v>
      </c>
      <c r="P36" s="1" t="s">
        <v>943</v>
      </c>
      <c r="Q36" s="1" t="s">
        <v>944</v>
      </c>
      <c r="R36" s="1" t="s">
        <v>945</v>
      </c>
      <c r="S36" s="1" t="s">
        <v>946</v>
      </c>
      <c r="T36" s="1" t="s">
        <v>947</v>
      </c>
      <c r="U36" s="1" t="s">
        <v>948</v>
      </c>
      <c r="V36" s="1" t="s">
        <v>949</v>
      </c>
      <c r="W36" s="1" t="s">
        <v>950</v>
      </c>
      <c r="X36" s="1" t="s">
        <v>951</v>
      </c>
      <c r="Y36" s="1" t="s">
        <v>952</v>
      </c>
      <c r="Z36" s="1">
        <v>113.0</v>
      </c>
      <c r="AA36" s="1">
        <v>10.0</v>
      </c>
      <c r="AB36" s="1">
        <v>11.0</v>
      </c>
      <c r="AC36" s="1">
        <v>3.0</v>
      </c>
      <c r="AD36" s="1">
        <v>37.0</v>
      </c>
      <c r="AE36" s="1" t="s">
        <v>953</v>
      </c>
      <c r="AF36" s="1" t="s">
        <v>423</v>
      </c>
      <c r="AG36" s="1" t="s">
        <v>954</v>
      </c>
      <c r="AH36" s="1" t="s">
        <v>955</v>
      </c>
      <c r="AI36" s="1" t="s">
        <v>956</v>
      </c>
      <c r="AJ36" s="1" t="s">
        <v>68</v>
      </c>
      <c r="AK36" s="1" t="s">
        <v>957</v>
      </c>
      <c r="AL36" s="1" t="s">
        <v>958</v>
      </c>
      <c r="AM36" s="1" t="s">
        <v>959</v>
      </c>
      <c r="AN36" s="1">
        <v>2021.0</v>
      </c>
      <c r="AO36" s="1">
        <v>201.0</v>
      </c>
      <c r="AP36" s="1" t="s">
        <v>68</v>
      </c>
      <c r="AQ36" s="1" t="s">
        <v>68</v>
      </c>
      <c r="AR36" s="1" t="s">
        <v>68</v>
      </c>
      <c r="AS36" s="1" t="s">
        <v>68</v>
      </c>
      <c r="AT36" s="1" t="s">
        <v>68</v>
      </c>
      <c r="AU36" s="1" t="s">
        <v>68</v>
      </c>
      <c r="AV36" s="1" t="s">
        <v>68</v>
      </c>
      <c r="AW36" s="1">
        <v>117304.0</v>
      </c>
      <c r="AX36" s="1" t="s">
        <v>960</v>
      </c>
      <c r="AY36" s="3" t="str">
        <f>HYPERLINK("http://dx.doi.org/10.1016/j.watres.2021.117304","http://dx.doi.org/10.1016/j.watres.2021.117304")</f>
        <v>http://dx.doi.org/10.1016/j.watres.2021.117304</v>
      </c>
      <c r="AZ36" s="1" t="s">
        <v>68</v>
      </c>
      <c r="BA36" s="1" t="s">
        <v>961</v>
      </c>
      <c r="BB36" s="1">
        <v>10.0</v>
      </c>
      <c r="BC36" s="1" t="s">
        <v>962</v>
      </c>
      <c r="BD36" s="1" t="s">
        <v>92</v>
      </c>
      <c r="BE36" s="1" t="s">
        <v>963</v>
      </c>
      <c r="BF36" s="1" t="s">
        <v>964</v>
      </c>
      <c r="BG36" s="1">
        <v>3.4107367E7</v>
      </c>
      <c r="BH36" s="1" t="s">
        <v>867</v>
      </c>
      <c r="BI36" s="1" t="s">
        <v>68</v>
      </c>
      <c r="BJ36" s="1" t="s">
        <v>68</v>
      </c>
      <c r="BK36" s="1" t="s">
        <v>95</v>
      </c>
      <c r="BL36" s="1" t="s">
        <v>965</v>
      </c>
      <c r="BM36" s="1" t="str">
        <f>HYPERLINK("https%3A%2F%2Fwww.webofscience.com%2Fwos%2Fwoscc%2Ffull-record%2FWOS:000684281700003","View Full Record in Web of Science")</f>
        <v>View Full Record in Web of Science</v>
      </c>
    </row>
    <row r="37" ht="12.75" customHeight="1">
      <c r="A37" s="1" t="s">
        <v>65</v>
      </c>
      <c r="B37" s="1" t="s">
        <v>966</v>
      </c>
      <c r="C37" s="1" t="s">
        <v>967</v>
      </c>
      <c r="D37" s="1" t="s">
        <v>68</v>
      </c>
      <c r="E37" s="1" t="s">
        <v>968</v>
      </c>
      <c r="F37" s="1" t="s">
        <v>969</v>
      </c>
      <c r="G37" s="1" t="s">
        <v>68</v>
      </c>
      <c r="H37" s="1" t="s">
        <v>71</v>
      </c>
      <c r="I37" s="1" t="s">
        <v>72</v>
      </c>
      <c r="J37" s="1" t="s">
        <v>68</v>
      </c>
      <c r="K37" s="1" t="s">
        <v>68</v>
      </c>
      <c r="L37" s="1" t="s">
        <v>68</v>
      </c>
      <c r="M37" s="1" t="s">
        <v>68</v>
      </c>
      <c r="N37" s="1" t="s">
        <v>970</v>
      </c>
      <c r="O37" s="1" t="s">
        <v>971</v>
      </c>
      <c r="P37" s="1" t="s">
        <v>972</v>
      </c>
      <c r="Q37" s="1" t="s">
        <v>973</v>
      </c>
      <c r="R37" s="1" t="s">
        <v>974</v>
      </c>
      <c r="S37" s="1" t="s">
        <v>975</v>
      </c>
      <c r="T37" s="1" t="s">
        <v>976</v>
      </c>
      <c r="U37" s="1" t="s">
        <v>977</v>
      </c>
      <c r="V37" s="1" t="s">
        <v>978</v>
      </c>
      <c r="W37" s="1" t="s">
        <v>979</v>
      </c>
      <c r="X37" s="1" t="s">
        <v>980</v>
      </c>
      <c r="Y37" s="1" t="s">
        <v>981</v>
      </c>
      <c r="Z37" s="1">
        <v>40.0</v>
      </c>
      <c r="AA37" s="1">
        <v>93.0</v>
      </c>
      <c r="AB37" s="1">
        <v>118.0</v>
      </c>
      <c r="AC37" s="1">
        <v>1.0</v>
      </c>
      <c r="AD37" s="1">
        <v>128.0</v>
      </c>
      <c r="AE37" s="1" t="s">
        <v>114</v>
      </c>
      <c r="AF37" s="1" t="s">
        <v>115</v>
      </c>
      <c r="AG37" s="1" t="s">
        <v>116</v>
      </c>
      <c r="AH37" s="1" t="s">
        <v>982</v>
      </c>
      <c r="AI37" s="1" t="s">
        <v>983</v>
      </c>
      <c r="AJ37" s="1" t="s">
        <v>68</v>
      </c>
      <c r="AK37" s="1" t="s">
        <v>984</v>
      </c>
      <c r="AL37" s="1" t="s">
        <v>985</v>
      </c>
      <c r="AM37" s="1" t="s">
        <v>252</v>
      </c>
      <c r="AN37" s="1">
        <v>2015.0</v>
      </c>
      <c r="AO37" s="1">
        <v>59.0</v>
      </c>
      <c r="AP37" s="1">
        <v>7.0</v>
      </c>
      <c r="AQ37" s="1" t="s">
        <v>68</v>
      </c>
      <c r="AR37" s="1" t="s">
        <v>68</v>
      </c>
      <c r="AS37" s="1" t="s">
        <v>68</v>
      </c>
      <c r="AT37" s="1" t="s">
        <v>68</v>
      </c>
      <c r="AU37" s="1">
        <v>917.0</v>
      </c>
      <c r="AV37" s="1">
        <v>926.0</v>
      </c>
      <c r="AW37" s="1" t="s">
        <v>68</v>
      </c>
      <c r="AX37" s="1" t="s">
        <v>986</v>
      </c>
      <c r="AY37" s="3" t="str">
        <f>HYPERLINK("http://dx.doi.org/10.1007/s00484-014-0892-7","http://dx.doi.org/10.1007/s00484-014-0892-7")</f>
        <v>http://dx.doi.org/10.1007/s00484-014-0892-7</v>
      </c>
      <c r="AZ37" s="1" t="s">
        <v>68</v>
      </c>
      <c r="BA37" s="1" t="s">
        <v>68</v>
      </c>
      <c r="BB37" s="1">
        <v>10.0</v>
      </c>
      <c r="BC37" s="1" t="s">
        <v>987</v>
      </c>
      <c r="BD37" s="1" t="s">
        <v>279</v>
      </c>
      <c r="BE37" s="1" t="s">
        <v>988</v>
      </c>
      <c r="BF37" s="1" t="s">
        <v>989</v>
      </c>
      <c r="BG37" s="1">
        <v>2.5179528E7</v>
      </c>
      <c r="BH37" s="1" t="s">
        <v>68</v>
      </c>
      <c r="BI37" s="1" t="s">
        <v>68</v>
      </c>
      <c r="BJ37" s="1" t="s">
        <v>68</v>
      </c>
      <c r="BK37" s="1" t="s">
        <v>95</v>
      </c>
      <c r="BL37" s="1" t="s">
        <v>990</v>
      </c>
      <c r="BM37" s="1" t="str">
        <f>HYPERLINK("https%3A%2F%2Fwww.webofscience.com%2Fwos%2Fwoscc%2Ffull-record%2FWOS:000355336900014","View Full Record in Web of Science")</f>
        <v>View Full Record in Web of Science</v>
      </c>
    </row>
    <row r="38" ht="12.75" customHeight="1">
      <c r="A38" s="1" t="s">
        <v>65</v>
      </c>
      <c r="B38" s="1" t="s">
        <v>991</v>
      </c>
      <c r="C38" s="1" t="s">
        <v>992</v>
      </c>
      <c r="D38" s="1" t="s">
        <v>68</v>
      </c>
      <c r="E38" s="1" t="s">
        <v>993</v>
      </c>
      <c r="F38" s="1" t="s">
        <v>994</v>
      </c>
      <c r="G38" s="1" t="s">
        <v>68</v>
      </c>
      <c r="H38" s="1" t="s">
        <v>71</v>
      </c>
      <c r="I38" s="1" t="s">
        <v>72</v>
      </c>
      <c r="J38" s="1" t="s">
        <v>68</v>
      </c>
      <c r="K38" s="1" t="s">
        <v>68</v>
      </c>
      <c r="L38" s="1" t="s">
        <v>68</v>
      </c>
      <c r="M38" s="1" t="s">
        <v>68</v>
      </c>
      <c r="N38" s="1" t="s">
        <v>995</v>
      </c>
      <c r="O38" s="1" t="s">
        <v>996</v>
      </c>
      <c r="P38" s="1" t="s">
        <v>997</v>
      </c>
      <c r="Q38" s="1" t="s">
        <v>998</v>
      </c>
      <c r="R38" s="1" t="s">
        <v>999</v>
      </c>
      <c r="S38" s="1" t="s">
        <v>1000</v>
      </c>
      <c r="T38" s="1" t="s">
        <v>1001</v>
      </c>
      <c r="U38" s="1" t="s">
        <v>1002</v>
      </c>
      <c r="V38" s="1" t="s">
        <v>1003</v>
      </c>
      <c r="W38" s="1" t="s">
        <v>1004</v>
      </c>
      <c r="X38" s="1" t="s">
        <v>1004</v>
      </c>
      <c r="Y38" s="1" t="s">
        <v>1005</v>
      </c>
      <c r="Z38" s="1">
        <v>64.0</v>
      </c>
      <c r="AA38" s="1">
        <v>7.0</v>
      </c>
      <c r="AB38" s="1">
        <v>8.0</v>
      </c>
      <c r="AC38" s="1">
        <v>2.0</v>
      </c>
      <c r="AD38" s="1">
        <v>23.0</v>
      </c>
      <c r="AE38" s="1" t="s">
        <v>503</v>
      </c>
      <c r="AF38" s="1" t="s">
        <v>504</v>
      </c>
      <c r="AG38" s="1" t="s">
        <v>505</v>
      </c>
      <c r="AH38" s="1" t="s">
        <v>68</v>
      </c>
      <c r="AI38" s="1" t="s">
        <v>1006</v>
      </c>
      <c r="AJ38" s="1" t="s">
        <v>68</v>
      </c>
      <c r="AK38" s="1" t="s">
        <v>1007</v>
      </c>
      <c r="AL38" s="1" t="s">
        <v>1008</v>
      </c>
      <c r="AM38" s="1" t="s">
        <v>790</v>
      </c>
      <c r="AN38" s="1">
        <v>2022.0</v>
      </c>
      <c r="AO38" s="1">
        <v>4.0</v>
      </c>
      <c r="AP38" s="1">
        <v>4.0</v>
      </c>
      <c r="AQ38" s="1" t="s">
        <v>68</v>
      </c>
      <c r="AR38" s="1" t="s">
        <v>68</v>
      </c>
      <c r="AS38" s="1" t="s">
        <v>68</v>
      </c>
      <c r="AT38" s="1" t="s">
        <v>68</v>
      </c>
      <c r="AU38" s="1">
        <v>996.0</v>
      </c>
      <c r="AV38" s="1">
        <v>1006.0</v>
      </c>
      <c r="AW38" s="1" t="s">
        <v>68</v>
      </c>
      <c r="AX38" s="1" t="s">
        <v>1009</v>
      </c>
      <c r="AY38" s="3" t="str">
        <f>HYPERLINK("http://dx.doi.org/10.1002/pan3.10333","http://dx.doi.org/10.1002/pan3.10333")</f>
        <v>http://dx.doi.org/10.1002/pan3.10333</v>
      </c>
      <c r="AZ38" s="1" t="s">
        <v>68</v>
      </c>
      <c r="BA38" s="1" t="s">
        <v>1010</v>
      </c>
      <c r="BB38" s="1">
        <v>11.0</v>
      </c>
      <c r="BC38" s="1" t="s">
        <v>1011</v>
      </c>
      <c r="BD38" s="1" t="s">
        <v>92</v>
      </c>
      <c r="BE38" s="1" t="s">
        <v>123</v>
      </c>
      <c r="BF38" s="1" t="s">
        <v>1012</v>
      </c>
      <c r="BG38" s="1" t="s">
        <v>68</v>
      </c>
      <c r="BH38" s="1" t="s">
        <v>94</v>
      </c>
      <c r="BI38" s="1" t="s">
        <v>68</v>
      </c>
      <c r="BJ38" s="1" t="s">
        <v>68</v>
      </c>
      <c r="BK38" s="1" t="s">
        <v>95</v>
      </c>
      <c r="BL38" s="1" t="s">
        <v>1013</v>
      </c>
      <c r="BM38" s="1" t="str">
        <f>HYPERLINK("https%3A%2F%2Fwww.webofscience.com%2Fwos%2Fwoscc%2Ffull-record%2FWOS:000796771400001","View Full Record in Web of Science")</f>
        <v>View Full Record in Web of Science</v>
      </c>
    </row>
    <row r="39" ht="12.75" customHeight="1">
      <c r="A39" s="1" t="s">
        <v>65</v>
      </c>
      <c r="B39" s="1" t="s">
        <v>1014</v>
      </c>
      <c r="C39" s="1" t="s">
        <v>1015</v>
      </c>
      <c r="D39" s="1" t="s">
        <v>68</v>
      </c>
      <c r="E39" s="1" t="s">
        <v>1016</v>
      </c>
      <c r="F39" s="1" t="s">
        <v>798</v>
      </c>
      <c r="G39" s="1" t="s">
        <v>68</v>
      </c>
      <c r="H39" s="1" t="s">
        <v>71</v>
      </c>
      <c r="I39" s="1" t="s">
        <v>101</v>
      </c>
      <c r="J39" s="1" t="s">
        <v>68</v>
      </c>
      <c r="K39" s="1" t="s">
        <v>68</v>
      </c>
      <c r="L39" s="1" t="s">
        <v>68</v>
      </c>
      <c r="M39" s="1" t="s">
        <v>68</v>
      </c>
      <c r="N39" s="1" t="s">
        <v>1017</v>
      </c>
      <c r="O39" s="1" t="s">
        <v>1018</v>
      </c>
      <c r="P39" s="1" t="s">
        <v>1019</v>
      </c>
      <c r="Q39" s="1" t="s">
        <v>1020</v>
      </c>
      <c r="R39" s="1" t="s">
        <v>1021</v>
      </c>
      <c r="S39" s="1" t="s">
        <v>1022</v>
      </c>
      <c r="T39" s="1" t="s">
        <v>1023</v>
      </c>
      <c r="U39" s="1" t="s">
        <v>1024</v>
      </c>
      <c r="V39" s="1" t="s">
        <v>1025</v>
      </c>
      <c r="W39" s="1" t="s">
        <v>1026</v>
      </c>
      <c r="X39" s="1" t="s">
        <v>1027</v>
      </c>
      <c r="Y39" s="1" t="s">
        <v>1028</v>
      </c>
      <c r="Z39" s="1">
        <v>77.0</v>
      </c>
      <c r="AA39" s="1">
        <v>450.0</v>
      </c>
      <c r="AB39" s="1">
        <v>538.0</v>
      </c>
      <c r="AC39" s="1">
        <v>6.0</v>
      </c>
      <c r="AD39" s="1">
        <v>514.0</v>
      </c>
      <c r="AE39" s="1" t="s">
        <v>811</v>
      </c>
      <c r="AF39" s="1" t="s">
        <v>423</v>
      </c>
      <c r="AG39" s="1" t="s">
        <v>812</v>
      </c>
      <c r="AH39" s="1" t="s">
        <v>813</v>
      </c>
      <c r="AI39" s="1" t="s">
        <v>814</v>
      </c>
      <c r="AJ39" s="1" t="s">
        <v>68</v>
      </c>
      <c r="AK39" s="1" t="s">
        <v>815</v>
      </c>
      <c r="AL39" s="1" t="s">
        <v>816</v>
      </c>
      <c r="AM39" s="1" t="s">
        <v>404</v>
      </c>
      <c r="AN39" s="1">
        <v>2013.0</v>
      </c>
      <c r="AO39" s="1">
        <v>165.0</v>
      </c>
      <c r="AP39" s="1" t="s">
        <v>68</v>
      </c>
      <c r="AQ39" s="1" t="s">
        <v>68</v>
      </c>
      <c r="AR39" s="1" t="s">
        <v>68</v>
      </c>
      <c r="AS39" s="1" t="s">
        <v>68</v>
      </c>
      <c r="AT39" s="1" t="s">
        <v>68</v>
      </c>
      <c r="AU39" s="1">
        <v>128.0</v>
      </c>
      <c r="AV39" s="1">
        <v>138.0</v>
      </c>
      <c r="AW39" s="1" t="s">
        <v>68</v>
      </c>
      <c r="AX39" s="1" t="s">
        <v>1029</v>
      </c>
      <c r="AY39" s="3" t="str">
        <f>HYPERLINK("http://dx.doi.org/10.1016/j.biocon.2013.05.025","http://dx.doi.org/10.1016/j.biocon.2013.05.025")</f>
        <v>http://dx.doi.org/10.1016/j.biocon.2013.05.025</v>
      </c>
      <c r="AZ39" s="1" t="s">
        <v>68</v>
      </c>
      <c r="BA39" s="1" t="s">
        <v>68</v>
      </c>
      <c r="BB39" s="1">
        <v>11.0</v>
      </c>
      <c r="BC39" s="1" t="s">
        <v>122</v>
      </c>
      <c r="BD39" s="1" t="s">
        <v>92</v>
      </c>
      <c r="BE39" s="1" t="s">
        <v>123</v>
      </c>
      <c r="BF39" s="1" t="s">
        <v>1030</v>
      </c>
      <c r="BG39" s="1" t="s">
        <v>68</v>
      </c>
      <c r="BH39" s="1" t="s">
        <v>68</v>
      </c>
      <c r="BI39" s="1" t="s">
        <v>68</v>
      </c>
      <c r="BJ39" s="1" t="s">
        <v>68</v>
      </c>
      <c r="BK39" s="1" t="s">
        <v>95</v>
      </c>
      <c r="BL39" s="1" t="s">
        <v>1031</v>
      </c>
      <c r="BM39" s="1" t="str">
        <f>HYPERLINK("https%3A%2F%2Fwww.webofscience.com%2Fwos%2Fwoscc%2Ffull-record%2FWOS:000323871700015","View Full Record in Web of Science")</f>
        <v>View Full Record in Web of Science</v>
      </c>
    </row>
    <row r="40" ht="12.75" customHeight="1">
      <c r="A40" s="1" t="s">
        <v>65</v>
      </c>
      <c r="B40" s="1" t="s">
        <v>1032</v>
      </c>
      <c r="C40" s="1" t="s">
        <v>1033</v>
      </c>
      <c r="D40" s="1" t="s">
        <v>68</v>
      </c>
      <c r="E40" s="1" t="s">
        <v>1034</v>
      </c>
      <c r="F40" s="1" t="s">
        <v>1035</v>
      </c>
      <c r="G40" s="1" t="s">
        <v>68</v>
      </c>
      <c r="H40" s="1" t="s">
        <v>71</v>
      </c>
      <c r="I40" s="1" t="s">
        <v>597</v>
      </c>
      <c r="J40" s="1" t="s">
        <v>68</v>
      </c>
      <c r="K40" s="1" t="s">
        <v>68</v>
      </c>
      <c r="L40" s="1" t="s">
        <v>68</v>
      </c>
      <c r="M40" s="1" t="s">
        <v>68</v>
      </c>
      <c r="N40" s="1" t="s">
        <v>68</v>
      </c>
      <c r="O40" s="1" t="s">
        <v>68</v>
      </c>
      <c r="P40" s="1" t="s">
        <v>1036</v>
      </c>
      <c r="Q40" s="1" t="s">
        <v>1037</v>
      </c>
      <c r="R40" s="1" t="s">
        <v>1038</v>
      </c>
      <c r="S40" s="1" t="s">
        <v>1039</v>
      </c>
      <c r="T40" s="1" t="s">
        <v>1040</v>
      </c>
      <c r="U40" s="1" t="s">
        <v>1041</v>
      </c>
      <c r="V40" s="1" t="s">
        <v>1042</v>
      </c>
      <c r="W40" s="1" t="s">
        <v>1043</v>
      </c>
      <c r="X40" s="1" t="s">
        <v>1044</v>
      </c>
      <c r="Y40" s="1" t="s">
        <v>1045</v>
      </c>
      <c r="Z40" s="1">
        <v>12.0</v>
      </c>
      <c r="AA40" s="1">
        <v>15.0</v>
      </c>
      <c r="AB40" s="1">
        <v>16.0</v>
      </c>
      <c r="AC40" s="1">
        <v>7.0</v>
      </c>
      <c r="AD40" s="1">
        <v>16.0</v>
      </c>
      <c r="AE40" s="1" t="s">
        <v>735</v>
      </c>
      <c r="AF40" s="1" t="s">
        <v>736</v>
      </c>
      <c r="AG40" s="1" t="s">
        <v>737</v>
      </c>
      <c r="AH40" s="1" t="s">
        <v>1046</v>
      </c>
      <c r="AI40" s="1" t="s">
        <v>1047</v>
      </c>
      <c r="AJ40" s="1" t="s">
        <v>68</v>
      </c>
      <c r="AK40" s="1" t="s">
        <v>1035</v>
      </c>
      <c r="AL40" s="1" t="s">
        <v>1048</v>
      </c>
      <c r="AM40" s="1" t="s">
        <v>1049</v>
      </c>
      <c r="AN40" s="1">
        <v>2024.0</v>
      </c>
      <c r="AO40" s="1">
        <v>7.0</v>
      </c>
      <c r="AP40" s="1">
        <v>4.0</v>
      </c>
      <c r="AQ40" s="1" t="s">
        <v>68</v>
      </c>
      <c r="AR40" s="1" t="s">
        <v>68</v>
      </c>
      <c r="AS40" s="1" t="s">
        <v>68</v>
      </c>
      <c r="AT40" s="1" t="s">
        <v>68</v>
      </c>
      <c r="AU40" s="1">
        <v>552.0</v>
      </c>
      <c r="AV40" s="1">
        <v>557.0</v>
      </c>
      <c r="AW40" s="1" t="s">
        <v>68</v>
      </c>
      <c r="AX40" s="1" t="s">
        <v>1050</v>
      </c>
      <c r="AY40" s="3" t="str">
        <f>HYPERLINK("http://dx.doi.org/10.1016/j.oneear.2024.03.009","http://dx.doi.org/10.1016/j.oneear.2024.03.009")</f>
        <v>http://dx.doi.org/10.1016/j.oneear.2024.03.009</v>
      </c>
      <c r="AZ40" s="1" t="s">
        <v>68</v>
      </c>
      <c r="BA40" s="1" t="s">
        <v>1051</v>
      </c>
      <c r="BB40" s="1">
        <v>6.0</v>
      </c>
      <c r="BC40" s="1" t="s">
        <v>1052</v>
      </c>
      <c r="BD40" s="1" t="s">
        <v>279</v>
      </c>
      <c r="BE40" s="1" t="s">
        <v>1053</v>
      </c>
      <c r="BF40" s="1" t="s">
        <v>1054</v>
      </c>
      <c r="BG40" s="1" t="s">
        <v>68</v>
      </c>
      <c r="BH40" s="1" t="s">
        <v>644</v>
      </c>
      <c r="BI40" s="1" t="s">
        <v>68</v>
      </c>
      <c r="BJ40" s="1" t="s">
        <v>68</v>
      </c>
      <c r="BK40" s="1" t="s">
        <v>95</v>
      </c>
      <c r="BL40" s="1" t="s">
        <v>1055</v>
      </c>
      <c r="BM40" s="1" t="str">
        <f>HYPERLINK("https%3A%2F%2Fwww.webofscience.com%2Fwos%2Fwoscc%2Ffull-record%2FWOS:001233445100001","View Full Record in Web of Science")</f>
        <v>View Full Record in Web of Science</v>
      </c>
    </row>
    <row r="41" ht="12.75" customHeight="1">
      <c r="A41" s="1" t="s">
        <v>65</v>
      </c>
      <c r="B41" s="1" t="s">
        <v>1056</v>
      </c>
      <c r="C41" s="1" t="s">
        <v>1057</v>
      </c>
      <c r="D41" s="1" t="s">
        <v>68</v>
      </c>
      <c r="E41" s="1" t="s">
        <v>1058</v>
      </c>
      <c r="F41" s="1" t="s">
        <v>1059</v>
      </c>
      <c r="G41" s="1" t="s">
        <v>68</v>
      </c>
      <c r="H41" s="1" t="s">
        <v>71</v>
      </c>
      <c r="I41" s="1" t="s">
        <v>72</v>
      </c>
      <c r="J41" s="1" t="s">
        <v>68</v>
      </c>
      <c r="K41" s="1" t="s">
        <v>68</v>
      </c>
      <c r="L41" s="1" t="s">
        <v>68</v>
      </c>
      <c r="M41" s="1" t="s">
        <v>68</v>
      </c>
      <c r="N41" s="1" t="s">
        <v>1060</v>
      </c>
      <c r="O41" s="1" t="s">
        <v>1061</v>
      </c>
      <c r="P41" s="1" t="s">
        <v>1062</v>
      </c>
      <c r="Q41" s="1" t="s">
        <v>1063</v>
      </c>
      <c r="R41" s="1" t="s">
        <v>1064</v>
      </c>
      <c r="S41" s="1" t="s">
        <v>1065</v>
      </c>
      <c r="T41" s="1" t="s">
        <v>1066</v>
      </c>
      <c r="U41" s="1" t="s">
        <v>1067</v>
      </c>
      <c r="V41" s="1" t="s">
        <v>1068</v>
      </c>
      <c r="W41" s="1" t="s">
        <v>1069</v>
      </c>
      <c r="X41" s="1" t="s">
        <v>1069</v>
      </c>
      <c r="Y41" s="1" t="s">
        <v>1070</v>
      </c>
      <c r="Z41" s="1">
        <v>9.0</v>
      </c>
      <c r="AA41" s="1">
        <v>23.0</v>
      </c>
      <c r="AB41" s="1">
        <v>25.0</v>
      </c>
      <c r="AC41" s="1">
        <v>0.0</v>
      </c>
      <c r="AD41" s="1">
        <v>12.0</v>
      </c>
      <c r="AE41" s="1" t="s">
        <v>811</v>
      </c>
      <c r="AF41" s="1" t="s">
        <v>423</v>
      </c>
      <c r="AG41" s="1" t="s">
        <v>812</v>
      </c>
      <c r="AH41" s="1" t="s">
        <v>1071</v>
      </c>
      <c r="AI41" s="1" t="s">
        <v>1072</v>
      </c>
      <c r="AJ41" s="1" t="s">
        <v>68</v>
      </c>
      <c r="AK41" s="1" t="s">
        <v>1073</v>
      </c>
      <c r="AL41" s="1" t="s">
        <v>1074</v>
      </c>
      <c r="AM41" s="1" t="s">
        <v>224</v>
      </c>
      <c r="AN41" s="1">
        <v>2020.0</v>
      </c>
      <c r="AO41" s="1">
        <v>104.0</v>
      </c>
      <c r="AP41" s="1" t="s">
        <v>68</v>
      </c>
      <c r="AQ41" s="1" t="s">
        <v>68</v>
      </c>
      <c r="AR41" s="1" t="s">
        <v>68</v>
      </c>
      <c r="AS41" s="1" t="s">
        <v>68</v>
      </c>
      <c r="AT41" s="1" t="s">
        <v>68</v>
      </c>
      <c r="AU41" s="1">
        <v>67.0</v>
      </c>
      <c r="AV41" s="1">
        <v>72.0</v>
      </c>
      <c r="AW41" s="1" t="s">
        <v>68</v>
      </c>
      <c r="AX41" s="1" t="s">
        <v>1075</v>
      </c>
      <c r="AY41" s="3" t="str">
        <f>HYPERLINK("http://dx.doi.org/10.1016/j.envsci.2019.11.009","http://dx.doi.org/10.1016/j.envsci.2019.11.009")</f>
        <v>http://dx.doi.org/10.1016/j.envsci.2019.11.009</v>
      </c>
      <c r="AZ41" s="1" t="s">
        <v>68</v>
      </c>
      <c r="BA41" s="1" t="s">
        <v>68</v>
      </c>
      <c r="BB41" s="1">
        <v>6.0</v>
      </c>
      <c r="BC41" s="1" t="s">
        <v>484</v>
      </c>
      <c r="BD41" s="1" t="s">
        <v>92</v>
      </c>
      <c r="BE41" s="1" t="s">
        <v>333</v>
      </c>
      <c r="BF41" s="1" t="s">
        <v>1076</v>
      </c>
      <c r="BG41" s="1" t="s">
        <v>68</v>
      </c>
      <c r="BH41" s="1" t="s">
        <v>591</v>
      </c>
      <c r="BI41" s="1" t="s">
        <v>68</v>
      </c>
      <c r="BJ41" s="1" t="s">
        <v>68</v>
      </c>
      <c r="BK41" s="1" t="s">
        <v>95</v>
      </c>
      <c r="BL41" s="1" t="s">
        <v>1077</v>
      </c>
      <c r="BM41" s="1" t="str">
        <f>HYPERLINK("https%3A%2F%2Fwww.webofscience.com%2Fwos%2Fwoscc%2Ffull-record%2FWOS:000513291300008","View Full Record in Web of Science")</f>
        <v>View Full Record in Web of Science</v>
      </c>
    </row>
    <row r="42" ht="12.75" customHeight="1">
      <c r="A42" s="1" t="s">
        <v>65</v>
      </c>
      <c r="B42" s="1" t="s">
        <v>1078</v>
      </c>
      <c r="C42" s="1" t="s">
        <v>1079</v>
      </c>
      <c r="D42" s="1" t="s">
        <v>68</v>
      </c>
      <c r="E42" s="1" t="s">
        <v>1080</v>
      </c>
      <c r="F42" s="1" t="s">
        <v>1081</v>
      </c>
      <c r="G42" s="1" t="s">
        <v>68</v>
      </c>
      <c r="H42" s="1" t="s">
        <v>71</v>
      </c>
      <c r="I42" s="1" t="s">
        <v>72</v>
      </c>
      <c r="J42" s="1" t="s">
        <v>68</v>
      </c>
      <c r="K42" s="1" t="s">
        <v>68</v>
      </c>
      <c r="L42" s="1" t="s">
        <v>68</v>
      </c>
      <c r="M42" s="1" t="s">
        <v>68</v>
      </c>
      <c r="N42" s="1" t="s">
        <v>1082</v>
      </c>
      <c r="O42" s="1" t="s">
        <v>1083</v>
      </c>
      <c r="P42" s="1" t="s">
        <v>1084</v>
      </c>
      <c r="Q42" s="1" t="s">
        <v>1085</v>
      </c>
      <c r="R42" s="1" t="s">
        <v>1086</v>
      </c>
      <c r="S42" s="1" t="s">
        <v>1087</v>
      </c>
      <c r="T42" s="1" t="s">
        <v>1088</v>
      </c>
      <c r="U42" s="1" t="s">
        <v>1089</v>
      </c>
      <c r="V42" s="1" t="s">
        <v>68</v>
      </c>
      <c r="W42" s="1" t="s">
        <v>1090</v>
      </c>
      <c r="X42" s="1" t="s">
        <v>1090</v>
      </c>
      <c r="Y42" s="1" t="s">
        <v>1091</v>
      </c>
      <c r="Z42" s="1">
        <v>44.0</v>
      </c>
      <c r="AA42" s="1">
        <v>1.0</v>
      </c>
      <c r="AB42" s="1">
        <v>1.0</v>
      </c>
      <c r="AC42" s="1">
        <v>1.0</v>
      </c>
      <c r="AD42" s="1">
        <v>1.0</v>
      </c>
      <c r="AE42" s="1" t="s">
        <v>1092</v>
      </c>
      <c r="AF42" s="1" t="s">
        <v>736</v>
      </c>
      <c r="AG42" s="1" t="s">
        <v>1093</v>
      </c>
      <c r="AH42" s="1" t="s">
        <v>68</v>
      </c>
      <c r="AI42" s="1" t="s">
        <v>1094</v>
      </c>
      <c r="AJ42" s="1" t="s">
        <v>68</v>
      </c>
      <c r="AK42" s="1" t="s">
        <v>1095</v>
      </c>
      <c r="AL42" s="1" t="s">
        <v>1096</v>
      </c>
      <c r="AM42" s="1" t="s">
        <v>1097</v>
      </c>
      <c r="AN42" s="1">
        <v>2025.0</v>
      </c>
      <c r="AO42" s="1">
        <v>3.0</v>
      </c>
      <c r="AP42" s="1" t="s">
        <v>68</v>
      </c>
      <c r="AQ42" s="1" t="s">
        <v>68</v>
      </c>
      <c r="AR42" s="1" t="s">
        <v>68</v>
      </c>
      <c r="AS42" s="1" t="s">
        <v>68</v>
      </c>
      <c r="AT42" s="1" t="s">
        <v>68</v>
      </c>
      <c r="AU42" s="1" t="s">
        <v>68</v>
      </c>
      <c r="AV42" s="1" t="s">
        <v>68</v>
      </c>
      <c r="AW42" s="1" t="s">
        <v>1098</v>
      </c>
      <c r="AX42" s="1" t="s">
        <v>1099</v>
      </c>
      <c r="AY42" s="3" t="str">
        <f>HYPERLINK("http://dx.doi.org/10.1017/plc.2025.10027; 10.1017/plc.2025.10027.pr1; 10.1017/plc.2025.10027.pr2; 10.1017/plc.2025.10027.pr3; 10.1017/plc.2025.10027.pr4; 10.1017/plc.2025.10027.pr5","http://dx.doi.org/10.1017/plc.2025.10027; 10.1017/plc.2025.10027.pr1; 10.1017/plc.2025.10027.pr2; 10.1017/plc.2025.10027.pr3; 10.1017/plc.2025.10027.pr4; 10.1017/plc.2025.10027.pr5")</f>
        <v>http://dx.doi.org/10.1017/plc.2025.10027; 10.1017/plc.2025.10027.pr1; 10.1017/plc.2025.10027.pr2; 10.1017/plc.2025.10027.pr3; 10.1017/plc.2025.10027.pr4; 10.1017/plc.2025.10027.pr5</v>
      </c>
      <c r="AZ42" s="1" t="s">
        <v>68</v>
      </c>
      <c r="BA42" s="1" t="s">
        <v>68</v>
      </c>
      <c r="BB42" s="1">
        <v>14.0</v>
      </c>
      <c r="BC42" s="1" t="s">
        <v>1100</v>
      </c>
      <c r="BD42" s="1" t="s">
        <v>197</v>
      </c>
      <c r="BE42" s="1" t="s">
        <v>333</v>
      </c>
      <c r="BF42" s="1" t="s">
        <v>1101</v>
      </c>
      <c r="BG42" s="1" t="s">
        <v>68</v>
      </c>
      <c r="BH42" s="1" t="s">
        <v>94</v>
      </c>
      <c r="BI42" s="1" t="s">
        <v>68</v>
      </c>
      <c r="BJ42" s="1" t="s">
        <v>68</v>
      </c>
      <c r="BK42" s="1" t="s">
        <v>95</v>
      </c>
      <c r="BL42" s="1" t="s">
        <v>1102</v>
      </c>
      <c r="BM42" s="1" t="str">
        <f>HYPERLINK("https%3A%2F%2Fwww.webofscience.com%2Fwos%2Fwoscc%2Ffull-record%2FWOS:001660795200001","View Full Record in Web of Science")</f>
        <v>View Full Record in Web of Science</v>
      </c>
    </row>
    <row r="43" ht="12.75" customHeight="1">
      <c r="A43" s="1" t="s">
        <v>65</v>
      </c>
      <c r="B43" s="1" t="s">
        <v>1103</v>
      </c>
      <c r="C43" s="1" t="s">
        <v>1104</v>
      </c>
      <c r="D43" s="1" t="s">
        <v>68</v>
      </c>
      <c r="E43" s="1" t="s">
        <v>1105</v>
      </c>
      <c r="F43" s="1" t="s">
        <v>1106</v>
      </c>
      <c r="G43" s="1" t="s">
        <v>68</v>
      </c>
      <c r="H43" s="1" t="s">
        <v>71</v>
      </c>
      <c r="I43" s="1" t="s">
        <v>72</v>
      </c>
      <c r="J43" s="1" t="s">
        <v>68</v>
      </c>
      <c r="K43" s="1" t="s">
        <v>68</v>
      </c>
      <c r="L43" s="1" t="s">
        <v>68</v>
      </c>
      <c r="M43" s="1" t="s">
        <v>68</v>
      </c>
      <c r="N43" s="1" t="s">
        <v>1107</v>
      </c>
      <c r="O43" s="1" t="s">
        <v>1108</v>
      </c>
      <c r="P43" s="1" t="s">
        <v>1109</v>
      </c>
      <c r="Q43" s="1" t="s">
        <v>1110</v>
      </c>
      <c r="R43" s="1" t="s">
        <v>1111</v>
      </c>
      <c r="S43" s="1" t="s">
        <v>1112</v>
      </c>
      <c r="T43" s="1" t="s">
        <v>1113</v>
      </c>
      <c r="U43" s="1" t="s">
        <v>1114</v>
      </c>
      <c r="V43" s="1" t="s">
        <v>1115</v>
      </c>
      <c r="W43" s="1" t="s">
        <v>1116</v>
      </c>
      <c r="X43" s="1" t="s">
        <v>1117</v>
      </c>
      <c r="Y43" s="1" t="s">
        <v>1118</v>
      </c>
      <c r="Z43" s="1">
        <v>50.0</v>
      </c>
      <c r="AA43" s="1">
        <v>21.0</v>
      </c>
      <c r="AB43" s="1">
        <v>21.0</v>
      </c>
      <c r="AC43" s="1">
        <v>0.0</v>
      </c>
      <c r="AD43" s="1">
        <v>31.0</v>
      </c>
      <c r="AE43" s="1" t="s">
        <v>83</v>
      </c>
      <c r="AF43" s="1" t="s">
        <v>84</v>
      </c>
      <c r="AG43" s="1" t="s">
        <v>85</v>
      </c>
      <c r="AH43" s="1" t="s">
        <v>68</v>
      </c>
      <c r="AI43" s="1" t="s">
        <v>1119</v>
      </c>
      <c r="AJ43" s="1" t="s">
        <v>68</v>
      </c>
      <c r="AK43" s="1" t="s">
        <v>1120</v>
      </c>
      <c r="AL43" s="1" t="s">
        <v>1121</v>
      </c>
      <c r="AM43" s="1" t="s">
        <v>1122</v>
      </c>
      <c r="AN43" s="1">
        <v>2021.0</v>
      </c>
      <c r="AO43" s="1">
        <v>8.0</v>
      </c>
      <c r="AP43" s="1" t="s">
        <v>68</v>
      </c>
      <c r="AQ43" s="1" t="s">
        <v>68</v>
      </c>
      <c r="AR43" s="1" t="s">
        <v>68</v>
      </c>
      <c r="AS43" s="1" t="s">
        <v>68</v>
      </c>
      <c r="AT43" s="1" t="s">
        <v>68</v>
      </c>
      <c r="AU43" s="1" t="s">
        <v>68</v>
      </c>
      <c r="AV43" s="1" t="s">
        <v>68</v>
      </c>
      <c r="AW43" s="1">
        <v>681969.0</v>
      </c>
      <c r="AX43" s="1" t="s">
        <v>1123</v>
      </c>
      <c r="AY43" s="3" t="str">
        <f>HYPERLINK("http://dx.doi.org/10.3389/fmars.2021.681969","http://dx.doi.org/10.3389/fmars.2021.681969")</f>
        <v>http://dx.doi.org/10.3389/fmars.2021.681969</v>
      </c>
      <c r="AZ43" s="1" t="s">
        <v>68</v>
      </c>
      <c r="BA43" s="1" t="s">
        <v>68</v>
      </c>
      <c r="BB43" s="1">
        <v>9.0</v>
      </c>
      <c r="BC43" s="1" t="s">
        <v>1124</v>
      </c>
      <c r="BD43" s="1" t="s">
        <v>279</v>
      </c>
      <c r="BE43" s="1" t="s">
        <v>1125</v>
      </c>
      <c r="BF43" s="1" t="s">
        <v>1126</v>
      </c>
      <c r="BG43" s="1" t="s">
        <v>68</v>
      </c>
      <c r="BH43" s="1" t="s">
        <v>94</v>
      </c>
      <c r="BI43" s="1" t="s">
        <v>68</v>
      </c>
      <c r="BJ43" s="1" t="s">
        <v>68</v>
      </c>
      <c r="BK43" s="1" t="s">
        <v>95</v>
      </c>
      <c r="BL43" s="1" t="s">
        <v>1127</v>
      </c>
      <c r="BM43" s="1" t="str">
        <f>HYPERLINK("https%3A%2F%2Fwww.webofscience.com%2Fwos%2Fwoscc%2Ffull-record%2FWOS:000684305700001","View Full Record in Web of Science")</f>
        <v>View Full Record in Web of Science</v>
      </c>
    </row>
    <row r="44" ht="12.75" customHeight="1">
      <c r="A44" s="1" t="s">
        <v>65</v>
      </c>
      <c r="B44" s="1" t="s">
        <v>1128</v>
      </c>
      <c r="C44" s="1" t="s">
        <v>1129</v>
      </c>
      <c r="D44" s="1" t="s">
        <v>68</v>
      </c>
      <c r="E44" s="1" t="s">
        <v>1130</v>
      </c>
      <c r="F44" s="1" t="s">
        <v>1131</v>
      </c>
      <c r="G44" s="1" t="s">
        <v>68</v>
      </c>
      <c r="H44" s="1" t="s">
        <v>71</v>
      </c>
      <c r="I44" s="1" t="s">
        <v>45</v>
      </c>
      <c r="J44" s="1" t="s">
        <v>1132</v>
      </c>
      <c r="K44" s="1" t="s">
        <v>1133</v>
      </c>
      <c r="L44" s="1" t="s">
        <v>1134</v>
      </c>
      <c r="M44" s="1" t="s">
        <v>1135</v>
      </c>
      <c r="N44" s="1" t="s">
        <v>68</v>
      </c>
      <c r="O44" s="1" t="s">
        <v>68</v>
      </c>
      <c r="P44" s="1" t="s">
        <v>68</v>
      </c>
      <c r="Q44" s="1" t="s">
        <v>1136</v>
      </c>
      <c r="R44" s="1" t="s">
        <v>1137</v>
      </c>
      <c r="S44" s="1" t="s">
        <v>68</v>
      </c>
      <c r="T44" s="1" t="s">
        <v>1138</v>
      </c>
      <c r="U44" s="1" t="s">
        <v>68</v>
      </c>
      <c r="V44" s="1" t="s">
        <v>68</v>
      </c>
      <c r="W44" s="1" t="s">
        <v>68</v>
      </c>
      <c r="X44" s="1" t="s">
        <v>68</v>
      </c>
      <c r="Y44" s="1" t="s">
        <v>68</v>
      </c>
      <c r="Z44" s="1">
        <v>0.0</v>
      </c>
      <c r="AA44" s="1">
        <v>0.0</v>
      </c>
      <c r="AB44" s="1">
        <v>0.0</v>
      </c>
      <c r="AC44" s="1">
        <v>0.0</v>
      </c>
      <c r="AD44" s="1">
        <v>6.0</v>
      </c>
      <c r="AE44" s="1" t="s">
        <v>1139</v>
      </c>
      <c r="AF44" s="1" t="s">
        <v>785</v>
      </c>
      <c r="AG44" s="1" t="s">
        <v>1140</v>
      </c>
      <c r="AH44" s="1" t="s">
        <v>1141</v>
      </c>
      <c r="AI44" s="1" t="s">
        <v>68</v>
      </c>
      <c r="AJ44" s="1" t="s">
        <v>68</v>
      </c>
      <c r="AK44" s="1" t="s">
        <v>1142</v>
      </c>
      <c r="AL44" s="1" t="s">
        <v>1143</v>
      </c>
      <c r="AM44" s="1" t="s">
        <v>1144</v>
      </c>
      <c r="AN44" s="1">
        <v>2019.0</v>
      </c>
      <c r="AO44" s="1">
        <v>258.0</v>
      </c>
      <c r="AP44" s="1" t="s">
        <v>68</v>
      </c>
      <c r="AQ44" s="1" t="s">
        <v>68</v>
      </c>
      <c r="AR44" s="1" t="s">
        <v>68</v>
      </c>
      <c r="AS44" s="1" t="s">
        <v>68</v>
      </c>
      <c r="AT44" s="1" t="s">
        <v>1145</v>
      </c>
      <c r="AU44" s="1" t="s">
        <v>68</v>
      </c>
      <c r="AV44" s="1" t="s">
        <v>68</v>
      </c>
      <c r="AW44" s="1" t="s">
        <v>68</v>
      </c>
      <c r="AX44" s="1" t="s">
        <v>68</v>
      </c>
      <c r="AY44" s="1" t="s">
        <v>68</v>
      </c>
      <c r="AZ44" s="1" t="s">
        <v>68</v>
      </c>
      <c r="BA44" s="1" t="s">
        <v>68</v>
      </c>
      <c r="BB44" s="1">
        <v>1.0</v>
      </c>
      <c r="BC44" s="1" t="s">
        <v>1146</v>
      </c>
      <c r="BD44" s="1" t="s">
        <v>934</v>
      </c>
      <c r="BE44" s="1" t="s">
        <v>1147</v>
      </c>
      <c r="BF44" s="1" t="s">
        <v>1148</v>
      </c>
      <c r="BG44" s="1" t="s">
        <v>68</v>
      </c>
      <c r="BH44" s="1" t="s">
        <v>68</v>
      </c>
      <c r="BI44" s="1" t="s">
        <v>68</v>
      </c>
      <c r="BJ44" s="1" t="s">
        <v>68</v>
      </c>
      <c r="BK44" s="1" t="s">
        <v>95</v>
      </c>
      <c r="BL44" s="1" t="s">
        <v>1149</v>
      </c>
      <c r="BM44" s="1" t="str">
        <f>HYPERLINK("https%3A%2F%2Fwww.webofscience.com%2Fwos%2Fwoscc%2Ffull-record%2FWOS:000525061500195","View Full Record in Web of Science")</f>
        <v>View Full Record in Web of Science</v>
      </c>
    </row>
    <row r="45" ht="12.75" customHeight="1">
      <c r="A45" s="1" t="s">
        <v>65</v>
      </c>
      <c r="B45" s="1" t="s">
        <v>1150</v>
      </c>
      <c r="C45" s="1" t="s">
        <v>1151</v>
      </c>
      <c r="D45" s="1" t="s">
        <v>68</v>
      </c>
      <c r="E45" s="1" t="s">
        <v>1152</v>
      </c>
      <c r="F45" s="1" t="s">
        <v>1153</v>
      </c>
      <c r="G45" s="1" t="s">
        <v>68</v>
      </c>
      <c r="H45" s="1" t="s">
        <v>71</v>
      </c>
      <c r="I45" s="1" t="s">
        <v>72</v>
      </c>
      <c r="J45" s="1" t="s">
        <v>68</v>
      </c>
      <c r="K45" s="1" t="s">
        <v>68</v>
      </c>
      <c r="L45" s="1" t="s">
        <v>68</v>
      </c>
      <c r="M45" s="1" t="s">
        <v>68</v>
      </c>
      <c r="N45" s="1" t="s">
        <v>1154</v>
      </c>
      <c r="O45" s="1" t="s">
        <v>1155</v>
      </c>
      <c r="P45" s="1" t="s">
        <v>1156</v>
      </c>
      <c r="Q45" s="1" t="s">
        <v>1157</v>
      </c>
      <c r="R45" s="1" t="s">
        <v>1158</v>
      </c>
      <c r="S45" s="1" t="s">
        <v>1159</v>
      </c>
      <c r="T45" s="1" t="s">
        <v>1160</v>
      </c>
      <c r="U45" s="1" t="s">
        <v>1161</v>
      </c>
      <c r="V45" s="1" t="s">
        <v>1162</v>
      </c>
      <c r="W45" s="1" t="s">
        <v>1163</v>
      </c>
      <c r="X45" s="1" t="s">
        <v>1164</v>
      </c>
      <c r="Y45" s="1" t="s">
        <v>1165</v>
      </c>
      <c r="Z45" s="1">
        <v>24.0</v>
      </c>
      <c r="AA45" s="1">
        <v>29.0</v>
      </c>
      <c r="AB45" s="1">
        <v>34.0</v>
      </c>
      <c r="AC45" s="1">
        <v>1.0</v>
      </c>
      <c r="AD45" s="1">
        <v>30.0</v>
      </c>
      <c r="AE45" s="1" t="s">
        <v>503</v>
      </c>
      <c r="AF45" s="1" t="s">
        <v>504</v>
      </c>
      <c r="AG45" s="1" t="s">
        <v>505</v>
      </c>
      <c r="AH45" s="1" t="s">
        <v>1166</v>
      </c>
      <c r="AI45" s="1" t="s">
        <v>68</v>
      </c>
      <c r="AJ45" s="1" t="s">
        <v>68</v>
      </c>
      <c r="AK45" s="1" t="s">
        <v>1167</v>
      </c>
      <c r="AL45" s="1" t="s">
        <v>1168</v>
      </c>
      <c r="AM45" s="1" t="s">
        <v>1169</v>
      </c>
      <c r="AN45" s="1">
        <v>2019.0</v>
      </c>
      <c r="AO45" s="1">
        <v>43.0</v>
      </c>
      <c r="AP45" s="1">
        <v>1.0</v>
      </c>
      <c r="AQ45" s="1" t="s">
        <v>68</v>
      </c>
      <c r="AR45" s="1" t="s">
        <v>68</v>
      </c>
      <c r="AS45" s="1" t="s">
        <v>68</v>
      </c>
      <c r="AT45" s="1" t="s">
        <v>68</v>
      </c>
      <c r="AU45" s="1">
        <v>4.0</v>
      </c>
      <c r="AV45" s="1">
        <v>10.0</v>
      </c>
      <c r="AW45" s="1" t="s">
        <v>68</v>
      </c>
      <c r="AX45" s="1" t="s">
        <v>1170</v>
      </c>
      <c r="AY45" s="3" t="str">
        <f>HYPERLINK("http://dx.doi.org/10.1002/wsb.943","http://dx.doi.org/10.1002/wsb.943")</f>
        <v>http://dx.doi.org/10.1002/wsb.943</v>
      </c>
      <c r="AZ45" s="1" t="s">
        <v>68</v>
      </c>
      <c r="BA45" s="1" t="s">
        <v>68</v>
      </c>
      <c r="BB45" s="1">
        <v>7.0</v>
      </c>
      <c r="BC45" s="1" t="s">
        <v>1171</v>
      </c>
      <c r="BD45" s="1" t="s">
        <v>279</v>
      </c>
      <c r="BE45" s="1" t="s">
        <v>1172</v>
      </c>
      <c r="BF45" s="1" t="s">
        <v>1173</v>
      </c>
      <c r="BG45" s="1" t="s">
        <v>68</v>
      </c>
      <c r="BH45" s="1" t="s">
        <v>591</v>
      </c>
      <c r="BI45" s="1" t="s">
        <v>68</v>
      </c>
      <c r="BJ45" s="1" t="s">
        <v>68</v>
      </c>
      <c r="BK45" s="1" t="s">
        <v>95</v>
      </c>
      <c r="BL45" s="1" t="s">
        <v>1174</v>
      </c>
      <c r="BM45" s="1" t="str">
        <f>HYPERLINK("https%3A%2F%2Fwww.webofscience.com%2Fwos%2Fwoscc%2Ffull-record%2FWOS:000461863500001","View Full Record in Web of Science")</f>
        <v>View Full Record in Web of Science</v>
      </c>
    </row>
    <row r="46" ht="12.75" customHeight="1">
      <c r="A46" s="1" t="s">
        <v>65</v>
      </c>
      <c r="B46" s="1" t="s">
        <v>1175</v>
      </c>
      <c r="C46" s="1" t="s">
        <v>1176</v>
      </c>
      <c r="D46" s="1" t="s">
        <v>68</v>
      </c>
      <c r="E46" s="1" t="s">
        <v>1177</v>
      </c>
      <c r="F46" s="1" t="s">
        <v>1178</v>
      </c>
      <c r="G46" s="1" t="s">
        <v>68</v>
      </c>
      <c r="H46" s="1" t="s">
        <v>71</v>
      </c>
      <c r="I46" s="1" t="s">
        <v>45</v>
      </c>
      <c r="J46" s="1" t="s">
        <v>68</v>
      </c>
      <c r="K46" s="1" t="s">
        <v>68</v>
      </c>
      <c r="L46" s="1" t="s">
        <v>68</v>
      </c>
      <c r="M46" s="1" t="s">
        <v>68</v>
      </c>
      <c r="N46" s="1" t="s">
        <v>68</v>
      </c>
      <c r="O46" s="1" t="s">
        <v>68</v>
      </c>
      <c r="P46" s="1" t="s">
        <v>68</v>
      </c>
      <c r="Q46" s="1" t="s">
        <v>1179</v>
      </c>
      <c r="R46" s="1" t="s">
        <v>1180</v>
      </c>
      <c r="S46" s="1" t="s">
        <v>68</v>
      </c>
      <c r="T46" s="1" t="s">
        <v>68</v>
      </c>
      <c r="U46" s="1" t="s">
        <v>68</v>
      </c>
      <c r="V46" s="1" t="s">
        <v>68</v>
      </c>
      <c r="W46" s="1" t="s">
        <v>68</v>
      </c>
      <c r="X46" s="1" t="s">
        <v>68</v>
      </c>
      <c r="Y46" s="1" t="s">
        <v>68</v>
      </c>
      <c r="Z46" s="1">
        <v>0.0</v>
      </c>
      <c r="AA46" s="1">
        <v>1.0</v>
      </c>
      <c r="AB46" s="1">
        <v>1.0</v>
      </c>
      <c r="AC46" s="1">
        <v>0.0</v>
      </c>
      <c r="AD46" s="1">
        <v>22.0</v>
      </c>
      <c r="AE46" s="1" t="s">
        <v>1181</v>
      </c>
      <c r="AF46" s="1" t="s">
        <v>1182</v>
      </c>
      <c r="AG46" s="1" t="s">
        <v>1183</v>
      </c>
      <c r="AH46" s="1" t="s">
        <v>1184</v>
      </c>
      <c r="AI46" s="1" t="s">
        <v>1185</v>
      </c>
      <c r="AJ46" s="1" t="s">
        <v>68</v>
      </c>
      <c r="AK46" s="1" t="s">
        <v>1186</v>
      </c>
      <c r="AL46" s="1" t="s">
        <v>1187</v>
      </c>
      <c r="AM46" s="1" t="s">
        <v>1169</v>
      </c>
      <c r="AN46" s="1">
        <v>2016.0</v>
      </c>
      <c r="AO46" s="1">
        <v>103.0</v>
      </c>
      <c r="AP46" s="1" t="s">
        <v>68</v>
      </c>
      <c r="AQ46" s="1" t="s">
        <v>68</v>
      </c>
      <c r="AR46" s="1" t="s">
        <v>68</v>
      </c>
      <c r="AS46" s="1" t="s">
        <v>68</v>
      </c>
      <c r="AT46" s="1" t="s">
        <v>68</v>
      </c>
      <c r="AU46" s="1">
        <v>317.0</v>
      </c>
      <c r="AV46" s="1">
        <v>317.0</v>
      </c>
      <c r="AW46" s="1" t="s">
        <v>68</v>
      </c>
      <c r="AX46" s="1" t="s">
        <v>1188</v>
      </c>
      <c r="AY46" s="3" t="str">
        <f>HYPERLINK("http://dx.doi.org/10.1016/j.sajb.2016.02.054","http://dx.doi.org/10.1016/j.sajb.2016.02.054")</f>
        <v>http://dx.doi.org/10.1016/j.sajb.2016.02.054</v>
      </c>
      <c r="AZ46" s="1" t="s">
        <v>68</v>
      </c>
      <c r="BA46" s="1" t="s">
        <v>68</v>
      </c>
      <c r="BB46" s="1">
        <v>1.0</v>
      </c>
      <c r="BC46" s="1" t="s">
        <v>91</v>
      </c>
      <c r="BD46" s="1" t="s">
        <v>92</v>
      </c>
      <c r="BE46" s="1" t="s">
        <v>91</v>
      </c>
      <c r="BF46" s="1" t="s">
        <v>1189</v>
      </c>
      <c r="BG46" s="1" t="s">
        <v>68</v>
      </c>
      <c r="BH46" s="1" t="s">
        <v>867</v>
      </c>
      <c r="BI46" s="1" t="s">
        <v>68</v>
      </c>
      <c r="BJ46" s="1" t="s">
        <v>68</v>
      </c>
      <c r="BK46" s="1" t="s">
        <v>95</v>
      </c>
      <c r="BL46" s="1" t="s">
        <v>1190</v>
      </c>
      <c r="BM46" s="1" t="str">
        <f>HYPERLINK("https%3A%2F%2Fwww.webofscience.com%2Fwos%2Fwoscc%2Ffull-record%2FWOS:000373480700088","View Full Record in Web of Science")</f>
        <v>View Full Record in Web of Science</v>
      </c>
    </row>
    <row r="47" ht="12.75" customHeight="1">
      <c r="A47" s="1" t="s">
        <v>65</v>
      </c>
      <c r="B47" s="1" t="s">
        <v>1191</v>
      </c>
      <c r="C47" s="1" t="s">
        <v>1192</v>
      </c>
      <c r="D47" s="1" t="s">
        <v>68</v>
      </c>
      <c r="E47" s="1" t="s">
        <v>1193</v>
      </c>
      <c r="F47" s="1" t="s">
        <v>1194</v>
      </c>
      <c r="G47" s="1" t="s">
        <v>68</v>
      </c>
      <c r="H47" s="1" t="s">
        <v>71</v>
      </c>
      <c r="I47" s="1" t="s">
        <v>72</v>
      </c>
      <c r="J47" s="1" t="s">
        <v>68</v>
      </c>
      <c r="K47" s="1" t="s">
        <v>68</v>
      </c>
      <c r="L47" s="1" t="s">
        <v>68</v>
      </c>
      <c r="M47" s="1" t="s">
        <v>68</v>
      </c>
      <c r="N47" s="1" t="s">
        <v>1195</v>
      </c>
      <c r="O47" s="1" t="s">
        <v>68</v>
      </c>
      <c r="P47" s="1" t="s">
        <v>1196</v>
      </c>
      <c r="Q47" s="1" t="s">
        <v>1197</v>
      </c>
      <c r="R47" s="1" t="s">
        <v>1198</v>
      </c>
      <c r="S47" s="1" t="s">
        <v>1199</v>
      </c>
      <c r="T47" s="1" t="s">
        <v>1200</v>
      </c>
      <c r="U47" s="1" t="s">
        <v>1201</v>
      </c>
      <c r="V47" s="1" t="s">
        <v>1202</v>
      </c>
      <c r="W47" s="1" t="s">
        <v>68</v>
      </c>
      <c r="X47" s="1" t="s">
        <v>68</v>
      </c>
      <c r="Y47" s="1" t="s">
        <v>68</v>
      </c>
      <c r="Z47" s="1">
        <v>48.0</v>
      </c>
      <c r="AA47" s="1">
        <v>11.0</v>
      </c>
      <c r="AB47" s="1">
        <v>13.0</v>
      </c>
      <c r="AC47" s="1">
        <v>18.0</v>
      </c>
      <c r="AD47" s="1">
        <v>48.0</v>
      </c>
      <c r="AE47" s="1" t="s">
        <v>503</v>
      </c>
      <c r="AF47" s="1" t="s">
        <v>504</v>
      </c>
      <c r="AG47" s="1" t="s">
        <v>505</v>
      </c>
      <c r="AH47" s="1" t="s">
        <v>1203</v>
      </c>
      <c r="AI47" s="1" t="s">
        <v>68</v>
      </c>
      <c r="AJ47" s="1" t="s">
        <v>68</v>
      </c>
      <c r="AK47" s="1" t="s">
        <v>1204</v>
      </c>
      <c r="AL47" s="1" t="s">
        <v>1205</v>
      </c>
      <c r="AM47" s="1" t="s">
        <v>1206</v>
      </c>
      <c r="AN47" s="1">
        <v>2024.0</v>
      </c>
      <c r="AO47" s="1">
        <v>14.0</v>
      </c>
      <c r="AP47" s="1">
        <v>2.0</v>
      </c>
      <c r="AQ47" s="1" t="s">
        <v>68</v>
      </c>
      <c r="AR47" s="1" t="s">
        <v>68</v>
      </c>
      <c r="AS47" s="1" t="s">
        <v>68</v>
      </c>
      <c r="AT47" s="1" t="s">
        <v>68</v>
      </c>
      <c r="AU47" s="1" t="s">
        <v>68</v>
      </c>
      <c r="AV47" s="1" t="s">
        <v>68</v>
      </c>
      <c r="AW47" s="1" t="s">
        <v>1207</v>
      </c>
      <c r="AX47" s="1" t="s">
        <v>1208</v>
      </c>
      <c r="AY47" s="3" t="str">
        <f>HYPERLINK("http://dx.doi.org/10.1002/ece3.10857","http://dx.doi.org/10.1002/ece3.10857")</f>
        <v>http://dx.doi.org/10.1002/ece3.10857</v>
      </c>
      <c r="AZ47" s="1" t="s">
        <v>68</v>
      </c>
      <c r="BA47" s="1" t="s">
        <v>68</v>
      </c>
      <c r="BB47" s="1">
        <v>12.0</v>
      </c>
      <c r="BC47" s="1" t="s">
        <v>1209</v>
      </c>
      <c r="BD47" s="1" t="s">
        <v>92</v>
      </c>
      <c r="BE47" s="1" t="s">
        <v>1210</v>
      </c>
      <c r="BF47" s="1" t="s">
        <v>1211</v>
      </c>
      <c r="BG47" s="1">
        <v>3.8304273E7</v>
      </c>
      <c r="BH47" s="1" t="s">
        <v>94</v>
      </c>
      <c r="BI47" s="1" t="s">
        <v>68</v>
      </c>
      <c r="BJ47" s="1" t="s">
        <v>68</v>
      </c>
      <c r="BK47" s="1" t="s">
        <v>95</v>
      </c>
      <c r="BL47" s="1" t="s">
        <v>1212</v>
      </c>
      <c r="BM47" s="1" t="str">
        <f>HYPERLINK("https%3A%2F%2Fwww.webofscience.com%2Fwos%2Fwoscc%2Ffull-record%2FWOS:001153514500001","View Full Record in Web of Science")</f>
        <v>View Full Record in Web of Science</v>
      </c>
    </row>
    <row r="48" ht="12.75" customHeight="1">
      <c r="A48" s="1" t="s">
        <v>1213</v>
      </c>
      <c r="B48" s="1" t="s">
        <v>1214</v>
      </c>
      <c r="C48" s="1" t="s">
        <v>1215</v>
      </c>
      <c r="D48" s="1" t="s">
        <v>68</v>
      </c>
      <c r="E48" s="1" t="s">
        <v>1216</v>
      </c>
      <c r="F48" s="1" t="s">
        <v>1217</v>
      </c>
      <c r="G48" s="1" t="s">
        <v>1218</v>
      </c>
      <c r="H48" s="1" t="s">
        <v>71</v>
      </c>
      <c r="I48" s="1" t="s">
        <v>1219</v>
      </c>
      <c r="J48" s="1" t="s">
        <v>68</v>
      </c>
      <c r="K48" s="1" t="s">
        <v>68</v>
      </c>
      <c r="L48" s="1" t="s">
        <v>68</v>
      </c>
      <c r="M48" s="1" t="s">
        <v>68</v>
      </c>
      <c r="N48" s="1" t="s">
        <v>68</v>
      </c>
      <c r="O48" s="1" t="s">
        <v>1220</v>
      </c>
      <c r="P48" s="1" t="s">
        <v>1221</v>
      </c>
      <c r="Q48" s="1" t="s">
        <v>1222</v>
      </c>
      <c r="R48" s="1" t="s">
        <v>1223</v>
      </c>
      <c r="S48" s="1" t="s">
        <v>1224</v>
      </c>
      <c r="T48" s="1" t="s">
        <v>1225</v>
      </c>
      <c r="U48" s="1" t="s">
        <v>1226</v>
      </c>
      <c r="V48" s="1" t="s">
        <v>1227</v>
      </c>
      <c r="W48" s="1" t="s">
        <v>1228</v>
      </c>
      <c r="X48" s="1" t="s">
        <v>1229</v>
      </c>
      <c r="Y48" s="1" t="s">
        <v>68</v>
      </c>
      <c r="Z48" s="1">
        <v>202.0</v>
      </c>
      <c r="AA48" s="1">
        <v>181.0</v>
      </c>
      <c r="AB48" s="1">
        <v>212.0</v>
      </c>
      <c r="AC48" s="1">
        <v>53.0</v>
      </c>
      <c r="AD48" s="1">
        <v>210.0</v>
      </c>
      <c r="AE48" s="1" t="s">
        <v>1230</v>
      </c>
      <c r="AF48" s="1" t="s">
        <v>1231</v>
      </c>
      <c r="AG48" s="1" t="s">
        <v>1232</v>
      </c>
      <c r="AH48" s="1" t="s">
        <v>1233</v>
      </c>
      <c r="AI48" s="1" t="s">
        <v>1234</v>
      </c>
      <c r="AJ48" s="1" t="s">
        <v>1235</v>
      </c>
      <c r="AK48" s="1" t="s">
        <v>1236</v>
      </c>
      <c r="AL48" s="1" t="s">
        <v>1237</v>
      </c>
      <c r="AM48" s="1" t="s">
        <v>68</v>
      </c>
      <c r="AN48" s="1">
        <v>2018.0</v>
      </c>
      <c r="AO48" s="1">
        <v>59.0</v>
      </c>
      <c r="AP48" s="1" t="s">
        <v>68</v>
      </c>
      <c r="AQ48" s="1" t="s">
        <v>68</v>
      </c>
      <c r="AR48" s="1" t="s">
        <v>68</v>
      </c>
      <c r="AS48" s="1" t="s">
        <v>68</v>
      </c>
      <c r="AT48" s="1" t="s">
        <v>68</v>
      </c>
      <c r="AU48" s="1">
        <v>169.0</v>
      </c>
      <c r="AV48" s="1">
        <v>223.0</v>
      </c>
      <c r="AW48" s="1" t="s">
        <v>68</v>
      </c>
      <c r="AX48" s="1" t="s">
        <v>1238</v>
      </c>
      <c r="AY48" s="3" t="str">
        <f>HYPERLINK("http://dx.doi.org/10.1016/bs.aecr.2018.06.003","http://dx.doi.org/10.1016/bs.aecr.2018.06.003")</f>
        <v>http://dx.doi.org/10.1016/bs.aecr.2018.06.003</v>
      </c>
      <c r="AZ48" s="1" t="s">
        <v>68</v>
      </c>
      <c r="BA48" s="1" t="s">
        <v>68</v>
      </c>
      <c r="BB48" s="1">
        <v>55.0</v>
      </c>
      <c r="BC48" s="1" t="s">
        <v>332</v>
      </c>
      <c r="BD48" s="1" t="s">
        <v>1239</v>
      </c>
      <c r="BE48" s="1" t="s">
        <v>333</v>
      </c>
      <c r="BF48" s="1" t="s">
        <v>1240</v>
      </c>
      <c r="BG48" s="1" t="s">
        <v>68</v>
      </c>
      <c r="BH48" s="1" t="s">
        <v>68</v>
      </c>
      <c r="BI48" s="1" t="s">
        <v>68</v>
      </c>
      <c r="BJ48" s="1" t="s">
        <v>68</v>
      </c>
      <c r="BK48" s="1" t="s">
        <v>95</v>
      </c>
      <c r="BL48" s="1" t="s">
        <v>1241</v>
      </c>
      <c r="BM48" s="1" t="str">
        <f>HYPERLINK("https%3A%2F%2Fwww.webofscience.com%2Fwos%2Fwoscc%2Ffull-record%2FWOS:000453685300007","View Full Record in Web of Science")</f>
        <v>View Full Record in Web of Science</v>
      </c>
    </row>
    <row r="49" ht="12.75" customHeight="1">
      <c r="A49" s="1" t="s">
        <v>65</v>
      </c>
      <c r="B49" s="1" t="s">
        <v>1242</v>
      </c>
      <c r="C49" s="1" t="s">
        <v>1243</v>
      </c>
      <c r="D49" s="1" t="s">
        <v>68</v>
      </c>
      <c r="E49" s="1" t="s">
        <v>1244</v>
      </c>
      <c r="F49" s="1" t="s">
        <v>1245</v>
      </c>
      <c r="G49" s="1" t="s">
        <v>68</v>
      </c>
      <c r="H49" s="1" t="s">
        <v>71</v>
      </c>
      <c r="I49" s="1" t="s">
        <v>72</v>
      </c>
      <c r="J49" s="1" t="s">
        <v>68</v>
      </c>
      <c r="K49" s="1" t="s">
        <v>68</v>
      </c>
      <c r="L49" s="1" t="s">
        <v>68</v>
      </c>
      <c r="M49" s="1" t="s">
        <v>68</v>
      </c>
      <c r="N49" s="1" t="s">
        <v>1246</v>
      </c>
      <c r="O49" s="1" t="s">
        <v>1247</v>
      </c>
      <c r="P49" s="1" t="s">
        <v>1248</v>
      </c>
      <c r="Q49" s="1" t="s">
        <v>1249</v>
      </c>
      <c r="R49" s="1" t="s">
        <v>1250</v>
      </c>
      <c r="S49" s="1" t="s">
        <v>1251</v>
      </c>
      <c r="T49" s="1" t="s">
        <v>1252</v>
      </c>
      <c r="U49" s="1" t="s">
        <v>1253</v>
      </c>
      <c r="V49" s="1" t="s">
        <v>1254</v>
      </c>
      <c r="W49" s="1" t="s">
        <v>1255</v>
      </c>
      <c r="X49" s="1" t="s">
        <v>1256</v>
      </c>
      <c r="Y49" s="1" t="s">
        <v>1257</v>
      </c>
      <c r="Z49" s="1">
        <v>30.0</v>
      </c>
      <c r="AA49" s="1">
        <v>18.0</v>
      </c>
      <c r="AB49" s="1">
        <v>18.0</v>
      </c>
      <c r="AC49" s="1">
        <v>0.0</v>
      </c>
      <c r="AD49" s="1">
        <v>27.0</v>
      </c>
      <c r="AE49" s="1" t="s">
        <v>1258</v>
      </c>
      <c r="AF49" s="1" t="s">
        <v>1259</v>
      </c>
      <c r="AG49" s="1" t="s">
        <v>1260</v>
      </c>
      <c r="AH49" s="1" t="s">
        <v>1261</v>
      </c>
      <c r="AI49" s="1" t="s">
        <v>68</v>
      </c>
      <c r="AJ49" s="1" t="s">
        <v>68</v>
      </c>
      <c r="AK49" s="1" t="s">
        <v>1262</v>
      </c>
      <c r="AL49" s="1" t="s">
        <v>1263</v>
      </c>
      <c r="AM49" s="1" t="s">
        <v>1264</v>
      </c>
      <c r="AN49" s="1">
        <v>2020.0</v>
      </c>
      <c r="AO49" s="1">
        <v>11.0</v>
      </c>
      <c r="AP49" s="1">
        <v>4.0</v>
      </c>
      <c r="AQ49" s="1" t="s">
        <v>68</v>
      </c>
      <c r="AR49" s="1" t="s">
        <v>68</v>
      </c>
      <c r="AS49" s="1" t="s">
        <v>563</v>
      </c>
      <c r="AT49" s="1" t="s">
        <v>68</v>
      </c>
      <c r="AU49" s="1">
        <v>703.0</v>
      </c>
      <c r="AV49" s="1">
        <v>719.0</v>
      </c>
      <c r="AW49" s="1" t="s">
        <v>68</v>
      </c>
      <c r="AX49" s="1" t="s">
        <v>1265</v>
      </c>
      <c r="AY49" s="3" t="str">
        <f>HYPERLINK("http://dx.doi.org/10.3391/mbi.2020.11.4.06","http://dx.doi.org/10.3391/mbi.2020.11.4.06")</f>
        <v>http://dx.doi.org/10.3391/mbi.2020.11.4.06</v>
      </c>
      <c r="AZ49" s="1" t="s">
        <v>68</v>
      </c>
      <c r="BA49" s="1" t="s">
        <v>68</v>
      </c>
      <c r="BB49" s="1">
        <v>17.0</v>
      </c>
      <c r="BC49" s="1" t="s">
        <v>1171</v>
      </c>
      <c r="BD49" s="1" t="s">
        <v>92</v>
      </c>
      <c r="BE49" s="1" t="s">
        <v>1172</v>
      </c>
      <c r="BF49" s="1" t="s">
        <v>1266</v>
      </c>
      <c r="BG49" s="1" t="s">
        <v>68</v>
      </c>
      <c r="BH49" s="1" t="s">
        <v>462</v>
      </c>
      <c r="BI49" s="1" t="s">
        <v>68</v>
      </c>
      <c r="BJ49" s="1" t="s">
        <v>68</v>
      </c>
      <c r="BK49" s="1" t="s">
        <v>95</v>
      </c>
      <c r="BL49" s="1" t="s">
        <v>1267</v>
      </c>
      <c r="BM49" s="1" t="str">
        <f>HYPERLINK("https%3A%2F%2Fwww.webofscience.com%2Fwos%2Fwoscc%2Ffull-record%2FWOS:000589799900006","View Full Record in Web of Science")</f>
        <v>View Full Record in Web of Science</v>
      </c>
    </row>
    <row r="50" ht="12.75" customHeight="1">
      <c r="A50" s="1" t="s">
        <v>65</v>
      </c>
      <c r="B50" s="1" t="s">
        <v>1268</v>
      </c>
      <c r="C50" s="1" t="s">
        <v>1269</v>
      </c>
      <c r="D50" s="1" t="s">
        <v>68</v>
      </c>
      <c r="E50" s="1" t="s">
        <v>1270</v>
      </c>
      <c r="F50" s="1" t="s">
        <v>1271</v>
      </c>
      <c r="G50" s="1" t="s">
        <v>68</v>
      </c>
      <c r="H50" s="1" t="s">
        <v>71</v>
      </c>
      <c r="I50" s="1" t="s">
        <v>72</v>
      </c>
      <c r="J50" s="1" t="s">
        <v>68</v>
      </c>
      <c r="K50" s="1" t="s">
        <v>68</v>
      </c>
      <c r="L50" s="1" t="s">
        <v>68</v>
      </c>
      <c r="M50" s="1" t="s">
        <v>68</v>
      </c>
      <c r="N50" s="1" t="s">
        <v>1272</v>
      </c>
      <c r="O50" s="1" t="s">
        <v>1273</v>
      </c>
      <c r="P50" s="1" t="s">
        <v>1274</v>
      </c>
      <c r="Q50" s="1" t="s">
        <v>1275</v>
      </c>
      <c r="R50" s="1" t="s">
        <v>1276</v>
      </c>
      <c r="S50" s="1" t="s">
        <v>1277</v>
      </c>
      <c r="T50" s="1" t="s">
        <v>1278</v>
      </c>
      <c r="U50" s="1" t="s">
        <v>1279</v>
      </c>
      <c r="V50" s="1" t="s">
        <v>1280</v>
      </c>
      <c r="W50" s="1" t="s">
        <v>1281</v>
      </c>
      <c r="X50" s="1" t="s">
        <v>1282</v>
      </c>
      <c r="Y50" s="1" t="s">
        <v>1283</v>
      </c>
      <c r="Z50" s="1">
        <v>61.0</v>
      </c>
      <c r="AA50" s="1">
        <v>60.0</v>
      </c>
      <c r="AB50" s="1">
        <v>65.0</v>
      </c>
      <c r="AC50" s="1">
        <v>0.0</v>
      </c>
      <c r="AD50" s="1">
        <v>11.0</v>
      </c>
      <c r="AE50" s="1" t="s">
        <v>662</v>
      </c>
      <c r="AF50" s="1" t="s">
        <v>663</v>
      </c>
      <c r="AG50" s="1" t="s">
        <v>664</v>
      </c>
      <c r="AH50" s="1" t="s">
        <v>1284</v>
      </c>
      <c r="AI50" s="1" t="s">
        <v>68</v>
      </c>
      <c r="AJ50" s="1" t="s">
        <v>68</v>
      </c>
      <c r="AK50" s="1" t="s">
        <v>1285</v>
      </c>
      <c r="AL50" s="1" t="s">
        <v>1286</v>
      </c>
      <c r="AM50" s="1" t="s">
        <v>1287</v>
      </c>
      <c r="AN50" s="1">
        <v>2019.0</v>
      </c>
      <c r="AO50" s="1">
        <v>12.0</v>
      </c>
      <c r="AP50" s="1">
        <v>1.0</v>
      </c>
      <c r="AQ50" s="1" t="s">
        <v>68</v>
      </c>
      <c r="AR50" s="1" t="s">
        <v>68</v>
      </c>
      <c r="AS50" s="1" t="s">
        <v>68</v>
      </c>
      <c r="AT50" s="1" t="s">
        <v>68</v>
      </c>
      <c r="AU50" s="1" t="s">
        <v>68</v>
      </c>
      <c r="AV50" s="1" t="s">
        <v>68</v>
      </c>
      <c r="AW50" s="1">
        <v>550.0</v>
      </c>
      <c r="AX50" s="1" t="s">
        <v>1288</v>
      </c>
      <c r="AY50" s="3" t="str">
        <f>HYPERLINK("http://dx.doi.org/10.1186/s13071-019-3806-z","http://dx.doi.org/10.1186/s13071-019-3806-z")</f>
        <v>http://dx.doi.org/10.1186/s13071-019-3806-z</v>
      </c>
      <c r="AZ50" s="1" t="s">
        <v>68</v>
      </c>
      <c r="BA50" s="1" t="s">
        <v>68</v>
      </c>
      <c r="BB50" s="1">
        <v>11.0</v>
      </c>
      <c r="BC50" s="1" t="s">
        <v>1289</v>
      </c>
      <c r="BD50" s="1" t="s">
        <v>92</v>
      </c>
      <c r="BE50" s="1" t="s">
        <v>1289</v>
      </c>
      <c r="BF50" s="1" t="s">
        <v>1290</v>
      </c>
      <c r="BG50" s="1">
        <v>3.1752967E7</v>
      </c>
      <c r="BH50" s="1" t="s">
        <v>94</v>
      </c>
      <c r="BI50" s="1" t="s">
        <v>68</v>
      </c>
      <c r="BJ50" s="1" t="s">
        <v>68</v>
      </c>
      <c r="BK50" s="1" t="s">
        <v>95</v>
      </c>
      <c r="BL50" s="1" t="s">
        <v>1291</v>
      </c>
      <c r="BM50" s="1" t="str">
        <f>HYPERLINK("https%3A%2F%2Fwww.webofscience.com%2Fwos%2Fwoscc%2Ffull-record%2FWOS:000499473200002","View Full Record in Web of Science")</f>
        <v>View Full Record in Web of Science</v>
      </c>
    </row>
    <row r="51" ht="12.75" customHeight="1">
      <c r="A51" s="1" t="s">
        <v>65</v>
      </c>
      <c r="B51" s="1" t="s">
        <v>1292</v>
      </c>
      <c r="C51" s="1" t="s">
        <v>1293</v>
      </c>
      <c r="D51" s="1" t="s">
        <v>68</v>
      </c>
      <c r="E51" s="1" t="s">
        <v>1294</v>
      </c>
      <c r="F51" s="1" t="s">
        <v>261</v>
      </c>
      <c r="G51" s="1" t="s">
        <v>68</v>
      </c>
      <c r="H51" s="1" t="s">
        <v>71</v>
      </c>
      <c r="I51" s="1" t="s">
        <v>72</v>
      </c>
      <c r="J51" s="1" t="s">
        <v>68</v>
      </c>
      <c r="K51" s="1" t="s">
        <v>68</v>
      </c>
      <c r="L51" s="1" t="s">
        <v>68</v>
      </c>
      <c r="M51" s="1" t="s">
        <v>68</v>
      </c>
      <c r="N51" s="1" t="s">
        <v>1295</v>
      </c>
      <c r="O51" s="1" t="s">
        <v>1296</v>
      </c>
      <c r="P51" s="1" t="s">
        <v>1297</v>
      </c>
      <c r="Q51" s="1" t="s">
        <v>1298</v>
      </c>
      <c r="R51" s="1" t="s">
        <v>522</v>
      </c>
      <c r="S51" s="1" t="s">
        <v>1299</v>
      </c>
      <c r="T51" s="1" t="s">
        <v>1300</v>
      </c>
      <c r="U51" s="1" t="s">
        <v>1301</v>
      </c>
      <c r="V51" s="1" t="s">
        <v>1302</v>
      </c>
      <c r="W51" s="1" t="s">
        <v>1303</v>
      </c>
      <c r="X51" s="1" t="s">
        <v>1303</v>
      </c>
      <c r="Y51" s="1" t="s">
        <v>1304</v>
      </c>
      <c r="Z51" s="1">
        <v>59.0</v>
      </c>
      <c r="AA51" s="1">
        <v>16.0</v>
      </c>
      <c r="AB51" s="1">
        <v>16.0</v>
      </c>
      <c r="AC51" s="1">
        <v>2.0</v>
      </c>
      <c r="AD51" s="1">
        <v>37.0</v>
      </c>
      <c r="AE51" s="1" t="s">
        <v>247</v>
      </c>
      <c r="AF51" s="1" t="s">
        <v>248</v>
      </c>
      <c r="AG51" s="1" t="s">
        <v>249</v>
      </c>
      <c r="AH51" s="1" t="s">
        <v>68</v>
      </c>
      <c r="AI51" s="1" t="s">
        <v>274</v>
      </c>
      <c r="AJ51" s="1" t="s">
        <v>68</v>
      </c>
      <c r="AK51" s="1" t="s">
        <v>275</v>
      </c>
      <c r="AL51" s="1" t="s">
        <v>276</v>
      </c>
      <c r="AM51" s="1" t="s">
        <v>457</v>
      </c>
      <c r="AN51" s="1">
        <v>2022.0</v>
      </c>
      <c r="AO51" s="1">
        <v>19.0</v>
      </c>
      <c r="AP51" s="1">
        <v>10.0</v>
      </c>
      <c r="AQ51" s="1" t="s">
        <v>68</v>
      </c>
      <c r="AR51" s="1" t="s">
        <v>68</v>
      </c>
      <c r="AS51" s="1" t="s">
        <v>68</v>
      </c>
      <c r="AT51" s="1" t="s">
        <v>68</v>
      </c>
      <c r="AU51" s="1" t="s">
        <v>68</v>
      </c>
      <c r="AV51" s="1" t="s">
        <v>68</v>
      </c>
      <c r="AW51" s="1">
        <v>6337.0</v>
      </c>
      <c r="AX51" s="1" t="s">
        <v>1305</v>
      </c>
      <c r="AY51" s="3" t="str">
        <f>HYPERLINK("http://dx.doi.org/10.3390/ijerph19106337","http://dx.doi.org/10.3390/ijerph19106337")</f>
        <v>http://dx.doi.org/10.3390/ijerph19106337</v>
      </c>
      <c r="AZ51" s="1" t="s">
        <v>68</v>
      </c>
      <c r="BA51" s="1" t="s">
        <v>68</v>
      </c>
      <c r="BB51" s="1">
        <v>18.0</v>
      </c>
      <c r="BC51" s="1" t="s">
        <v>278</v>
      </c>
      <c r="BD51" s="1" t="s">
        <v>279</v>
      </c>
      <c r="BE51" s="1" t="s">
        <v>280</v>
      </c>
      <c r="BF51" s="1" t="s">
        <v>1306</v>
      </c>
      <c r="BG51" s="1">
        <v>3.5627874E7</v>
      </c>
      <c r="BH51" s="1" t="s">
        <v>94</v>
      </c>
      <c r="BI51" s="1" t="s">
        <v>68</v>
      </c>
      <c r="BJ51" s="1" t="s">
        <v>68</v>
      </c>
      <c r="BK51" s="1" t="s">
        <v>95</v>
      </c>
      <c r="BL51" s="1" t="s">
        <v>1307</v>
      </c>
      <c r="BM51" s="1" t="str">
        <f>HYPERLINK("https%3A%2F%2Fwww.webofscience.com%2Fwos%2Fwoscc%2Ffull-record%2FWOS:000802545200001","View Full Record in Web of Science")</f>
        <v>View Full Record in Web of Science</v>
      </c>
    </row>
    <row r="52" ht="12.75" customHeight="1">
      <c r="A52" s="1" t="s">
        <v>65</v>
      </c>
      <c r="B52" s="1" t="s">
        <v>1308</v>
      </c>
      <c r="C52" s="1" t="s">
        <v>1309</v>
      </c>
      <c r="D52" s="1" t="s">
        <v>68</v>
      </c>
      <c r="E52" s="1" t="s">
        <v>1310</v>
      </c>
      <c r="F52" s="1" t="s">
        <v>1311</v>
      </c>
      <c r="G52" s="1" t="s">
        <v>68</v>
      </c>
      <c r="H52" s="1" t="s">
        <v>71</v>
      </c>
      <c r="I52" s="1" t="s">
        <v>72</v>
      </c>
      <c r="J52" s="1" t="s">
        <v>68</v>
      </c>
      <c r="K52" s="1" t="s">
        <v>68</v>
      </c>
      <c r="L52" s="1" t="s">
        <v>68</v>
      </c>
      <c r="M52" s="1" t="s">
        <v>68</v>
      </c>
      <c r="N52" s="1" t="s">
        <v>1312</v>
      </c>
      <c r="O52" s="1" t="s">
        <v>68</v>
      </c>
      <c r="P52" s="1" t="s">
        <v>1313</v>
      </c>
      <c r="Q52" s="1" t="s">
        <v>1314</v>
      </c>
      <c r="R52" s="1" t="s">
        <v>1315</v>
      </c>
      <c r="S52" s="1" t="s">
        <v>1316</v>
      </c>
      <c r="T52" s="1" t="s">
        <v>1317</v>
      </c>
      <c r="U52" s="1" t="s">
        <v>1318</v>
      </c>
      <c r="V52" s="1" t="s">
        <v>68</v>
      </c>
      <c r="W52" s="1" t="s">
        <v>68</v>
      </c>
      <c r="X52" s="1" t="s">
        <v>68</v>
      </c>
      <c r="Y52" s="1" t="s">
        <v>68</v>
      </c>
      <c r="Z52" s="1">
        <v>29.0</v>
      </c>
      <c r="AA52" s="1">
        <v>0.0</v>
      </c>
      <c r="AB52" s="1">
        <v>0.0</v>
      </c>
      <c r="AC52" s="1">
        <v>0.0</v>
      </c>
      <c r="AD52" s="1">
        <v>0.0</v>
      </c>
      <c r="AE52" s="1" t="s">
        <v>1319</v>
      </c>
      <c r="AF52" s="1" t="s">
        <v>1320</v>
      </c>
      <c r="AG52" s="1" t="s">
        <v>1321</v>
      </c>
      <c r="AH52" s="1" t="s">
        <v>1322</v>
      </c>
      <c r="AI52" s="1" t="s">
        <v>1323</v>
      </c>
      <c r="AJ52" s="1" t="s">
        <v>68</v>
      </c>
      <c r="AK52" s="1" t="s">
        <v>1324</v>
      </c>
      <c r="AL52" s="1" t="s">
        <v>1325</v>
      </c>
      <c r="AM52" s="1" t="s">
        <v>252</v>
      </c>
      <c r="AN52" s="1">
        <v>2025.0</v>
      </c>
      <c r="AO52" s="1">
        <v>50.0</v>
      </c>
      <c r="AP52" s="1">
        <v>7.0</v>
      </c>
      <c r="AQ52" s="1" t="s">
        <v>68</v>
      </c>
      <c r="AR52" s="1" t="s">
        <v>68</v>
      </c>
      <c r="AS52" s="1" t="s">
        <v>68</v>
      </c>
      <c r="AT52" s="1" t="s">
        <v>68</v>
      </c>
      <c r="AU52" s="1">
        <v>622.0</v>
      </c>
      <c r="AV52" s="1">
        <v>629.0</v>
      </c>
      <c r="AW52" s="1" t="s">
        <v>68</v>
      </c>
      <c r="AX52" s="1" t="s">
        <v>1326</v>
      </c>
      <c r="AY52" s="3" t="str">
        <f>HYPERLINK("http://dx.doi.org/10.3103/S1068373925070088","http://dx.doi.org/10.3103/S1068373925070088")</f>
        <v>http://dx.doi.org/10.3103/S1068373925070088</v>
      </c>
      <c r="AZ52" s="1" t="s">
        <v>68</v>
      </c>
      <c r="BA52" s="1" t="s">
        <v>68</v>
      </c>
      <c r="BB52" s="1">
        <v>8.0</v>
      </c>
      <c r="BC52" s="1" t="s">
        <v>1327</v>
      </c>
      <c r="BD52" s="1" t="s">
        <v>92</v>
      </c>
      <c r="BE52" s="1" t="s">
        <v>1327</v>
      </c>
      <c r="BF52" s="1" t="s">
        <v>1328</v>
      </c>
      <c r="BG52" s="1" t="s">
        <v>68</v>
      </c>
      <c r="BH52" s="1" t="s">
        <v>68</v>
      </c>
      <c r="BI52" s="1" t="s">
        <v>68</v>
      </c>
      <c r="BJ52" s="1" t="s">
        <v>68</v>
      </c>
      <c r="BK52" s="1" t="s">
        <v>95</v>
      </c>
      <c r="BL52" s="1" t="s">
        <v>1329</v>
      </c>
      <c r="BM52" s="1" t="str">
        <f>HYPERLINK("https%3A%2F%2Fwww.webofscience.com%2Fwos%2Fwoscc%2Ffull-record%2FWOS:001559039300007","View Full Record in Web of Science")</f>
        <v>View Full Record in Web of Science</v>
      </c>
    </row>
    <row r="53" ht="12.75" customHeight="1">
      <c r="A53" s="1" t="s">
        <v>65</v>
      </c>
      <c r="B53" s="1" t="s">
        <v>1330</v>
      </c>
      <c r="C53" s="1" t="s">
        <v>1331</v>
      </c>
      <c r="D53" s="1" t="s">
        <v>68</v>
      </c>
      <c r="E53" s="1" t="s">
        <v>1332</v>
      </c>
      <c r="F53" s="1" t="s">
        <v>1333</v>
      </c>
      <c r="G53" s="1" t="s">
        <v>68</v>
      </c>
      <c r="H53" s="1" t="s">
        <v>71</v>
      </c>
      <c r="I53" s="1" t="s">
        <v>72</v>
      </c>
      <c r="J53" s="1" t="s">
        <v>68</v>
      </c>
      <c r="K53" s="1" t="s">
        <v>68</v>
      </c>
      <c r="L53" s="1" t="s">
        <v>68</v>
      </c>
      <c r="M53" s="1" t="s">
        <v>68</v>
      </c>
      <c r="N53" s="1" t="s">
        <v>1334</v>
      </c>
      <c r="O53" s="1" t="s">
        <v>1335</v>
      </c>
      <c r="P53" s="1" t="s">
        <v>1336</v>
      </c>
      <c r="Q53" s="1" t="s">
        <v>1337</v>
      </c>
      <c r="R53" s="1" t="s">
        <v>1338</v>
      </c>
      <c r="S53" s="1" t="s">
        <v>1339</v>
      </c>
      <c r="T53" s="1" t="s">
        <v>1340</v>
      </c>
      <c r="U53" s="1" t="s">
        <v>68</v>
      </c>
      <c r="V53" s="1" t="s">
        <v>68</v>
      </c>
      <c r="W53" s="1" t="s">
        <v>1341</v>
      </c>
      <c r="X53" s="1" t="s">
        <v>1342</v>
      </c>
      <c r="Y53" s="1" t="s">
        <v>1343</v>
      </c>
      <c r="Z53" s="1">
        <v>33.0</v>
      </c>
      <c r="AA53" s="1">
        <v>27.0</v>
      </c>
      <c r="AB53" s="1">
        <v>28.0</v>
      </c>
      <c r="AC53" s="1">
        <v>0.0</v>
      </c>
      <c r="AD53" s="1">
        <v>19.0</v>
      </c>
      <c r="AE53" s="1" t="s">
        <v>247</v>
      </c>
      <c r="AF53" s="1" t="s">
        <v>248</v>
      </c>
      <c r="AG53" s="1" t="s">
        <v>351</v>
      </c>
      <c r="AH53" s="1" t="s">
        <v>68</v>
      </c>
      <c r="AI53" s="1" t="s">
        <v>1344</v>
      </c>
      <c r="AJ53" s="1" t="s">
        <v>68</v>
      </c>
      <c r="AK53" s="1" t="s">
        <v>1345</v>
      </c>
      <c r="AL53" s="1" t="s">
        <v>1346</v>
      </c>
      <c r="AM53" s="1" t="s">
        <v>1169</v>
      </c>
      <c r="AN53" s="1">
        <v>2018.0</v>
      </c>
      <c r="AO53" s="1">
        <v>6.0</v>
      </c>
      <c r="AP53" s="1">
        <v>1.0</v>
      </c>
      <c r="AQ53" s="1" t="s">
        <v>68</v>
      </c>
      <c r="AR53" s="1" t="s">
        <v>68</v>
      </c>
      <c r="AS53" s="1" t="s">
        <v>68</v>
      </c>
      <c r="AT53" s="1" t="s">
        <v>68</v>
      </c>
      <c r="AU53" s="1" t="s">
        <v>68</v>
      </c>
      <c r="AV53" s="1" t="s">
        <v>68</v>
      </c>
      <c r="AW53" s="1">
        <v>22.0</v>
      </c>
      <c r="AX53" s="1" t="s">
        <v>1347</v>
      </c>
      <c r="AY53" s="3" t="str">
        <f>HYPERLINK("http://dx.doi.org/10.3390/healthcare6010022","http://dx.doi.org/10.3390/healthcare6010022")</f>
        <v>http://dx.doi.org/10.3390/healthcare6010022</v>
      </c>
      <c r="AZ53" s="1" t="s">
        <v>68</v>
      </c>
      <c r="BA53" s="1" t="s">
        <v>68</v>
      </c>
      <c r="BB53" s="1">
        <v>13.0</v>
      </c>
      <c r="BC53" s="1" t="s">
        <v>1348</v>
      </c>
      <c r="BD53" s="1" t="s">
        <v>279</v>
      </c>
      <c r="BE53" s="1" t="s">
        <v>1349</v>
      </c>
      <c r="BF53" s="1" t="s">
        <v>1350</v>
      </c>
      <c r="BG53" s="1">
        <v>2.9498648E7</v>
      </c>
      <c r="BH53" s="1" t="s">
        <v>94</v>
      </c>
      <c r="BI53" s="1" t="s">
        <v>68</v>
      </c>
      <c r="BJ53" s="1" t="s">
        <v>68</v>
      </c>
      <c r="BK53" s="1" t="s">
        <v>95</v>
      </c>
      <c r="BL53" s="1" t="s">
        <v>1351</v>
      </c>
      <c r="BM53" s="1" t="str">
        <f>HYPERLINK("https%3A%2F%2Fwww.webofscience.com%2Fwos%2Fwoscc%2Ffull-record%2FWOS:000428555800021","View Full Record in Web of Science")</f>
        <v>View Full Record in Web of Science</v>
      </c>
    </row>
    <row r="54" ht="12.75" customHeight="1">
      <c r="A54" s="1" t="s">
        <v>65</v>
      </c>
      <c r="B54" s="1" t="s">
        <v>1352</v>
      </c>
      <c r="C54" s="1" t="s">
        <v>1353</v>
      </c>
      <c r="D54" s="1" t="s">
        <v>68</v>
      </c>
      <c r="E54" s="1" t="s">
        <v>1354</v>
      </c>
      <c r="F54" s="1" t="s">
        <v>1355</v>
      </c>
      <c r="G54" s="1" t="s">
        <v>68</v>
      </c>
      <c r="H54" s="1" t="s">
        <v>71</v>
      </c>
      <c r="I54" s="1" t="s">
        <v>72</v>
      </c>
      <c r="J54" s="1" t="s">
        <v>68</v>
      </c>
      <c r="K54" s="1" t="s">
        <v>68</v>
      </c>
      <c r="L54" s="1" t="s">
        <v>68</v>
      </c>
      <c r="M54" s="1" t="s">
        <v>68</v>
      </c>
      <c r="N54" s="1" t="s">
        <v>1356</v>
      </c>
      <c r="O54" s="1" t="s">
        <v>1357</v>
      </c>
      <c r="P54" s="1" t="s">
        <v>1358</v>
      </c>
      <c r="Q54" s="1" t="s">
        <v>1359</v>
      </c>
      <c r="R54" s="1" t="s">
        <v>1360</v>
      </c>
      <c r="S54" s="1" t="s">
        <v>1361</v>
      </c>
      <c r="T54" s="1" t="s">
        <v>1362</v>
      </c>
      <c r="U54" s="1" t="s">
        <v>1363</v>
      </c>
      <c r="V54" s="1" t="s">
        <v>1364</v>
      </c>
      <c r="W54" s="1" t="s">
        <v>1365</v>
      </c>
      <c r="X54" s="1" t="s">
        <v>1366</v>
      </c>
      <c r="Y54" s="1" t="s">
        <v>1367</v>
      </c>
      <c r="Z54" s="1">
        <v>134.0</v>
      </c>
      <c r="AA54" s="1">
        <v>22.0</v>
      </c>
      <c r="AB54" s="1">
        <v>26.0</v>
      </c>
      <c r="AC54" s="1">
        <v>0.0</v>
      </c>
      <c r="AD54" s="1">
        <v>10.0</v>
      </c>
      <c r="AE54" s="1" t="s">
        <v>1368</v>
      </c>
      <c r="AF54" s="1" t="s">
        <v>1369</v>
      </c>
      <c r="AG54" s="1" t="s">
        <v>1370</v>
      </c>
      <c r="AH54" s="1" t="s">
        <v>1371</v>
      </c>
      <c r="AI54" s="1" t="s">
        <v>1372</v>
      </c>
      <c r="AJ54" s="1" t="s">
        <v>68</v>
      </c>
      <c r="AK54" s="1" t="s">
        <v>1373</v>
      </c>
      <c r="AL54" s="1" t="s">
        <v>1374</v>
      </c>
      <c r="AM54" s="1" t="s">
        <v>1264</v>
      </c>
      <c r="AN54" s="1">
        <v>2018.0</v>
      </c>
      <c r="AO54" s="1" t="s">
        <v>1375</v>
      </c>
      <c r="AP54" s="1" t="s">
        <v>68</v>
      </c>
      <c r="AQ54" s="1" t="s">
        <v>68</v>
      </c>
      <c r="AR54" s="1" t="s">
        <v>68</v>
      </c>
      <c r="AS54" s="1" t="s">
        <v>68</v>
      </c>
      <c r="AT54" s="1" t="s">
        <v>68</v>
      </c>
      <c r="AU54" s="1">
        <v>101.0</v>
      </c>
      <c r="AV54" s="1">
        <v>110.0</v>
      </c>
      <c r="AW54" s="1" t="s">
        <v>68</v>
      </c>
      <c r="AX54" s="1" t="s">
        <v>1376</v>
      </c>
      <c r="AY54" s="3" t="str">
        <f>HYPERLINK("http://dx.doi.org/10.1016/j.njas.2018.07.005","http://dx.doi.org/10.1016/j.njas.2018.07.005")</f>
        <v>http://dx.doi.org/10.1016/j.njas.2018.07.005</v>
      </c>
      <c r="AZ54" s="1" t="s">
        <v>68</v>
      </c>
      <c r="BA54" s="1" t="s">
        <v>68</v>
      </c>
      <c r="BB54" s="1">
        <v>10.0</v>
      </c>
      <c r="BC54" s="1" t="s">
        <v>196</v>
      </c>
      <c r="BD54" s="1" t="s">
        <v>92</v>
      </c>
      <c r="BE54" s="1" t="s">
        <v>198</v>
      </c>
      <c r="BF54" s="1" t="s">
        <v>1377</v>
      </c>
      <c r="BG54" s="1" t="s">
        <v>68</v>
      </c>
      <c r="BH54" s="1" t="s">
        <v>1378</v>
      </c>
      <c r="BI54" s="1" t="s">
        <v>68</v>
      </c>
      <c r="BJ54" s="1" t="s">
        <v>68</v>
      </c>
      <c r="BK54" s="1" t="s">
        <v>95</v>
      </c>
      <c r="BL54" s="1" t="s">
        <v>1379</v>
      </c>
      <c r="BM54" s="1" t="str">
        <f>HYPERLINK("https%3A%2F%2Fwww.webofscience.com%2Fwos%2Fwoscc%2Ffull-record%2FWOS:000461401700010","View Full Record in Web of Science")</f>
        <v>View Full Record in Web of Science</v>
      </c>
    </row>
    <row r="55" ht="12.75" customHeight="1">
      <c r="A55" s="1" t="s">
        <v>65</v>
      </c>
      <c r="B55" s="1" t="s">
        <v>1380</v>
      </c>
      <c r="C55" s="1" t="s">
        <v>1381</v>
      </c>
      <c r="D55" s="1" t="s">
        <v>68</v>
      </c>
      <c r="E55" s="1" t="s">
        <v>1382</v>
      </c>
      <c r="F55" s="1" t="s">
        <v>1383</v>
      </c>
      <c r="G55" s="1" t="s">
        <v>68</v>
      </c>
      <c r="H55" s="1" t="s">
        <v>71</v>
      </c>
      <c r="I55" s="1" t="s">
        <v>72</v>
      </c>
      <c r="J55" s="1" t="s">
        <v>68</v>
      </c>
      <c r="K55" s="1" t="s">
        <v>68</v>
      </c>
      <c r="L55" s="1" t="s">
        <v>68</v>
      </c>
      <c r="M55" s="1" t="s">
        <v>68</v>
      </c>
      <c r="N55" s="1" t="s">
        <v>1384</v>
      </c>
      <c r="O55" s="1" t="s">
        <v>1385</v>
      </c>
      <c r="P55" s="1" t="s">
        <v>1386</v>
      </c>
      <c r="Q55" s="1" t="s">
        <v>1387</v>
      </c>
      <c r="R55" s="1" t="s">
        <v>1388</v>
      </c>
      <c r="S55" s="1" t="s">
        <v>1389</v>
      </c>
      <c r="T55" s="1" t="s">
        <v>1390</v>
      </c>
      <c r="U55" s="1" t="s">
        <v>1391</v>
      </c>
      <c r="V55" s="1" t="s">
        <v>1392</v>
      </c>
      <c r="W55" s="1" t="s">
        <v>1393</v>
      </c>
      <c r="X55" s="1" t="s">
        <v>1393</v>
      </c>
      <c r="Y55" s="1" t="s">
        <v>1394</v>
      </c>
      <c r="Z55" s="1">
        <v>54.0</v>
      </c>
      <c r="AA55" s="1">
        <v>17.0</v>
      </c>
      <c r="AB55" s="1">
        <v>22.0</v>
      </c>
      <c r="AC55" s="1">
        <v>1.0</v>
      </c>
      <c r="AD55" s="1">
        <v>5.0</v>
      </c>
      <c r="AE55" s="1" t="s">
        <v>1395</v>
      </c>
      <c r="AF55" s="1" t="s">
        <v>785</v>
      </c>
      <c r="AG55" s="1" t="s">
        <v>1396</v>
      </c>
      <c r="AH55" s="1" t="s">
        <v>68</v>
      </c>
      <c r="AI55" s="1" t="s">
        <v>1397</v>
      </c>
      <c r="AJ55" s="1" t="s">
        <v>68</v>
      </c>
      <c r="AK55" s="1" t="s">
        <v>1383</v>
      </c>
      <c r="AL55" s="1" t="s">
        <v>1398</v>
      </c>
      <c r="AM55" s="1" t="s">
        <v>1399</v>
      </c>
      <c r="AN55" s="1">
        <v>2021.0</v>
      </c>
      <c r="AO55" s="1">
        <v>6.0</v>
      </c>
      <c r="AP55" s="1">
        <v>5.0</v>
      </c>
      <c r="AQ55" s="1" t="s">
        <v>68</v>
      </c>
      <c r="AR55" s="1" t="s">
        <v>68</v>
      </c>
      <c r="AS55" s="1" t="s">
        <v>68</v>
      </c>
      <c r="AT55" s="1" t="s">
        <v>68</v>
      </c>
      <c r="AU55" s="1" t="s">
        <v>68</v>
      </c>
      <c r="AV55" s="1" t="s">
        <v>68</v>
      </c>
      <c r="AW55" s="1" t="s">
        <v>1400</v>
      </c>
      <c r="AX55" s="1" t="s">
        <v>1401</v>
      </c>
      <c r="AY55" s="3" t="str">
        <f>HYPERLINK("http://dx.doi.org/10.1128/mSphere.00682-21","http://dx.doi.org/10.1128/mSphere.00682-21")</f>
        <v>http://dx.doi.org/10.1128/mSphere.00682-21</v>
      </c>
      <c r="AZ55" s="1" t="s">
        <v>68</v>
      </c>
      <c r="BA55" s="1" t="s">
        <v>68</v>
      </c>
      <c r="BB55" s="1">
        <v>16.0</v>
      </c>
      <c r="BC55" s="1" t="s">
        <v>406</v>
      </c>
      <c r="BD55" s="1" t="s">
        <v>92</v>
      </c>
      <c r="BE55" s="1" t="s">
        <v>406</v>
      </c>
      <c r="BF55" s="1" t="s">
        <v>1402</v>
      </c>
      <c r="BG55" s="1">
        <v>3.4585963E7</v>
      </c>
      <c r="BH55" s="1" t="s">
        <v>94</v>
      </c>
      <c r="BI55" s="1" t="s">
        <v>68</v>
      </c>
      <c r="BJ55" s="1" t="s">
        <v>68</v>
      </c>
      <c r="BK55" s="1" t="s">
        <v>95</v>
      </c>
      <c r="BL55" s="1" t="s">
        <v>1403</v>
      </c>
      <c r="BM55" s="1" t="str">
        <f>HYPERLINK("https%3A%2F%2Fwww.webofscience.com%2Fwos%2Fwoscc%2Ffull-record%2FWOS:000712349900009","View Full Record in Web of Science")</f>
        <v>View Full Record in Web of Science</v>
      </c>
    </row>
    <row r="56" ht="12.75" customHeight="1">
      <c r="A56" s="1" t="s">
        <v>65</v>
      </c>
      <c r="B56" s="1" t="s">
        <v>1404</v>
      </c>
      <c r="C56" s="1" t="s">
        <v>1405</v>
      </c>
      <c r="D56" s="1" t="s">
        <v>68</v>
      </c>
      <c r="E56" s="1" t="s">
        <v>1406</v>
      </c>
      <c r="F56" s="1" t="s">
        <v>969</v>
      </c>
      <c r="G56" s="1" t="s">
        <v>68</v>
      </c>
      <c r="H56" s="1" t="s">
        <v>71</v>
      </c>
      <c r="I56" s="1" t="s">
        <v>72</v>
      </c>
      <c r="J56" s="1" t="s">
        <v>68</v>
      </c>
      <c r="K56" s="1" t="s">
        <v>68</v>
      </c>
      <c r="L56" s="1" t="s">
        <v>68</v>
      </c>
      <c r="M56" s="1" t="s">
        <v>68</v>
      </c>
      <c r="N56" s="1" t="s">
        <v>1407</v>
      </c>
      <c r="O56" s="1" t="s">
        <v>1408</v>
      </c>
      <c r="P56" s="1" t="s">
        <v>1409</v>
      </c>
      <c r="Q56" s="1" t="s">
        <v>1410</v>
      </c>
      <c r="R56" s="1" t="s">
        <v>1411</v>
      </c>
      <c r="S56" s="1" t="s">
        <v>1412</v>
      </c>
      <c r="T56" s="1" t="s">
        <v>1413</v>
      </c>
      <c r="U56" s="1" t="s">
        <v>68</v>
      </c>
      <c r="V56" s="1" t="s">
        <v>68</v>
      </c>
      <c r="W56" s="1" t="s">
        <v>68</v>
      </c>
      <c r="X56" s="1" t="s">
        <v>68</v>
      </c>
      <c r="Y56" s="1" t="s">
        <v>68</v>
      </c>
      <c r="Z56" s="1">
        <v>32.0</v>
      </c>
      <c r="AA56" s="1">
        <v>55.0</v>
      </c>
      <c r="AB56" s="1">
        <v>63.0</v>
      </c>
      <c r="AC56" s="1">
        <v>3.0</v>
      </c>
      <c r="AD56" s="1">
        <v>275.0</v>
      </c>
      <c r="AE56" s="1" t="s">
        <v>114</v>
      </c>
      <c r="AF56" s="1" t="s">
        <v>115</v>
      </c>
      <c r="AG56" s="1" t="s">
        <v>116</v>
      </c>
      <c r="AH56" s="1" t="s">
        <v>982</v>
      </c>
      <c r="AI56" s="1" t="s">
        <v>983</v>
      </c>
      <c r="AJ56" s="1" t="s">
        <v>68</v>
      </c>
      <c r="AK56" s="1" t="s">
        <v>984</v>
      </c>
      <c r="AL56" s="1" t="s">
        <v>985</v>
      </c>
      <c r="AM56" s="1" t="s">
        <v>790</v>
      </c>
      <c r="AN56" s="1">
        <v>2014.0</v>
      </c>
      <c r="AO56" s="1">
        <v>58.0</v>
      </c>
      <c r="AP56" s="1">
        <v>6.0</v>
      </c>
      <c r="AQ56" s="1" t="s">
        <v>68</v>
      </c>
      <c r="AR56" s="1" t="s">
        <v>68</v>
      </c>
      <c r="AS56" s="1" t="s">
        <v>68</v>
      </c>
      <c r="AT56" s="1" t="s">
        <v>68</v>
      </c>
      <c r="AU56" s="1">
        <v>1237.0</v>
      </c>
      <c r="AV56" s="1">
        <v>1249.0</v>
      </c>
      <c r="AW56" s="1" t="s">
        <v>68</v>
      </c>
      <c r="AX56" s="1" t="s">
        <v>1414</v>
      </c>
      <c r="AY56" s="3" t="str">
        <f>HYPERLINK("http://dx.doi.org/10.1007/s00484-013-0717-0","http://dx.doi.org/10.1007/s00484-013-0717-0")</f>
        <v>http://dx.doi.org/10.1007/s00484-013-0717-0</v>
      </c>
      <c r="AZ56" s="1" t="s">
        <v>68</v>
      </c>
      <c r="BA56" s="1" t="s">
        <v>68</v>
      </c>
      <c r="BB56" s="1">
        <v>13.0</v>
      </c>
      <c r="BC56" s="1" t="s">
        <v>987</v>
      </c>
      <c r="BD56" s="1" t="s">
        <v>92</v>
      </c>
      <c r="BE56" s="1" t="s">
        <v>988</v>
      </c>
      <c r="BF56" s="1" t="s">
        <v>1415</v>
      </c>
      <c r="BG56" s="1">
        <v>2.3975107E7</v>
      </c>
      <c r="BH56" s="1" t="s">
        <v>68</v>
      </c>
      <c r="BI56" s="1" t="s">
        <v>68</v>
      </c>
      <c r="BJ56" s="1" t="s">
        <v>68</v>
      </c>
      <c r="BK56" s="1" t="s">
        <v>95</v>
      </c>
      <c r="BL56" s="1" t="s">
        <v>1416</v>
      </c>
      <c r="BM56" s="1" t="str">
        <f>HYPERLINK("https%3A%2F%2Fwww.webofscience.com%2Fwos%2Fwoscc%2Ffull-record%2FWOS:000339419900023","View Full Record in Web of Science")</f>
        <v>View Full Record in Web of Science</v>
      </c>
    </row>
    <row r="57" ht="12.75" customHeight="1">
      <c r="A57" s="1" t="s">
        <v>65</v>
      </c>
      <c r="B57" s="1" t="s">
        <v>1417</v>
      </c>
      <c r="C57" s="1" t="s">
        <v>1418</v>
      </c>
      <c r="D57" s="1" t="s">
        <v>68</v>
      </c>
      <c r="E57" s="1" t="s">
        <v>1419</v>
      </c>
      <c r="F57" s="1" t="s">
        <v>1420</v>
      </c>
      <c r="G57" s="1" t="s">
        <v>68</v>
      </c>
      <c r="H57" s="1" t="s">
        <v>71</v>
      </c>
      <c r="I57" s="1" t="s">
        <v>72</v>
      </c>
      <c r="J57" s="1" t="s">
        <v>68</v>
      </c>
      <c r="K57" s="1" t="s">
        <v>68</v>
      </c>
      <c r="L57" s="1" t="s">
        <v>68</v>
      </c>
      <c r="M57" s="1" t="s">
        <v>68</v>
      </c>
      <c r="N57" s="1" t="s">
        <v>68</v>
      </c>
      <c r="O57" s="1" t="s">
        <v>68</v>
      </c>
      <c r="P57" s="1" t="s">
        <v>1421</v>
      </c>
      <c r="Q57" s="1" t="s">
        <v>1422</v>
      </c>
      <c r="R57" s="1" t="s">
        <v>1423</v>
      </c>
      <c r="S57" s="1" t="s">
        <v>1424</v>
      </c>
      <c r="T57" s="1" t="s">
        <v>1425</v>
      </c>
      <c r="U57" s="1" t="s">
        <v>1426</v>
      </c>
      <c r="V57" s="1" t="s">
        <v>68</v>
      </c>
      <c r="W57" s="1" t="s">
        <v>1427</v>
      </c>
      <c r="X57" s="1" t="s">
        <v>1428</v>
      </c>
      <c r="Y57" s="1" t="s">
        <v>1429</v>
      </c>
      <c r="Z57" s="1">
        <v>69.0</v>
      </c>
      <c r="AA57" s="1">
        <v>0.0</v>
      </c>
      <c r="AB57" s="1">
        <v>0.0</v>
      </c>
      <c r="AC57" s="1">
        <v>0.0</v>
      </c>
      <c r="AD57" s="1">
        <v>0.0</v>
      </c>
      <c r="AE57" s="1" t="s">
        <v>1430</v>
      </c>
      <c r="AF57" s="1" t="s">
        <v>663</v>
      </c>
      <c r="AG57" s="1" t="s">
        <v>1431</v>
      </c>
      <c r="AH57" s="1" t="s">
        <v>68</v>
      </c>
      <c r="AI57" s="1" t="s">
        <v>1432</v>
      </c>
      <c r="AJ57" s="1" t="s">
        <v>68</v>
      </c>
      <c r="AK57" s="1" t="s">
        <v>1433</v>
      </c>
      <c r="AL57" s="1" t="s">
        <v>1434</v>
      </c>
      <c r="AM57" s="1" t="s">
        <v>1435</v>
      </c>
      <c r="AN57" s="1">
        <v>2025.0</v>
      </c>
      <c r="AO57" s="1">
        <v>6.0</v>
      </c>
      <c r="AP57" s="1">
        <v>1.0</v>
      </c>
      <c r="AQ57" s="1" t="s">
        <v>68</v>
      </c>
      <c r="AR57" s="1" t="s">
        <v>68</v>
      </c>
      <c r="AS57" s="1" t="s">
        <v>68</v>
      </c>
      <c r="AT57" s="1" t="s">
        <v>68</v>
      </c>
      <c r="AU57" s="1" t="s">
        <v>68</v>
      </c>
      <c r="AV57" s="1" t="s">
        <v>68</v>
      </c>
      <c r="AW57" s="1">
        <v>2.0</v>
      </c>
      <c r="AX57" s="1" t="s">
        <v>1436</v>
      </c>
      <c r="AY57" s="3" t="str">
        <f>HYPERLINK("http://dx.doi.org/10.1038/s42949-025-00305-w","http://dx.doi.org/10.1038/s42949-025-00305-w")</f>
        <v>http://dx.doi.org/10.1038/s42949-025-00305-w</v>
      </c>
      <c r="AZ57" s="1" t="s">
        <v>68</v>
      </c>
      <c r="BA57" s="1" t="s">
        <v>68</v>
      </c>
      <c r="BB57" s="1">
        <v>11.0</v>
      </c>
      <c r="BC57" s="1" t="s">
        <v>1437</v>
      </c>
      <c r="BD57" s="1" t="s">
        <v>1438</v>
      </c>
      <c r="BE57" s="1" t="s">
        <v>1439</v>
      </c>
      <c r="BF57" s="1" t="s">
        <v>1440</v>
      </c>
      <c r="BG57" s="1" t="s">
        <v>68</v>
      </c>
      <c r="BH57" s="1" t="s">
        <v>94</v>
      </c>
      <c r="BI57" s="1" t="s">
        <v>68</v>
      </c>
      <c r="BJ57" s="1" t="s">
        <v>68</v>
      </c>
      <c r="BK57" s="1" t="s">
        <v>95</v>
      </c>
      <c r="BL57" s="1" t="s">
        <v>1441</v>
      </c>
      <c r="BM57" s="1" t="str">
        <f>HYPERLINK("https%3A%2F%2Fwww.webofscience.com%2Fwos%2Fwoscc%2Ffull-record%2FWOS:001654322100001","View Full Record in Web of Science")</f>
        <v>View Full Record in Web of Science</v>
      </c>
    </row>
    <row r="58" ht="12.75" customHeight="1">
      <c r="A58" s="1" t="s">
        <v>65</v>
      </c>
      <c r="B58" s="1" t="s">
        <v>1442</v>
      </c>
      <c r="C58" s="1" t="s">
        <v>1443</v>
      </c>
      <c r="D58" s="1" t="s">
        <v>68</v>
      </c>
      <c r="E58" s="1" t="s">
        <v>1444</v>
      </c>
      <c r="F58" s="1" t="s">
        <v>1445</v>
      </c>
      <c r="G58" s="1" t="s">
        <v>68</v>
      </c>
      <c r="H58" s="1" t="s">
        <v>71</v>
      </c>
      <c r="I58" s="1" t="s">
        <v>72</v>
      </c>
      <c r="J58" s="1" t="s">
        <v>68</v>
      </c>
      <c r="K58" s="1" t="s">
        <v>68</v>
      </c>
      <c r="L58" s="1" t="s">
        <v>68</v>
      </c>
      <c r="M58" s="1" t="s">
        <v>68</v>
      </c>
      <c r="N58" s="1" t="s">
        <v>1446</v>
      </c>
      <c r="O58" s="1" t="s">
        <v>1447</v>
      </c>
      <c r="P58" s="1" t="s">
        <v>1448</v>
      </c>
      <c r="Q58" s="1" t="s">
        <v>1449</v>
      </c>
      <c r="R58" s="1" t="s">
        <v>1450</v>
      </c>
      <c r="S58" s="1" t="s">
        <v>1451</v>
      </c>
      <c r="T58" s="1" t="s">
        <v>1452</v>
      </c>
      <c r="U58" s="1" t="s">
        <v>68</v>
      </c>
      <c r="V58" s="1" t="s">
        <v>1453</v>
      </c>
      <c r="W58" s="1" t="s">
        <v>1454</v>
      </c>
      <c r="X58" s="1" t="s">
        <v>1454</v>
      </c>
      <c r="Y58" s="1" t="s">
        <v>1455</v>
      </c>
      <c r="Z58" s="1">
        <v>31.0</v>
      </c>
      <c r="AA58" s="1">
        <v>47.0</v>
      </c>
      <c r="AB58" s="1">
        <v>59.0</v>
      </c>
      <c r="AC58" s="1">
        <v>1.0</v>
      </c>
      <c r="AD58" s="1">
        <v>17.0</v>
      </c>
      <c r="AE58" s="1" t="s">
        <v>953</v>
      </c>
      <c r="AF58" s="1" t="s">
        <v>423</v>
      </c>
      <c r="AG58" s="1" t="s">
        <v>954</v>
      </c>
      <c r="AH58" s="1" t="s">
        <v>1456</v>
      </c>
      <c r="AI58" s="1" t="s">
        <v>1457</v>
      </c>
      <c r="AJ58" s="1" t="s">
        <v>68</v>
      </c>
      <c r="AK58" s="1" t="s">
        <v>1458</v>
      </c>
      <c r="AL58" s="1" t="s">
        <v>1459</v>
      </c>
      <c r="AM58" s="1" t="s">
        <v>959</v>
      </c>
      <c r="AN58" s="1">
        <v>2022.0</v>
      </c>
      <c r="AO58" s="1">
        <v>245.0</v>
      </c>
      <c r="AP58" s="1" t="s">
        <v>68</v>
      </c>
      <c r="AQ58" s="1" t="s">
        <v>68</v>
      </c>
      <c r="AR58" s="1" t="s">
        <v>68</v>
      </c>
      <c r="AS58" s="1" t="s">
        <v>68</v>
      </c>
      <c r="AT58" s="1" t="s">
        <v>68</v>
      </c>
      <c r="AU58" s="1" t="s">
        <v>68</v>
      </c>
      <c r="AV58" s="1" t="s">
        <v>68</v>
      </c>
      <c r="AW58" s="1">
        <v>104796.0</v>
      </c>
      <c r="AX58" s="1" t="s">
        <v>1460</v>
      </c>
      <c r="AY58" s="3" t="str">
        <f>HYPERLINK("http://dx.doi.org/10.1016/j.csr.2022.104796","http://dx.doi.org/10.1016/j.csr.2022.104796")</f>
        <v>http://dx.doi.org/10.1016/j.csr.2022.104796</v>
      </c>
      <c r="AZ58" s="1" t="s">
        <v>68</v>
      </c>
      <c r="BA58" s="1" t="s">
        <v>1461</v>
      </c>
      <c r="BB58" s="1">
        <v>15.0</v>
      </c>
      <c r="BC58" s="1" t="s">
        <v>1462</v>
      </c>
      <c r="BD58" s="1" t="s">
        <v>92</v>
      </c>
      <c r="BE58" s="1" t="s">
        <v>1462</v>
      </c>
      <c r="BF58" s="1" t="s">
        <v>1463</v>
      </c>
      <c r="BG58" s="1" t="s">
        <v>68</v>
      </c>
      <c r="BH58" s="1" t="s">
        <v>867</v>
      </c>
      <c r="BI58" s="1" t="s">
        <v>68</v>
      </c>
      <c r="BJ58" s="1" t="s">
        <v>68</v>
      </c>
      <c r="BK58" s="1" t="s">
        <v>95</v>
      </c>
      <c r="BL58" s="1" t="s">
        <v>1464</v>
      </c>
      <c r="BM58" s="1" t="str">
        <f>HYPERLINK("https%3A%2F%2Fwww.webofscience.com%2Fwos%2Fwoscc%2Ffull-record%2FWOS:000828028100001","View Full Record in Web of Science")</f>
        <v>View Full Record in Web of Science</v>
      </c>
    </row>
    <row r="59" ht="12.75" customHeight="1">
      <c r="A59" s="1" t="s">
        <v>65</v>
      </c>
      <c r="B59" s="1" t="s">
        <v>1465</v>
      </c>
      <c r="C59" s="1" t="s">
        <v>1466</v>
      </c>
      <c r="D59" s="1" t="s">
        <v>68</v>
      </c>
      <c r="E59" s="1" t="s">
        <v>1467</v>
      </c>
      <c r="F59" s="1" t="s">
        <v>1468</v>
      </c>
      <c r="G59" s="1" t="s">
        <v>68</v>
      </c>
      <c r="H59" s="1" t="s">
        <v>71</v>
      </c>
      <c r="I59" s="1" t="s">
        <v>72</v>
      </c>
      <c r="J59" s="1" t="s">
        <v>68</v>
      </c>
      <c r="K59" s="1" t="s">
        <v>68</v>
      </c>
      <c r="L59" s="1" t="s">
        <v>68</v>
      </c>
      <c r="M59" s="1" t="s">
        <v>68</v>
      </c>
      <c r="N59" s="1" t="s">
        <v>1469</v>
      </c>
      <c r="O59" s="1" t="s">
        <v>1470</v>
      </c>
      <c r="P59" s="1" t="s">
        <v>1471</v>
      </c>
      <c r="Q59" s="1" t="s">
        <v>1472</v>
      </c>
      <c r="R59" s="1" t="s">
        <v>1473</v>
      </c>
      <c r="S59" s="1" t="s">
        <v>1474</v>
      </c>
      <c r="T59" s="1" t="s">
        <v>1475</v>
      </c>
      <c r="U59" s="1" t="s">
        <v>1476</v>
      </c>
      <c r="V59" s="1" t="s">
        <v>1477</v>
      </c>
      <c r="W59" s="1" t="s">
        <v>1478</v>
      </c>
      <c r="X59" s="1" t="s">
        <v>1479</v>
      </c>
      <c r="Y59" s="1" t="s">
        <v>1480</v>
      </c>
      <c r="Z59" s="1">
        <v>37.0</v>
      </c>
      <c r="AA59" s="1">
        <v>40.0</v>
      </c>
      <c r="AB59" s="1">
        <v>48.0</v>
      </c>
      <c r="AC59" s="1">
        <v>2.0</v>
      </c>
      <c r="AD59" s="1">
        <v>58.0</v>
      </c>
      <c r="AE59" s="1" t="s">
        <v>1481</v>
      </c>
      <c r="AF59" s="1" t="s">
        <v>663</v>
      </c>
      <c r="AG59" s="1" t="s">
        <v>1482</v>
      </c>
      <c r="AH59" s="1" t="s">
        <v>1483</v>
      </c>
      <c r="AI59" s="1" t="s">
        <v>68</v>
      </c>
      <c r="AJ59" s="1" t="s">
        <v>68</v>
      </c>
      <c r="AK59" s="1" t="s">
        <v>1468</v>
      </c>
      <c r="AL59" s="1" t="s">
        <v>1484</v>
      </c>
      <c r="AM59" s="1" t="s">
        <v>1485</v>
      </c>
      <c r="AN59" s="1">
        <v>2018.0</v>
      </c>
      <c r="AO59" s="1">
        <v>6.0</v>
      </c>
      <c r="AP59" s="1" t="s">
        <v>68</v>
      </c>
      <c r="AQ59" s="1" t="s">
        <v>68</v>
      </c>
      <c r="AR59" s="1" t="s">
        <v>68</v>
      </c>
      <c r="AS59" s="1" t="s">
        <v>68</v>
      </c>
      <c r="AT59" s="1" t="s">
        <v>68</v>
      </c>
      <c r="AU59" s="1" t="s">
        <v>68</v>
      </c>
      <c r="AV59" s="1" t="s">
        <v>68</v>
      </c>
      <c r="AW59" s="1" t="s">
        <v>1486</v>
      </c>
      <c r="AX59" s="1" t="s">
        <v>1487</v>
      </c>
      <c r="AY59" s="3" t="str">
        <f>HYPERLINK("http://dx.doi.org/10.7717/peerj.4536","http://dx.doi.org/10.7717/peerj.4536")</f>
        <v>http://dx.doi.org/10.7717/peerj.4536</v>
      </c>
      <c r="AZ59" s="1" t="s">
        <v>68</v>
      </c>
      <c r="BA59" s="1" t="s">
        <v>68</v>
      </c>
      <c r="BB59" s="1">
        <v>21.0</v>
      </c>
      <c r="BC59" s="1" t="s">
        <v>742</v>
      </c>
      <c r="BD59" s="1" t="s">
        <v>92</v>
      </c>
      <c r="BE59" s="1" t="s">
        <v>743</v>
      </c>
      <c r="BF59" s="1" t="s">
        <v>1488</v>
      </c>
      <c r="BG59" s="1">
        <v>2.9610706E7</v>
      </c>
      <c r="BH59" s="1" t="s">
        <v>94</v>
      </c>
      <c r="BI59" s="1" t="s">
        <v>68</v>
      </c>
      <c r="BJ59" s="1" t="s">
        <v>68</v>
      </c>
      <c r="BK59" s="1" t="s">
        <v>95</v>
      </c>
      <c r="BL59" s="1" t="s">
        <v>1489</v>
      </c>
      <c r="BM59" s="1" t="str">
        <f>HYPERLINK("https%3A%2F%2Fwww.webofscience.com%2Fwos%2Fwoscc%2Ffull-record%2FWOS:000428699300002","View Full Record in Web of Science")</f>
        <v>View Full Record in Web of Science</v>
      </c>
    </row>
    <row r="60" ht="12.75" customHeight="1">
      <c r="A60" s="1" t="s">
        <v>65</v>
      </c>
      <c r="B60" s="1" t="s">
        <v>1490</v>
      </c>
      <c r="C60" s="1" t="s">
        <v>1491</v>
      </c>
      <c r="D60" s="1" t="s">
        <v>68</v>
      </c>
      <c r="E60" s="1" t="s">
        <v>1492</v>
      </c>
      <c r="F60" s="1" t="s">
        <v>1493</v>
      </c>
      <c r="G60" s="1" t="s">
        <v>68</v>
      </c>
      <c r="H60" s="1" t="s">
        <v>71</v>
      </c>
      <c r="I60" s="1" t="s">
        <v>72</v>
      </c>
      <c r="J60" s="1" t="s">
        <v>68</v>
      </c>
      <c r="K60" s="1" t="s">
        <v>68</v>
      </c>
      <c r="L60" s="1" t="s">
        <v>68</v>
      </c>
      <c r="M60" s="1" t="s">
        <v>68</v>
      </c>
      <c r="N60" s="1" t="s">
        <v>1494</v>
      </c>
      <c r="O60" s="1" t="s">
        <v>1495</v>
      </c>
      <c r="P60" s="1" t="s">
        <v>1496</v>
      </c>
      <c r="Q60" s="1" t="s">
        <v>1497</v>
      </c>
      <c r="R60" s="1" t="s">
        <v>1498</v>
      </c>
      <c r="S60" s="1" t="s">
        <v>1499</v>
      </c>
      <c r="T60" s="1" t="s">
        <v>1500</v>
      </c>
      <c r="U60" s="1" t="s">
        <v>1501</v>
      </c>
      <c r="V60" s="1" t="s">
        <v>68</v>
      </c>
      <c r="W60" s="1" t="s">
        <v>1502</v>
      </c>
      <c r="X60" s="1" t="s">
        <v>1503</v>
      </c>
      <c r="Y60" s="1" t="s">
        <v>1504</v>
      </c>
      <c r="Z60" s="1">
        <v>62.0</v>
      </c>
      <c r="AA60" s="1">
        <v>0.0</v>
      </c>
      <c r="AB60" s="1">
        <v>0.0</v>
      </c>
      <c r="AC60" s="1">
        <v>0.0</v>
      </c>
      <c r="AD60" s="1">
        <v>0.0</v>
      </c>
      <c r="AE60" s="1" t="s">
        <v>114</v>
      </c>
      <c r="AF60" s="1" t="s">
        <v>1505</v>
      </c>
      <c r="AG60" s="1" t="s">
        <v>1506</v>
      </c>
      <c r="AH60" s="1" t="s">
        <v>1507</v>
      </c>
      <c r="AI60" s="1" t="s">
        <v>1508</v>
      </c>
      <c r="AJ60" s="1" t="s">
        <v>68</v>
      </c>
      <c r="AK60" s="1" t="s">
        <v>1509</v>
      </c>
      <c r="AL60" s="1" t="s">
        <v>1510</v>
      </c>
      <c r="AM60" s="1" t="s">
        <v>1511</v>
      </c>
      <c r="AN60" s="1">
        <v>2026.0</v>
      </c>
      <c r="AO60" s="1">
        <v>35.0</v>
      </c>
      <c r="AP60" s="1">
        <v>3.0</v>
      </c>
      <c r="AQ60" s="1" t="s">
        <v>68</v>
      </c>
      <c r="AR60" s="1" t="s">
        <v>68</v>
      </c>
      <c r="AS60" s="1" t="s">
        <v>68</v>
      </c>
      <c r="AT60" s="1" t="s">
        <v>68</v>
      </c>
      <c r="AU60" s="1" t="s">
        <v>68</v>
      </c>
      <c r="AV60" s="1" t="s">
        <v>68</v>
      </c>
      <c r="AW60" s="1">
        <v>75.0</v>
      </c>
      <c r="AX60" s="1" t="s">
        <v>1512</v>
      </c>
      <c r="AY60" s="3" t="str">
        <f>HYPERLINK("http://dx.doi.org/10.1007/s10531-026-03290-3","http://dx.doi.org/10.1007/s10531-026-03290-3")</f>
        <v>http://dx.doi.org/10.1007/s10531-026-03290-3</v>
      </c>
      <c r="AZ60" s="1" t="s">
        <v>68</v>
      </c>
      <c r="BA60" s="1" t="s">
        <v>68</v>
      </c>
      <c r="BB60" s="1">
        <v>15.0</v>
      </c>
      <c r="BC60" s="1" t="s">
        <v>122</v>
      </c>
      <c r="BD60" s="1" t="s">
        <v>92</v>
      </c>
      <c r="BE60" s="1" t="s">
        <v>123</v>
      </c>
      <c r="BF60" s="1" t="s">
        <v>1513</v>
      </c>
      <c r="BG60" s="1" t="s">
        <v>68</v>
      </c>
      <c r="BH60" s="1" t="s">
        <v>68</v>
      </c>
      <c r="BI60" s="1" t="s">
        <v>68</v>
      </c>
      <c r="BJ60" s="1" t="s">
        <v>68</v>
      </c>
      <c r="BK60" s="1" t="s">
        <v>95</v>
      </c>
      <c r="BL60" s="1" t="s">
        <v>1514</v>
      </c>
      <c r="BM60" s="1" t="str">
        <f>HYPERLINK("https%3A%2F%2Fwww.webofscience.com%2Fwos%2Fwoscc%2Ffull-record%2FWOS:001697730200001","View Full Record in Web of Science")</f>
        <v>View Full Record in Web of Science</v>
      </c>
    </row>
    <row r="61" ht="12.75" customHeight="1">
      <c r="A61" s="1" t="s">
        <v>65</v>
      </c>
      <c r="B61" s="1" t="s">
        <v>1515</v>
      </c>
      <c r="C61" s="1" t="s">
        <v>1516</v>
      </c>
      <c r="D61" s="1" t="s">
        <v>68</v>
      </c>
      <c r="E61" s="1" t="s">
        <v>1517</v>
      </c>
      <c r="F61" s="1" t="s">
        <v>1518</v>
      </c>
      <c r="G61" s="1" t="s">
        <v>68</v>
      </c>
      <c r="H61" s="1" t="s">
        <v>71</v>
      </c>
      <c r="I61" s="1" t="s">
        <v>72</v>
      </c>
      <c r="J61" s="1" t="s">
        <v>68</v>
      </c>
      <c r="K61" s="1" t="s">
        <v>68</v>
      </c>
      <c r="L61" s="1" t="s">
        <v>68</v>
      </c>
      <c r="M61" s="1" t="s">
        <v>68</v>
      </c>
      <c r="N61" s="1" t="s">
        <v>1519</v>
      </c>
      <c r="O61" s="1" t="s">
        <v>1520</v>
      </c>
      <c r="P61" s="1" t="s">
        <v>1521</v>
      </c>
      <c r="Q61" s="1" t="s">
        <v>1522</v>
      </c>
      <c r="R61" s="1" t="s">
        <v>1523</v>
      </c>
      <c r="S61" s="1" t="s">
        <v>1524</v>
      </c>
      <c r="T61" s="1" t="s">
        <v>1525</v>
      </c>
      <c r="U61" s="1" t="s">
        <v>1526</v>
      </c>
      <c r="V61" s="1" t="s">
        <v>68</v>
      </c>
      <c r="W61" s="1" t="s">
        <v>68</v>
      </c>
      <c r="X61" s="1" t="s">
        <v>68</v>
      </c>
      <c r="Y61" s="1" t="s">
        <v>68</v>
      </c>
      <c r="Z61" s="1">
        <v>41.0</v>
      </c>
      <c r="AA61" s="1">
        <v>0.0</v>
      </c>
      <c r="AB61" s="1">
        <v>0.0</v>
      </c>
      <c r="AC61" s="1">
        <v>0.0</v>
      </c>
      <c r="AD61" s="1">
        <v>0.0</v>
      </c>
      <c r="AE61" s="1" t="s">
        <v>1527</v>
      </c>
      <c r="AF61" s="1" t="s">
        <v>663</v>
      </c>
      <c r="AG61" s="1" t="s">
        <v>1528</v>
      </c>
      <c r="AH61" s="1" t="s">
        <v>1529</v>
      </c>
      <c r="AI61" s="1" t="s">
        <v>68</v>
      </c>
      <c r="AJ61" s="1" t="s">
        <v>68</v>
      </c>
      <c r="AK61" s="1" t="s">
        <v>1530</v>
      </c>
      <c r="AL61" s="1" t="s">
        <v>1531</v>
      </c>
      <c r="AM61" s="1" t="s">
        <v>68</v>
      </c>
      <c r="AN61" s="1">
        <v>2026.0</v>
      </c>
      <c r="AO61" s="1">
        <v>11.0</v>
      </c>
      <c r="AP61" s="1">
        <v>1.0</v>
      </c>
      <c r="AQ61" s="1" t="s">
        <v>68</v>
      </c>
      <c r="AR61" s="1" t="s">
        <v>68</v>
      </c>
      <c r="AS61" s="1" t="s">
        <v>68</v>
      </c>
      <c r="AT61" s="1" t="s">
        <v>68</v>
      </c>
      <c r="AU61" s="1" t="s">
        <v>68</v>
      </c>
      <c r="AV61" s="1" t="s">
        <v>68</v>
      </c>
      <c r="AW61" s="1">
        <v>36.0</v>
      </c>
      <c r="AX61" s="1" t="s">
        <v>1532</v>
      </c>
      <c r="AY61" s="3" t="str">
        <f>HYPERLINK("http://dx.doi.org/10.5334/cstp.836","http://dx.doi.org/10.5334/cstp.836")</f>
        <v>http://dx.doi.org/10.5334/cstp.836</v>
      </c>
      <c r="AZ61" s="1" t="s">
        <v>68</v>
      </c>
      <c r="BA61" s="1" t="s">
        <v>68</v>
      </c>
      <c r="BB61" s="1">
        <v>16.0</v>
      </c>
      <c r="BC61" s="1" t="s">
        <v>1533</v>
      </c>
      <c r="BD61" s="1" t="s">
        <v>197</v>
      </c>
      <c r="BE61" s="1" t="s">
        <v>1534</v>
      </c>
      <c r="BF61" s="1" t="s">
        <v>1535</v>
      </c>
      <c r="BG61" s="1" t="s">
        <v>68</v>
      </c>
      <c r="BH61" s="1" t="s">
        <v>94</v>
      </c>
      <c r="BI61" s="1" t="s">
        <v>68</v>
      </c>
      <c r="BJ61" s="1" t="s">
        <v>68</v>
      </c>
      <c r="BK61" s="1" t="s">
        <v>95</v>
      </c>
      <c r="BL61" s="1" t="s">
        <v>1536</v>
      </c>
      <c r="BM61" s="1" t="str">
        <f>HYPERLINK("https%3A%2F%2Fwww.webofscience.com%2Fwos%2Fwoscc%2Ffull-record%2FWOS:001688058600002","View Full Record in Web of Science")</f>
        <v>View Full Record in Web of Science</v>
      </c>
    </row>
    <row r="62" ht="12.75" customHeight="1">
      <c r="A62" s="1" t="s">
        <v>65</v>
      </c>
      <c r="B62" s="1" t="s">
        <v>1537</v>
      </c>
      <c r="C62" s="1" t="s">
        <v>1538</v>
      </c>
      <c r="D62" s="1" t="s">
        <v>68</v>
      </c>
      <c r="E62" s="1" t="s">
        <v>1539</v>
      </c>
      <c r="F62" s="1" t="s">
        <v>1540</v>
      </c>
      <c r="G62" s="1" t="s">
        <v>68</v>
      </c>
      <c r="H62" s="1" t="s">
        <v>71</v>
      </c>
      <c r="I62" s="1" t="s">
        <v>72</v>
      </c>
      <c r="J62" s="1" t="s">
        <v>68</v>
      </c>
      <c r="K62" s="1" t="s">
        <v>68</v>
      </c>
      <c r="L62" s="1" t="s">
        <v>68</v>
      </c>
      <c r="M62" s="1" t="s">
        <v>68</v>
      </c>
      <c r="N62" s="1" t="s">
        <v>1541</v>
      </c>
      <c r="O62" s="1" t="s">
        <v>1542</v>
      </c>
      <c r="P62" s="1" t="s">
        <v>1543</v>
      </c>
      <c r="Q62" s="1" t="s">
        <v>1544</v>
      </c>
      <c r="R62" s="1" t="s">
        <v>1545</v>
      </c>
      <c r="S62" s="1" t="s">
        <v>1546</v>
      </c>
      <c r="T62" s="1" t="s">
        <v>1547</v>
      </c>
      <c r="U62" s="1" t="s">
        <v>68</v>
      </c>
      <c r="V62" s="1" t="s">
        <v>68</v>
      </c>
      <c r="W62" s="1" t="s">
        <v>1548</v>
      </c>
      <c r="X62" s="1" t="s">
        <v>1548</v>
      </c>
      <c r="Y62" s="1" t="s">
        <v>1549</v>
      </c>
      <c r="Z62" s="1">
        <v>74.0</v>
      </c>
      <c r="AA62" s="1">
        <v>6.0</v>
      </c>
      <c r="AB62" s="1">
        <v>6.0</v>
      </c>
      <c r="AC62" s="1">
        <v>2.0</v>
      </c>
      <c r="AD62" s="1">
        <v>16.0</v>
      </c>
      <c r="AE62" s="1" t="s">
        <v>662</v>
      </c>
      <c r="AF62" s="1" t="s">
        <v>663</v>
      </c>
      <c r="AG62" s="1" t="s">
        <v>664</v>
      </c>
      <c r="AH62" s="1" t="s">
        <v>68</v>
      </c>
      <c r="AI62" s="1" t="s">
        <v>1550</v>
      </c>
      <c r="AJ62" s="1" t="s">
        <v>68</v>
      </c>
      <c r="AK62" s="1" t="s">
        <v>1551</v>
      </c>
      <c r="AL62" s="1" t="s">
        <v>1552</v>
      </c>
      <c r="AM62" s="1" t="s">
        <v>1553</v>
      </c>
      <c r="AN62" s="1">
        <v>2024.0</v>
      </c>
      <c r="AO62" s="1">
        <v>24.0</v>
      </c>
      <c r="AP62" s="1">
        <v>1.0</v>
      </c>
      <c r="AQ62" s="1" t="s">
        <v>68</v>
      </c>
      <c r="AR62" s="1" t="s">
        <v>68</v>
      </c>
      <c r="AS62" s="1" t="s">
        <v>68</v>
      </c>
      <c r="AT62" s="1" t="s">
        <v>68</v>
      </c>
      <c r="AU62" s="1" t="s">
        <v>68</v>
      </c>
      <c r="AV62" s="1" t="s">
        <v>68</v>
      </c>
      <c r="AW62" s="1">
        <v>148.0</v>
      </c>
      <c r="AX62" s="1" t="s">
        <v>1554</v>
      </c>
      <c r="AY62" s="3" t="str">
        <f>HYPERLINK("http://dx.doi.org/10.1186/s12862-024-02338-8","http://dx.doi.org/10.1186/s12862-024-02338-8")</f>
        <v>http://dx.doi.org/10.1186/s12862-024-02338-8</v>
      </c>
      <c r="AZ62" s="1" t="s">
        <v>68</v>
      </c>
      <c r="BA62" s="1" t="s">
        <v>68</v>
      </c>
      <c r="BB62" s="1">
        <v>14.0</v>
      </c>
      <c r="BC62" s="1" t="s">
        <v>1555</v>
      </c>
      <c r="BD62" s="1" t="s">
        <v>92</v>
      </c>
      <c r="BE62" s="1" t="s">
        <v>1556</v>
      </c>
      <c r="BF62" s="1" t="s">
        <v>1557</v>
      </c>
      <c r="BG62" s="1">
        <v>3.9716069E7</v>
      </c>
      <c r="BH62" s="1" t="s">
        <v>94</v>
      </c>
      <c r="BI62" s="1" t="s">
        <v>68</v>
      </c>
      <c r="BJ62" s="1" t="s">
        <v>68</v>
      </c>
      <c r="BK62" s="1" t="s">
        <v>95</v>
      </c>
      <c r="BL62" s="1" t="s">
        <v>1558</v>
      </c>
      <c r="BM62" s="1" t="str">
        <f>HYPERLINK("https%3A%2F%2Fwww.webofscience.com%2Fwos%2Fwoscc%2Ffull-record%2FWOS:001382310200001","View Full Record in Web of Science")</f>
        <v>View Full Record in Web of Science</v>
      </c>
    </row>
    <row r="63" ht="12.75" customHeight="1">
      <c r="A63" s="1" t="s">
        <v>65</v>
      </c>
      <c r="B63" s="1" t="s">
        <v>1559</v>
      </c>
      <c r="C63" s="1" t="s">
        <v>1560</v>
      </c>
      <c r="D63" s="1" t="s">
        <v>68</v>
      </c>
      <c r="E63" s="1" t="s">
        <v>1561</v>
      </c>
      <c r="F63" s="1" t="s">
        <v>1562</v>
      </c>
      <c r="G63" s="1" t="s">
        <v>68</v>
      </c>
      <c r="H63" s="1" t="s">
        <v>71</v>
      </c>
      <c r="I63" s="1" t="s">
        <v>72</v>
      </c>
      <c r="J63" s="1" t="s">
        <v>68</v>
      </c>
      <c r="K63" s="1" t="s">
        <v>68</v>
      </c>
      <c r="L63" s="1" t="s">
        <v>68</v>
      </c>
      <c r="M63" s="1" t="s">
        <v>68</v>
      </c>
      <c r="N63" s="1" t="s">
        <v>1563</v>
      </c>
      <c r="O63" s="1" t="s">
        <v>1564</v>
      </c>
      <c r="P63" s="1" t="s">
        <v>1565</v>
      </c>
      <c r="Q63" s="1" t="s">
        <v>1566</v>
      </c>
      <c r="R63" s="1" t="s">
        <v>1567</v>
      </c>
      <c r="S63" s="1" t="s">
        <v>1568</v>
      </c>
      <c r="T63" s="1" t="s">
        <v>1569</v>
      </c>
      <c r="U63" s="1" t="s">
        <v>1570</v>
      </c>
      <c r="V63" s="1" t="s">
        <v>1571</v>
      </c>
      <c r="W63" s="1" t="s">
        <v>1572</v>
      </c>
      <c r="X63" s="1" t="s">
        <v>1573</v>
      </c>
      <c r="Y63" s="1" t="s">
        <v>1574</v>
      </c>
      <c r="Z63" s="1">
        <v>57.0</v>
      </c>
      <c r="AA63" s="1">
        <v>42.0</v>
      </c>
      <c r="AB63" s="1">
        <v>50.0</v>
      </c>
      <c r="AC63" s="1">
        <v>0.0</v>
      </c>
      <c r="AD63" s="1">
        <v>20.0</v>
      </c>
      <c r="AE63" s="1" t="s">
        <v>503</v>
      </c>
      <c r="AF63" s="1" t="s">
        <v>504</v>
      </c>
      <c r="AG63" s="1" t="s">
        <v>505</v>
      </c>
      <c r="AH63" s="1" t="s">
        <v>1575</v>
      </c>
      <c r="AI63" s="1" t="s">
        <v>1576</v>
      </c>
      <c r="AJ63" s="1" t="s">
        <v>68</v>
      </c>
      <c r="AK63" s="1" t="s">
        <v>1577</v>
      </c>
      <c r="AL63" s="1" t="s">
        <v>1578</v>
      </c>
      <c r="AM63" s="1" t="s">
        <v>428</v>
      </c>
      <c r="AN63" s="1">
        <v>2021.0</v>
      </c>
      <c r="AO63" s="1">
        <v>58.0</v>
      </c>
      <c r="AP63" s="1">
        <v>10.0</v>
      </c>
      <c r="AQ63" s="1" t="s">
        <v>68</v>
      </c>
      <c r="AR63" s="1" t="s">
        <v>68</v>
      </c>
      <c r="AS63" s="1" t="s">
        <v>68</v>
      </c>
      <c r="AT63" s="1" t="s">
        <v>68</v>
      </c>
      <c r="AU63" s="1">
        <v>2018.0</v>
      </c>
      <c r="AV63" s="1">
        <v>2028.0</v>
      </c>
      <c r="AW63" s="1" t="s">
        <v>68</v>
      </c>
      <c r="AX63" s="1" t="s">
        <v>1579</v>
      </c>
      <c r="AY63" s="3" t="str">
        <f>HYPERLINK("http://dx.doi.org/10.1111/1365-2664.13896","http://dx.doi.org/10.1111/1365-2664.13896")</f>
        <v>http://dx.doi.org/10.1111/1365-2664.13896</v>
      </c>
      <c r="AZ63" s="1" t="s">
        <v>68</v>
      </c>
      <c r="BA63" s="1" t="s">
        <v>1580</v>
      </c>
      <c r="BB63" s="1">
        <v>11.0</v>
      </c>
      <c r="BC63" s="1" t="s">
        <v>1011</v>
      </c>
      <c r="BD63" s="1" t="s">
        <v>92</v>
      </c>
      <c r="BE63" s="1" t="s">
        <v>123</v>
      </c>
      <c r="BF63" s="1" t="s">
        <v>1581</v>
      </c>
      <c r="BG63" s="1" t="s">
        <v>68</v>
      </c>
      <c r="BH63" s="1" t="s">
        <v>591</v>
      </c>
      <c r="BI63" s="1" t="s">
        <v>68</v>
      </c>
      <c r="BJ63" s="1" t="s">
        <v>68</v>
      </c>
      <c r="BK63" s="1" t="s">
        <v>95</v>
      </c>
      <c r="BL63" s="1" t="s">
        <v>1582</v>
      </c>
      <c r="BM63" s="1" t="str">
        <f>HYPERLINK("https%3A%2F%2Fwww.webofscience.com%2Fwos%2Fwoscc%2Ffull-record%2FWOS:000651069100001","View Full Record in Web of Science")</f>
        <v>View Full Record in Web of Science</v>
      </c>
    </row>
    <row r="64" ht="12.75" customHeight="1">
      <c r="A64" s="1" t="s">
        <v>65</v>
      </c>
      <c r="B64" s="1" t="s">
        <v>1583</v>
      </c>
      <c r="C64" s="1" t="s">
        <v>1584</v>
      </c>
      <c r="D64" s="1" t="s">
        <v>68</v>
      </c>
      <c r="E64" s="1" t="s">
        <v>1585</v>
      </c>
      <c r="F64" s="1" t="s">
        <v>1586</v>
      </c>
      <c r="G64" s="1" t="s">
        <v>68</v>
      </c>
      <c r="H64" s="1" t="s">
        <v>71</v>
      </c>
      <c r="I64" s="1" t="s">
        <v>72</v>
      </c>
      <c r="J64" s="1" t="s">
        <v>68</v>
      </c>
      <c r="K64" s="1" t="s">
        <v>68</v>
      </c>
      <c r="L64" s="1" t="s">
        <v>68</v>
      </c>
      <c r="M64" s="1" t="s">
        <v>68</v>
      </c>
      <c r="N64" s="1" t="s">
        <v>1587</v>
      </c>
      <c r="O64" s="1" t="s">
        <v>1588</v>
      </c>
      <c r="P64" s="1" t="s">
        <v>1589</v>
      </c>
      <c r="Q64" s="1" t="s">
        <v>1590</v>
      </c>
      <c r="R64" s="1" t="s">
        <v>1591</v>
      </c>
      <c r="S64" s="1" t="s">
        <v>1592</v>
      </c>
      <c r="T64" s="1" t="s">
        <v>1593</v>
      </c>
      <c r="U64" s="1" t="s">
        <v>1594</v>
      </c>
      <c r="V64" s="1" t="s">
        <v>1595</v>
      </c>
      <c r="W64" s="1" t="s">
        <v>68</v>
      </c>
      <c r="X64" s="1" t="s">
        <v>68</v>
      </c>
      <c r="Y64" s="1" t="s">
        <v>68</v>
      </c>
      <c r="Z64" s="1">
        <v>78.0</v>
      </c>
      <c r="AA64" s="1">
        <v>95.0</v>
      </c>
      <c r="AB64" s="1">
        <v>116.0</v>
      </c>
      <c r="AC64" s="1">
        <v>1.0</v>
      </c>
      <c r="AD64" s="1">
        <v>43.0</v>
      </c>
      <c r="AE64" s="1" t="s">
        <v>1596</v>
      </c>
      <c r="AF64" s="1" t="s">
        <v>1182</v>
      </c>
      <c r="AG64" s="1" t="s">
        <v>1597</v>
      </c>
      <c r="AH64" s="1" t="s">
        <v>1598</v>
      </c>
      <c r="AI64" s="1" t="s">
        <v>1599</v>
      </c>
      <c r="AJ64" s="1" t="s">
        <v>68</v>
      </c>
      <c r="AK64" s="1" t="s">
        <v>1600</v>
      </c>
      <c r="AL64" s="1" t="s">
        <v>1601</v>
      </c>
      <c r="AM64" s="1" t="s">
        <v>959</v>
      </c>
      <c r="AN64" s="1">
        <v>2020.0</v>
      </c>
      <c r="AO64" s="1">
        <v>728.0</v>
      </c>
      <c r="AP64" s="1" t="s">
        <v>68</v>
      </c>
      <c r="AQ64" s="1" t="s">
        <v>68</v>
      </c>
      <c r="AR64" s="1" t="s">
        <v>68</v>
      </c>
      <c r="AS64" s="1" t="s">
        <v>68</v>
      </c>
      <c r="AT64" s="1" t="s">
        <v>68</v>
      </c>
      <c r="AU64" s="1" t="s">
        <v>68</v>
      </c>
      <c r="AV64" s="1" t="s">
        <v>68</v>
      </c>
      <c r="AW64" s="1">
        <v>137843.0</v>
      </c>
      <c r="AX64" s="1" t="s">
        <v>1602</v>
      </c>
      <c r="AY64" s="3" t="str">
        <f>HYPERLINK("http://dx.doi.org/10.1016/j.scitotenv.2020.137843","http://dx.doi.org/10.1016/j.scitotenv.2020.137843")</f>
        <v>http://dx.doi.org/10.1016/j.scitotenv.2020.137843</v>
      </c>
      <c r="AZ64" s="1" t="s">
        <v>68</v>
      </c>
      <c r="BA64" s="1" t="s">
        <v>68</v>
      </c>
      <c r="BB64" s="1">
        <v>17.0</v>
      </c>
      <c r="BC64" s="1" t="s">
        <v>484</v>
      </c>
      <c r="BD64" s="1" t="s">
        <v>279</v>
      </c>
      <c r="BE64" s="1" t="s">
        <v>333</v>
      </c>
      <c r="BF64" s="1" t="s">
        <v>1603</v>
      </c>
      <c r="BG64" s="1">
        <v>3.2570323E7</v>
      </c>
      <c r="BH64" s="1" t="s">
        <v>644</v>
      </c>
      <c r="BI64" s="1" t="s">
        <v>68</v>
      </c>
      <c r="BJ64" s="1" t="s">
        <v>68</v>
      </c>
      <c r="BK64" s="1" t="s">
        <v>95</v>
      </c>
      <c r="BL64" s="1" t="s">
        <v>1604</v>
      </c>
      <c r="BM64" s="1" t="str">
        <f>HYPERLINK("https%3A%2F%2Fwww.webofscience.com%2Fwos%2Fwoscc%2Ffull-record%2FWOS:000541012100001","View Full Record in Web of Science")</f>
        <v>View Full Record in Web of Science</v>
      </c>
    </row>
    <row r="65" ht="12.75" customHeight="1">
      <c r="A65" s="1" t="s">
        <v>65</v>
      </c>
      <c r="B65" s="1" t="s">
        <v>1605</v>
      </c>
      <c r="C65" s="1" t="s">
        <v>1606</v>
      </c>
      <c r="D65" s="1" t="s">
        <v>68</v>
      </c>
      <c r="E65" s="1" t="s">
        <v>1607</v>
      </c>
      <c r="F65" s="1" t="s">
        <v>1608</v>
      </c>
      <c r="G65" s="1" t="s">
        <v>68</v>
      </c>
      <c r="H65" s="1" t="s">
        <v>71</v>
      </c>
      <c r="I65" s="1" t="s">
        <v>1609</v>
      </c>
      <c r="J65" s="1" t="s">
        <v>68</v>
      </c>
      <c r="K65" s="1" t="s">
        <v>68</v>
      </c>
      <c r="L65" s="1" t="s">
        <v>68</v>
      </c>
      <c r="M65" s="1" t="s">
        <v>68</v>
      </c>
      <c r="N65" s="1" t="s">
        <v>1610</v>
      </c>
      <c r="O65" s="1" t="s">
        <v>1611</v>
      </c>
      <c r="P65" s="1" t="s">
        <v>1612</v>
      </c>
      <c r="Q65" s="1" t="s">
        <v>1613</v>
      </c>
      <c r="R65" s="1" t="s">
        <v>68</v>
      </c>
      <c r="S65" s="1" t="s">
        <v>1614</v>
      </c>
      <c r="T65" s="1" t="s">
        <v>1615</v>
      </c>
      <c r="U65" s="1" t="s">
        <v>68</v>
      </c>
      <c r="V65" s="1" t="s">
        <v>1616</v>
      </c>
      <c r="W65" s="1" t="s">
        <v>1617</v>
      </c>
      <c r="X65" s="1" t="s">
        <v>1617</v>
      </c>
      <c r="Y65" s="1" t="s">
        <v>1618</v>
      </c>
      <c r="Z65" s="1">
        <v>97.0</v>
      </c>
      <c r="AA65" s="1">
        <v>0.0</v>
      </c>
      <c r="AB65" s="1">
        <v>0.0</v>
      </c>
      <c r="AC65" s="1">
        <v>1.0</v>
      </c>
      <c r="AD65" s="1">
        <v>1.0</v>
      </c>
      <c r="AE65" s="1" t="s">
        <v>503</v>
      </c>
      <c r="AF65" s="1" t="s">
        <v>504</v>
      </c>
      <c r="AG65" s="1" t="s">
        <v>505</v>
      </c>
      <c r="AH65" s="1" t="s">
        <v>1619</v>
      </c>
      <c r="AI65" s="1" t="s">
        <v>1620</v>
      </c>
      <c r="AJ65" s="1" t="s">
        <v>68</v>
      </c>
      <c r="AK65" s="1" t="s">
        <v>1608</v>
      </c>
      <c r="AL65" s="1" t="s">
        <v>1621</v>
      </c>
      <c r="AM65" s="1" t="s">
        <v>1622</v>
      </c>
      <c r="AN65" s="1">
        <v>2025.0</v>
      </c>
      <c r="AO65" s="1" t="s">
        <v>68</v>
      </c>
      <c r="AP65" s="1" t="s">
        <v>68</v>
      </c>
      <c r="AQ65" s="1" t="s">
        <v>68</v>
      </c>
      <c r="AR65" s="1" t="s">
        <v>68</v>
      </c>
      <c r="AS65" s="1" t="s">
        <v>68</v>
      </c>
      <c r="AT65" s="1" t="s">
        <v>68</v>
      </c>
      <c r="AU65" s="1" t="s">
        <v>68</v>
      </c>
      <c r="AV65" s="1" t="s">
        <v>68</v>
      </c>
      <c r="AW65" s="1" t="s">
        <v>68</v>
      </c>
      <c r="AX65" s="1" t="s">
        <v>1623</v>
      </c>
      <c r="AY65" s="3" t="str">
        <f>HYPERLINK("http://dx.doi.org/10.1002/oik.11594","http://dx.doi.org/10.1002/oik.11594")</f>
        <v>http://dx.doi.org/10.1002/oik.11594</v>
      </c>
      <c r="AZ65" s="1" t="s">
        <v>68</v>
      </c>
      <c r="BA65" s="1" t="s">
        <v>1624</v>
      </c>
      <c r="BB65" s="1">
        <v>15.0</v>
      </c>
      <c r="BC65" s="1" t="s">
        <v>332</v>
      </c>
      <c r="BD65" s="1" t="s">
        <v>92</v>
      </c>
      <c r="BE65" s="1" t="s">
        <v>333</v>
      </c>
      <c r="BF65" s="1" t="s">
        <v>1625</v>
      </c>
      <c r="BG65" s="1" t="s">
        <v>68</v>
      </c>
      <c r="BH65" s="1" t="s">
        <v>68</v>
      </c>
      <c r="BI65" s="1" t="s">
        <v>68</v>
      </c>
      <c r="BJ65" s="1" t="s">
        <v>68</v>
      </c>
      <c r="BK65" s="1" t="s">
        <v>95</v>
      </c>
      <c r="BL65" s="1" t="s">
        <v>1626</v>
      </c>
      <c r="BM65" s="1" t="str">
        <f>HYPERLINK("https%3A%2F%2Fwww.webofscience.com%2Fwos%2Fwoscc%2Ffull-record%2FWOS:001635069000001","View Full Record in Web of Science")</f>
        <v>View Full Record in Web of Science</v>
      </c>
    </row>
    <row r="66" ht="12.75" customHeight="1">
      <c r="A66" s="1" t="s">
        <v>65</v>
      </c>
      <c r="B66" s="1" t="s">
        <v>1627</v>
      </c>
      <c r="C66" s="1" t="s">
        <v>1628</v>
      </c>
      <c r="D66" s="1" t="s">
        <v>68</v>
      </c>
      <c r="E66" s="1" t="s">
        <v>1629</v>
      </c>
      <c r="F66" s="1" t="s">
        <v>1630</v>
      </c>
      <c r="G66" s="1" t="s">
        <v>68</v>
      </c>
      <c r="H66" s="1" t="s">
        <v>71</v>
      </c>
      <c r="I66" s="1" t="s">
        <v>72</v>
      </c>
      <c r="J66" s="1" t="s">
        <v>68</v>
      </c>
      <c r="K66" s="1" t="s">
        <v>68</v>
      </c>
      <c r="L66" s="1" t="s">
        <v>68</v>
      </c>
      <c r="M66" s="1" t="s">
        <v>68</v>
      </c>
      <c r="N66" s="1" t="s">
        <v>68</v>
      </c>
      <c r="O66" s="1" t="s">
        <v>1631</v>
      </c>
      <c r="P66" s="1" t="s">
        <v>1632</v>
      </c>
      <c r="Q66" s="1" t="s">
        <v>1633</v>
      </c>
      <c r="R66" s="1" t="s">
        <v>1634</v>
      </c>
      <c r="S66" s="1" t="s">
        <v>1635</v>
      </c>
      <c r="T66" s="1" t="s">
        <v>1636</v>
      </c>
      <c r="U66" s="1" t="s">
        <v>1637</v>
      </c>
      <c r="V66" s="1" t="s">
        <v>1638</v>
      </c>
      <c r="W66" s="1" t="s">
        <v>1639</v>
      </c>
      <c r="X66" s="1" t="s">
        <v>1640</v>
      </c>
      <c r="Y66" s="1" t="s">
        <v>1641</v>
      </c>
      <c r="Z66" s="1">
        <v>26.0</v>
      </c>
      <c r="AA66" s="1">
        <v>67.0</v>
      </c>
      <c r="AB66" s="1">
        <v>84.0</v>
      </c>
      <c r="AC66" s="1">
        <v>1.0</v>
      </c>
      <c r="AD66" s="1">
        <v>54.0</v>
      </c>
      <c r="AE66" s="1" t="s">
        <v>503</v>
      </c>
      <c r="AF66" s="1" t="s">
        <v>504</v>
      </c>
      <c r="AG66" s="1" t="s">
        <v>505</v>
      </c>
      <c r="AH66" s="1" t="s">
        <v>1642</v>
      </c>
      <c r="AI66" s="1" t="s">
        <v>1643</v>
      </c>
      <c r="AJ66" s="1" t="s">
        <v>68</v>
      </c>
      <c r="AK66" s="1" t="s">
        <v>1630</v>
      </c>
      <c r="AL66" s="1" t="s">
        <v>1644</v>
      </c>
      <c r="AM66" s="1" t="s">
        <v>694</v>
      </c>
      <c r="AN66" s="1">
        <v>2016.0</v>
      </c>
      <c r="AO66" s="1">
        <v>54.0</v>
      </c>
      <c r="AP66" s="1">
        <v>3.0</v>
      </c>
      <c r="AQ66" s="1" t="s">
        <v>68</v>
      </c>
      <c r="AR66" s="1" t="s">
        <v>68</v>
      </c>
      <c r="AS66" s="1" t="s">
        <v>68</v>
      </c>
      <c r="AT66" s="1" t="s">
        <v>68</v>
      </c>
      <c r="AU66" s="1">
        <v>317.0</v>
      </c>
      <c r="AV66" s="1">
        <v>324.0</v>
      </c>
      <c r="AW66" s="1" t="s">
        <v>68</v>
      </c>
      <c r="AX66" s="1" t="s">
        <v>1645</v>
      </c>
      <c r="AY66" s="3" t="str">
        <f>HYPERLINK("http://dx.doi.org/10.1111/gwat.12336","http://dx.doi.org/10.1111/gwat.12336")</f>
        <v>http://dx.doi.org/10.1111/gwat.12336</v>
      </c>
      <c r="AZ66" s="1" t="s">
        <v>68</v>
      </c>
      <c r="BA66" s="1" t="s">
        <v>68</v>
      </c>
      <c r="BB66" s="1">
        <v>8.0</v>
      </c>
      <c r="BC66" s="1" t="s">
        <v>1646</v>
      </c>
      <c r="BD66" s="1" t="s">
        <v>92</v>
      </c>
      <c r="BE66" s="1" t="s">
        <v>1647</v>
      </c>
      <c r="BF66" s="1" t="s">
        <v>1648</v>
      </c>
      <c r="BG66" s="1">
        <v>2.5825253E7</v>
      </c>
      <c r="BH66" s="1" t="s">
        <v>68</v>
      </c>
      <c r="BI66" s="1" t="s">
        <v>68</v>
      </c>
      <c r="BJ66" s="1" t="s">
        <v>68</v>
      </c>
      <c r="BK66" s="1" t="s">
        <v>95</v>
      </c>
      <c r="BL66" s="1" t="s">
        <v>1649</v>
      </c>
      <c r="BM66" s="1" t="str">
        <f>HYPERLINK("https%3A%2F%2Fwww.webofscience.com%2Fwos%2Fwoscc%2Ffull-record%2FWOS:000376209600004","View Full Record in Web of Science")</f>
        <v>View Full Record in Web of Science</v>
      </c>
    </row>
    <row r="67" ht="12.75" customHeight="1">
      <c r="A67" s="1" t="s">
        <v>65</v>
      </c>
      <c r="B67" s="1" t="s">
        <v>1650</v>
      </c>
      <c r="C67" s="1" t="s">
        <v>1651</v>
      </c>
      <c r="D67" s="1" t="s">
        <v>68</v>
      </c>
      <c r="E67" s="1" t="s">
        <v>1652</v>
      </c>
      <c r="F67" s="1" t="s">
        <v>1653</v>
      </c>
      <c r="G67" s="1" t="s">
        <v>68</v>
      </c>
      <c r="H67" s="1" t="s">
        <v>71</v>
      </c>
      <c r="I67" s="1" t="s">
        <v>72</v>
      </c>
      <c r="J67" s="1" t="s">
        <v>68</v>
      </c>
      <c r="K67" s="1" t="s">
        <v>68</v>
      </c>
      <c r="L67" s="1" t="s">
        <v>68</v>
      </c>
      <c r="M67" s="1" t="s">
        <v>68</v>
      </c>
      <c r="N67" s="1" t="s">
        <v>1654</v>
      </c>
      <c r="O67" s="1" t="s">
        <v>1655</v>
      </c>
      <c r="P67" s="1" t="s">
        <v>1656</v>
      </c>
      <c r="Q67" s="1" t="s">
        <v>1657</v>
      </c>
      <c r="R67" s="1" t="s">
        <v>1658</v>
      </c>
      <c r="S67" s="1" t="s">
        <v>1659</v>
      </c>
      <c r="T67" s="1" t="s">
        <v>1660</v>
      </c>
      <c r="U67" s="1" t="s">
        <v>1661</v>
      </c>
      <c r="V67" s="1" t="s">
        <v>1662</v>
      </c>
      <c r="W67" s="1" t="s">
        <v>1663</v>
      </c>
      <c r="X67" s="1" t="s">
        <v>1664</v>
      </c>
      <c r="Y67" s="1" t="s">
        <v>1665</v>
      </c>
      <c r="Z67" s="1">
        <v>65.0</v>
      </c>
      <c r="AA67" s="1">
        <v>11.0</v>
      </c>
      <c r="AB67" s="1">
        <v>12.0</v>
      </c>
      <c r="AC67" s="1">
        <v>0.0</v>
      </c>
      <c r="AD67" s="1">
        <v>19.0</v>
      </c>
      <c r="AE67" s="1" t="s">
        <v>811</v>
      </c>
      <c r="AF67" s="1" t="s">
        <v>1666</v>
      </c>
      <c r="AG67" s="1" t="s">
        <v>1667</v>
      </c>
      <c r="AH67" s="1" t="s">
        <v>1668</v>
      </c>
      <c r="AI67" s="1" t="s">
        <v>1669</v>
      </c>
      <c r="AJ67" s="1" t="s">
        <v>68</v>
      </c>
      <c r="AK67" s="1" t="s">
        <v>1670</v>
      </c>
      <c r="AL67" s="1" t="s">
        <v>1671</v>
      </c>
      <c r="AM67" s="1" t="s">
        <v>959</v>
      </c>
      <c r="AN67" s="1">
        <v>2023.0</v>
      </c>
      <c r="AO67" s="1">
        <v>242.0</v>
      </c>
      <c r="AP67" s="1" t="s">
        <v>68</v>
      </c>
      <c r="AQ67" s="1" t="s">
        <v>68</v>
      </c>
      <c r="AR67" s="1" t="s">
        <v>68</v>
      </c>
      <c r="AS67" s="1" t="s">
        <v>68</v>
      </c>
      <c r="AT67" s="1" t="s">
        <v>68</v>
      </c>
      <c r="AU67" s="1" t="s">
        <v>68</v>
      </c>
      <c r="AV67" s="1" t="s">
        <v>68</v>
      </c>
      <c r="AW67" s="1">
        <v>106668.0</v>
      </c>
      <c r="AX67" s="1" t="s">
        <v>1672</v>
      </c>
      <c r="AY67" s="3" t="str">
        <f>HYPERLINK("http://dx.doi.org/10.1016/j.ocecoaman.2023.106668","http://dx.doi.org/10.1016/j.ocecoaman.2023.106668")</f>
        <v>http://dx.doi.org/10.1016/j.ocecoaman.2023.106668</v>
      </c>
      <c r="AZ67" s="1" t="s">
        <v>68</v>
      </c>
      <c r="BA67" s="1" t="s">
        <v>1673</v>
      </c>
      <c r="BB67" s="1">
        <v>10.0</v>
      </c>
      <c r="BC67" s="1" t="s">
        <v>1674</v>
      </c>
      <c r="BD67" s="1" t="s">
        <v>92</v>
      </c>
      <c r="BE67" s="1" t="s">
        <v>1674</v>
      </c>
      <c r="BF67" s="1" t="s">
        <v>1675</v>
      </c>
      <c r="BG67" s="1" t="s">
        <v>68</v>
      </c>
      <c r="BH67" s="1" t="s">
        <v>591</v>
      </c>
      <c r="BI67" s="1" t="s">
        <v>68</v>
      </c>
      <c r="BJ67" s="1" t="s">
        <v>68</v>
      </c>
      <c r="BK67" s="1" t="s">
        <v>95</v>
      </c>
      <c r="BL67" s="1" t="s">
        <v>1676</v>
      </c>
      <c r="BM67" s="1" t="str">
        <f>HYPERLINK("https%3A%2F%2Fwww.webofscience.com%2Fwos%2Fwoscc%2Ffull-record%2FWOS:001025768200001","View Full Record in Web of Science")</f>
        <v>View Full Record in Web of Science</v>
      </c>
    </row>
    <row r="68" ht="12.75" customHeight="1">
      <c r="A68" s="1" t="s">
        <v>65</v>
      </c>
      <c r="B68" s="1" t="s">
        <v>1677</v>
      </c>
      <c r="C68" s="1" t="s">
        <v>1678</v>
      </c>
      <c r="D68" s="1" t="s">
        <v>68</v>
      </c>
      <c r="E68" s="1" t="s">
        <v>1679</v>
      </c>
      <c r="F68" s="1" t="s">
        <v>1680</v>
      </c>
      <c r="G68" s="1" t="s">
        <v>68</v>
      </c>
      <c r="H68" s="1" t="s">
        <v>71</v>
      </c>
      <c r="I68" s="1" t="s">
        <v>72</v>
      </c>
      <c r="J68" s="1" t="s">
        <v>68</v>
      </c>
      <c r="K68" s="1" t="s">
        <v>68</v>
      </c>
      <c r="L68" s="1" t="s">
        <v>68</v>
      </c>
      <c r="M68" s="1" t="s">
        <v>68</v>
      </c>
      <c r="N68" s="1" t="s">
        <v>1681</v>
      </c>
      <c r="O68" s="1" t="s">
        <v>1682</v>
      </c>
      <c r="P68" s="1" t="s">
        <v>1683</v>
      </c>
      <c r="Q68" s="1" t="s">
        <v>1684</v>
      </c>
      <c r="R68" s="1" t="s">
        <v>1685</v>
      </c>
      <c r="S68" s="1" t="s">
        <v>1686</v>
      </c>
      <c r="T68" s="1" t="s">
        <v>1687</v>
      </c>
      <c r="U68" s="1" t="s">
        <v>1688</v>
      </c>
      <c r="V68" s="1" t="s">
        <v>1689</v>
      </c>
      <c r="W68" s="1" t="s">
        <v>1690</v>
      </c>
      <c r="X68" s="1" t="s">
        <v>1690</v>
      </c>
      <c r="Y68" s="1" t="s">
        <v>1691</v>
      </c>
      <c r="Z68" s="1">
        <v>63.0</v>
      </c>
      <c r="AA68" s="1">
        <v>15.0</v>
      </c>
      <c r="AB68" s="1">
        <v>17.0</v>
      </c>
      <c r="AC68" s="1">
        <v>1.0</v>
      </c>
      <c r="AD68" s="1">
        <v>30.0</v>
      </c>
      <c r="AE68" s="1" t="s">
        <v>1596</v>
      </c>
      <c r="AF68" s="1" t="s">
        <v>1182</v>
      </c>
      <c r="AG68" s="1" t="s">
        <v>1597</v>
      </c>
      <c r="AH68" s="1" t="s">
        <v>1692</v>
      </c>
      <c r="AI68" s="1" t="s">
        <v>1693</v>
      </c>
      <c r="AJ68" s="1" t="s">
        <v>68</v>
      </c>
      <c r="AK68" s="1" t="s">
        <v>1694</v>
      </c>
      <c r="AL68" s="1" t="s">
        <v>1695</v>
      </c>
      <c r="AM68" s="1" t="s">
        <v>1264</v>
      </c>
      <c r="AN68" s="1">
        <v>2020.0</v>
      </c>
      <c r="AO68" s="1">
        <v>112.0</v>
      </c>
      <c r="AP68" s="1" t="s">
        <v>68</v>
      </c>
      <c r="AQ68" s="1" t="s">
        <v>68</v>
      </c>
      <c r="AR68" s="1" t="s">
        <v>68</v>
      </c>
      <c r="AS68" s="1" t="s">
        <v>68</v>
      </c>
      <c r="AT68" s="1" t="s">
        <v>68</v>
      </c>
      <c r="AU68" s="1">
        <v>899.0</v>
      </c>
      <c r="AV68" s="1">
        <v>912.0</v>
      </c>
      <c r="AW68" s="1" t="s">
        <v>68</v>
      </c>
      <c r="AX68" s="1" t="s">
        <v>1696</v>
      </c>
      <c r="AY68" s="3" t="str">
        <f>HYPERLINK("http://dx.doi.org/10.1016/j.future.2020.06.041","http://dx.doi.org/10.1016/j.future.2020.06.041")</f>
        <v>http://dx.doi.org/10.1016/j.future.2020.06.041</v>
      </c>
      <c r="AZ68" s="1" t="s">
        <v>68</v>
      </c>
      <c r="BA68" s="1" t="s">
        <v>68</v>
      </c>
      <c r="BB68" s="1">
        <v>14.0</v>
      </c>
      <c r="BC68" s="1" t="s">
        <v>1697</v>
      </c>
      <c r="BD68" s="1" t="s">
        <v>279</v>
      </c>
      <c r="BE68" s="1" t="s">
        <v>912</v>
      </c>
      <c r="BF68" s="1" t="s">
        <v>1698</v>
      </c>
      <c r="BG68" s="1" t="s">
        <v>68</v>
      </c>
      <c r="BH68" s="1" t="s">
        <v>591</v>
      </c>
      <c r="BI68" s="1" t="s">
        <v>68</v>
      </c>
      <c r="BJ68" s="1" t="s">
        <v>68</v>
      </c>
      <c r="BK68" s="1" t="s">
        <v>95</v>
      </c>
      <c r="BL68" s="1" t="s">
        <v>1699</v>
      </c>
      <c r="BM68" s="1" t="str">
        <f>HYPERLINK("https%3A%2F%2Fwww.webofscience.com%2Fwos%2Fwoscc%2Ffull-record%2FWOS:000567825900027","View Full Record in Web of Science")</f>
        <v>View Full Record in Web of Science</v>
      </c>
    </row>
    <row r="69" ht="12.75" customHeight="1">
      <c r="A69" s="1" t="s">
        <v>65</v>
      </c>
      <c r="B69" s="1" t="s">
        <v>1700</v>
      </c>
      <c r="C69" s="1" t="s">
        <v>1701</v>
      </c>
      <c r="D69" s="1" t="s">
        <v>68</v>
      </c>
      <c r="E69" s="1" t="s">
        <v>1702</v>
      </c>
      <c r="F69" s="1" t="s">
        <v>1703</v>
      </c>
      <c r="G69" s="1" t="s">
        <v>68</v>
      </c>
      <c r="H69" s="1" t="s">
        <v>71</v>
      </c>
      <c r="I69" s="1" t="s">
        <v>101</v>
      </c>
      <c r="J69" s="1" t="s">
        <v>68</v>
      </c>
      <c r="K69" s="1" t="s">
        <v>68</v>
      </c>
      <c r="L69" s="1" t="s">
        <v>68</v>
      </c>
      <c r="M69" s="1" t="s">
        <v>68</v>
      </c>
      <c r="N69" s="1" t="s">
        <v>1704</v>
      </c>
      <c r="O69" s="1" t="s">
        <v>1705</v>
      </c>
      <c r="P69" s="1" t="s">
        <v>1706</v>
      </c>
      <c r="Q69" s="1" t="s">
        <v>1707</v>
      </c>
      <c r="R69" s="1" t="s">
        <v>1708</v>
      </c>
      <c r="S69" s="1" t="s">
        <v>1709</v>
      </c>
      <c r="T69" s="1" t="s">
        <v>1710</v>
      </c>
      <c r="U69" s="1" t="s">
        <v>1711</v>
      </c>
      <c r="V69" s="1" t="s">
        <v>1712</v>
      </c>
      <c r="W69" s="1" t="s">
        <v>1713</v>
      </c>
      <c r="X69" s="1" t="s">
        <v>1714</v>
      </c>
      <c r="Y69" s="1" t="s">
        <v>1715</v>
      </c>
      <c r="Z69" s="1">
        <v>146.0</v>
      </c>
      <c r="AA69" s="1">
        <v>28.0</v>
      </c>
      <c r="AB69" s="1">
        <v>38.0</v>
      </c>
      <c r="AC69" s="1">
        <v>14.0</v>
      </c>
      <c r="AD69" s="1">
        <v>49.0</v>
      </c>
      <c r="AE69" s="1" t="s">
        <v>1716</v>
      </c>
      <c r="AF69" s="1" t="s">
        <v>663</v>
      </c>
      <c r="AG69" s="1" t="s">
        <v>1717</v>
      </c>
      <c r="AH69" s="1" t="s">
        <v>1718</v>
      </c>
      <c r="AI69" s="1" t="s">
        <v>1719</v>
      </c>
      <c r="AJ69" s="1" t="s">
        <v>68</v>
      </c>
      <c r="AK69" s="1" t="s">
        <v>1720</v>
      </c>
      <c r="AL69" s="1" t="s">
        <v>1721</v>
      </c>
      <c r="AM69" s="1" t="s">
        <v>1722</v>
      </c>
      <c r="AN69" s="1">
        <v>2024.0</v>
      </c>
      <c r="AO69" s="1">
        <v>379.0</v>
      </c>
      <c r="AP69" s="1">
        <v>1904.0</v>
      </c>
      <c r="AQ69" s="1" t="s">
        <v>68</v>
      </c>
      <c r="AR69" s="1" t="s">
        <v>68</v>
      </c>
      <c r="AS69" s="1" t="s">
        <v>68</v>
      </c>
      <c r="AT69" s="1" t="s">
        <v>68</v>
      </c>
      <c r="AU69" s="1" t="s">
        <v>68</v>
      </c>
      <c r="AV69" s="1" t="s">
        <v>68</v>
      </c>
      <c r="AW69" s="1">
        <v>2.0230106E7</v>
      </c>
      <c r="AX69" s="1" t="s">
        <v>1723</v>
      </c>
      <c r="AY69" s="3" t="str">
        <f>HYPERLINK("http://dx.doi.org/10.1098/rstb.2023.0106","http://dx.doi.org/10.1098/rstb.2023.0106")</f>
        <v>http://dx.doi.org/10.1098/rstb.2023.0106</v>
      </c>
      <c r="AZ69" s="1" t="s">
        <v>68</v>
      </c>
      <c r="BA69" s="1" t="s">
        <v>68</v>
      </c>
      <c r="BB69" s="1">
        <v>14.0</v>
      </c>
      <c r="BC69" s="1" t="s">
        <v>430</v>
      </c>
      <c r="BD69" s="1" t="s">
        <v>92</v>
      </c>
      <c r="BE69" s="1" t="s">
        <v>431</v>
      </c>
      <c r="BF69" s="1" t="s">
        <v>1724</v>
      </c>
      <c r="BG69" s="1">
        <v>3.8705194E7</v>
      </c>
      <c r="BH69" s="1" t="s">
        <v>229</v>
      </c>
      <c r="BI69" s="1" t="s">
        <v>68</v>
      </c>
      <c r="BJ69" s="1" t="s">
        <v>68</v>
      </c>
      <c r="BK69" s="1" t="s">
        <v>95</v>
      </c>
      <c r="BL69" s="1" t="s">
        <v>1725</v>
      </c>
      <c r="BM69" s="1" t="str">
        <f>HYPERLINK("https%3A%2F%2Fwww.webofscience.com%2Fwos%2Fwoscc%2Ffull-record%2FWOS:001214680600021","View Full Record in Web of Science")</f>
        <v>View Full Record in Web of Science</v>
      </c>
    </row>
    <row r="70" ht="12.75" customHeight="1">
      <c r="A70" s="1" t="s">
        <v>65</v>
      </c>
      <c r="B70" s="1" t="s">
        <v>1726</v>
      </c>
      <c r="C70" s="1" t="s">
        <v>1727</v>
      </c>
      <c r="D70" s="1" t="s">
        <v>68</v>
      </c>
      <c r="E70" s="1" t="s">
        <v>1728</v>
      </c>
      <c r="F70" s="1" t="s">
        <v>1729</v>
      </c>
      <c r="G70" s="1" t="s">
        <v>68</v>
      </c>
      <c r="H70" s="1" t="s">
        <v>71</v>
      </c>
      <c r="I70" s="1" t="s">
        <v>72</v>
      </c>
      <c r="J70" s="1" t="s">
        <v>68</v>
      </c>
      <c r="K70" s="1" t="s">
        <v>68</v>
      </c>
      <c r="L70" s="1" t="s">
        <v>68</v>
      </c>
      <c r="M70" s="1" t="s">
        <v>68</v>
      </c>
      <c r="N70" s="1" t="s">
        <v>1730</v>
      </c>
      <c r="O70" s="1" t="s">
        <v>1731</v>
      </c>
      <c r="P70" s="1" t="s">
        <v>1732</v>
      </c>
      <c r="Q70" s="1" t="s">
        <v>1733</v>
      </c>
      <c r="R70" s="1" t="s">
        <v>1734</v>
      </c>
      <c r="S70" s="1" t="s">
        <v>1735</v>
      </c>
      <c r="T70" s="1" t="s">
        <v>1736</v>
      </c>
      <c r="U70" s="1" t="s">
        <v>1737</v>
      </c>
      <c r="V70" s="1" t="s">
        <v>1738</v>
      </c>
      <c r="W70" s="1" t="s">
        <v>1739</v>
      </c>
      <c r="X70" s="1" t="s">
        <v>1740</v>
      </c>
      <c r="Y70" s="1" t="s">
        <v>1741</v>
      </c>
      <c r="Z70" s="1">
        <v>44.0</v>
      </c>
      <c r="AA70" s="1">
        <v>29.0</v>
      </c>
      <c r="AB70" s="1">
        <v>34.0</v>
      </c>
      <c r="AC70" s="1">
        <v>0.0</v>
      </c>
      <c r="AD70" s="1">
        <v>8.0</v>
      </c>
      <c r="AE70" s="1" t="s">
        <v>83</v>
      </c>
      <c r="AF70" s="1" t="s">
        <v>84</v>
      </c>
      <c r="AG70" s="1" t="s">
        <v>85</v>
      </c>
      <c r="AH70" s="1" t="s">
        <v>68</v>
      </c>
      <c r="AI70" s="1" t="s">
        <v>1742</v>
      </c>
      <c r="AJ70" s="1" t="s">
        <v>68</v>
      </c>
      <c r="AK70" s="1" t="s">
        <v>1743</v>
      </c>
      <c r="AL70" s="1" t="s">
        <v>1744</v>
      </c>
      <c r="AM70" s="1" t="s">
        <v>1745</v>
      </c>
      <c r="AN70" s="1">
        <v>2019.0</v>
      </c>
      <c r="AO70" s="1">
        <v>7.0</v>
      </c>
      <c r="AP70" s="1" t="s">
        <v>68</v>
      </c>
      <c r="AQ70" s="1" t="s">
        <v>68</v>
      </c>
      <c r="AR70" s="1" t="s">
        <v>68</v>
      </c>
      <c r="AS70" s="1" t="s">
        <v>68</v>
      </c>
      <c r="AT70" s="1" t="s">
        <v>68</v>
      </c>
      <c r="AU70" s="1" t="s">
        <v>68</v>
      </c>
      <c r="AV70" s="1" t="s">
        <v>68</v>
      </c>
      <c r="AW70" s="1">
        <v>46.0</v>
      </c>
      <c r="AX70" s="1" t="s">
        <v>1746</v>
      </c>
      <c r="AY70" s="3" t="str">
        <f>HYPERLINK("http://dx.doi.org/10.3389/feart.2019.00046","http://dx.doi.org/10.3389/feart.2019.00046")</f>
        <v>http://dx.doi.org/10.3389/feart.2019.00046</v>
      </c>
      <c r="AZ70" s="1" t="s">
        <v>68</v>
      </c>
      <c r="BA70" s="1" t="s">
        <v>68</v>
      </c>
      <c r="BB70" s="1">
        <v>20.0</v>
      </c>
      <c r="BC70" s="1" t="s">
        <v>1747</v>
      </c>
      <c r="BD70" s="1" t="s">
        <v>92</v>
      </c>
      <c r="BE70" s="1" t="s">
        <v>1748</v>
      </c>
      <c r="BF70" s="1" t="s">
        <v>1749</v>
      </c>
      <c r="BG70" s="1" t="s">
        <v>68</v>
      </c>
      <c r="BH70" s="1" t="s">
        <v>94</v>
      </c>
      <c r="BI70" s="1" t="s">
        <v>68</v>
      </c>
      <c r="BJ70" s="1" t="s">
        <v>68</v>
      </c>
      <c r="BK70" s="1" t="s">
        <v>95</v>
      </c>
      <c r="BL70" s="1" t="s">
        <v>1750</v>
      </c>
      <c r="BM70" s="1" t="str">
        <f>HYPERLINK("https%3A%2F%2Fwww.webofscience.com%2Fwos%2Fwoscc%2Ffull-record%2FWOS:000467233300002","View Full Record in Web of Science")</f>
        <v>View Full Record in Web of Science</v>
      </c>
    </row>
    <row r="71" ht="12.75" customHeight="1">
      <c r="A71" s="1" t="s">
        <v>65</v>
      </c>
      <c r="B71" s="1" t="s">
        <v>1751</v>
      </c>
      <c r="C71" s="1" t="s">
        <v>1752</v>
      </c>
      <c r="D71" s="1" t="s">
        <v>68</v>
      </c>
      <c r="E71" s="1" t="s">
        <v>1753</v>
      </c>
      <c r="F71" s="1" t="s">
        <v>1245</v>
      </c>
      <c r="G71" s="1" t="s">
        <v>68</v>
      </c>
      <c r="H71" s="1" t="s">
        <v>71</v>
      </c>
      <c r="I71" s="1" t="s">
        <v>72</v>
      </c>
      <c r="J71" s="1" t="s">
        <v>68</v>
      </c>
      <c r="K71" s="1" t="s">
        <v>68</v>
      </c>
      <c r="L71" s="1" t="s">
        <v>68</v>
      </c>
      <c r="M71" s="1" t="s">
        <v>68</v>
      </c>
      <c r="N71" s="1" t="s">
        <v>1754</v>
      </c>
      <c r="O71" s="1" t="s">
        <v>1755</v>
      </c>
      <c r="P71" s="1" t="s">
        <v>1756</v>
      </c>
      <c r="Q71" s="1" t="s">
        <v>1757</v>
      </c>
      <c r="R71" s="1" t="s">
        <v>1758</v>
      </c>
      <c r="S71" s="1" t="s">
        <v>1759</v>
      </c>
      <c r="T71" s="1" t="s">
        <v>1760</v>
      </c>
      <c r="U71" s="1" t="s">
        <v>1761</v>
      </c>
      <c r="V71" s="1" t="s">
        <v>1762</v>
      </c>
      <c r="W71" s="1" t="s">
        <v>1763</v>
      </c>
      <c r="X71" s="1" t="s">
        <v>1764</v>
      </c>
      <c r="Y71" s="1" t="s">
        <v>1765</v>
      </c>
      <c r="Z71" s="1">
        <v>56.0</v>
      </c>
      <c r="AA71" s="1">
        <v>15.0</v>
      </c>
      <c r="AB71" s="1">
        <v>15.0</v>
      </c>
      <c r="AC71" s="1">
        <v>0.0</v>
      </c>
      <c r="AD71" s="1">
        <v>27.0</v>
      </c>
      <c r="AE71" s="1" t="s">
        <v>1258</v>
      </c>
      <c r="AF71" s="1" t="s">
        <v>1259</v>
      </c>
      <c r="AG71" s="1" t="s">
        <v>1260</v>
      </c>
      <c r="AH71" s="1" t="s">
        <v>1261</v>
      </c>
      <c r="AI71" s="1" t="s">
        <v>68</v>
      </c>
      <c r="AJ71" s="1" t="s">
        <v>68</v>
      </c>
      <c r="AK71" s="1" t="s">
        <v>1262</v>
      </c>
      <c r="AL71" s="1" t="s">
        <v>1263</v>
      </c>
      <c r="AM71" s="1" t="s">
        <v>1264</v>
      </c>
      <c r="AN71" s="1">
        <v>2020.0</v>
      </c>
      <c r="AO71" s="1">
        <v>11.0</v>
      </c>
      <c r="AP71" s="1">
        <v>4.0</v>
      </c>
      <c r="AQ71" s="1" t="s">
        <v>68</v>
      </c>
      <c r="AR71" s="1" t="s">
        <v>68</v>
      </c>
      <c r="AS71" s="1" t="s">
        <v>563</v>
      </c>
      <c r="AT71" s="1" t="s">
        <v>68</v>
      </c>
      <c r="AU71" s="1">
        <v>720.0</v>
      </c>
      <c r="AV71" s="1">
        <v>732.0</v>
      </c>
      <c r="AW71" s="1" t="s">
        <v>68</v>
      </c>
      <c r="AX71" s="1" t="s">
        <v>1766</v>
      </c>
      <c r="AY71" s="3" t="str">
        <f>HYPERLINK("http://dx.doi.org/10.3391/mbi.2020.11.4.07","http://dx.doi.org/10.3391/mbi.2020.11.4.07")</f>
        <v>http://dx.doi.org/10.3391/mbi.2020.11.4.07</v>
      </c>
      <c r="AZ71" s="1" t="s">
        <v>68</v>
      </c>
      <c r="BA71" s="1" t="s">
        <v>68</v>
      </c>
      <c r="BB71" s="1">
        <v>13.0</v>
      </c>
      <c r="BC71" s="1" t="s">
        <v>1171</v>
      </c>
      <c r="BD71" s="1" t="s">
        <v>279</v>
      </c>
      <c r="BE71" s="1" t="s">
        <v>1172</v>
      </c>
      <c r="BF71" s="1" t="s">
        <v>1266</v>
      </c>
      <c r="BG71" s="1" t="s">
        <v>68</v>
      </c>
      <c r="BH71" s="1" t="s">
        <v>1767</v>
      </c>
      <c r="BI71" s="1" t="s">
        <v>68</v>
      </c>
      <c r="BJ71" s="1" t="s">
        <v>68</v>
      </c>
      <c r="BK71" s="1" t="s">
        <v>95</v>
      </c>
      <c r="BL71" s="1" t="s">
        <v>1768</v>
      </c>
      <c r="BM71" s="1" t="str">
        <f>HYPERLINK("https%3A%2F%2Fwww.webofscience.com%2Fwos%2Fwoscc%2Ffull-record%2FWOS:000589799900007","View Full Record in Web of Science")</f>
        <v>View Full Record in Web of Science</v>
      </c>
    </row>
    <row r="72" ht="12.75" customHeight="1">
      <c r="A72" s="1" t="s">
        <v>65</v>
      </c>
      <c r="B72" s="1" t="s">
        <v>1769</v>
      </c>
      <c r="C72" s="1" t="s">
        <v>1770</v>
      </c>
      <c r="D72" s="1" t="s">
        <v>68</v>
      </c>
      <c r="E72" s="1" t="s">
        <v>1771</v>
      </c>
      <c r="F72" s="1" t="s">
        <v>1772</v>
      </c>
      <c r="G72" s="1" t="s">
        <v>68</v>
      </c>
      <c r="H72" s="1" t="s">
        <v>71</v>
      </c>
      <c r="I72" s="1" t="s">
        <v>72</v>
      </c>
      <c r="J72" s="1" t="s">
        <v>68</v>
      </c>
      <c r="K72" s="1" t="s">
        <v>68</v>
      </c>
      <c r="L72" s="1" t="s">
        <v>68</v>
      </c>
      <c r="M72" s="1" t="s">
        <v>68</v>
      </c>
      <c r="N72" s="1" t="s">
        <v>1773</v>
      </c>
      <c r="O72" s="1" t="s">
        <v>1774</v>
      </c>
      <c r="P72" s="1" t="s">
        <v>1775</v>
      </c>
      <c r="Q72" s="1" t="s">
        <v>1776</v>
      </c>
      <c r="R72" s="1" t="s">
        <v>1777</v>
      </c>
      <c r="S72" s="1" t="s">
        <v>1778</v>
      </c>
      <c r="T72" s="1" t="s">
        <v>1779</v>
      </c>
      <c r="U72" s="1" t="s">
        <v>1780</v>
      </c>
      <c r="V72" s="1" t="s">
        <v>1781</v>
      </c>
      <c r="W72" s="1" t="s">
        <v>68</v>
      </c>
      <c r="X72" s="1" t="s">
        <v>68</v>
      </c>
      <c r="Y72" s="1" t="s">
        <v>68</v>
      </c>
      <c r="Z72" s="1">
        <v>16.0</v>
      </c>
      <c r="AA72" s="1">
        <v>46.0</v>
      </c>
      <c r="AB72" s="1">
        <v>51.0</v>
      </c>
      <c r="AC72" s="1">
        <v>0.0</v>
      </c>
      <c r="AD72" s="1">
        <v>13.0</v>
      </c>
      <c r="AE72" s="1" t="s">
        <v>1782</v>
      </c>
      <c r="AF72" s="1" t="s">
        <v>1783</v>
      </c>
      <c r="AG72" s="1" t="s">
        <v>1784</v>
      </c>
      <c r="AH72" s="1" t="s">
        <v>1785</v>
      </c>
      <c r="AI72" s="1" t="s">
        <v>1786</v>
      </c>
      <c r="AJ72" s="1" t="s">
        <v>68</v>
      </c>
      <c r="AK72" s="1" t="s">
        <v>1787</v>
      </c>
      <c r="AL72" s="1" t="s">
        <v>1788</v>
      </c>
      <c r="AM72" s="1" t="s">
        <v>1789</v>
      </c>
      <c r="AN72" s="1">
        <v>2020.0</v>
      </c>
      <c r="AO72" s="1">
        <v>93.0</v>
      </c>
      <c r="AP72" s="1">
        <v>1.0</v>
      </c>
      <c r="AQ72" s="1" t="s">
        <v>68</v>
      </c>
      <c r="AR72" s="1" t="s">
        <v>68</v>
      </c>
      <c r="AS72" s="1" t="s">
        <v>68</v>
      </c>
      <c r="AT72" s="1" t="s">
        <v>68</v>
      </c>
      <c r="AU72" s="1">
        <v>543.0</v>
      </c>
      <c r="AV72" s="1">
        <v>550.0</v>
      </c>
      <c r="AW72" s="1" t="s">
        <v>68</v>
      </c>
      <c r="AX72" s="1" t="s">
        <v>1790</v>
      </c>
      <c r="AY72" s="3" t="str">
        <f>HYPERLINK("http://dx.doi.org/10.1007/s10340-019-01115-7","http://dx.doi.org/10.1007/s10340-019-01115-7")</f>
        <v>http://dx.doi.org/10.1007/s10340-019-01115-7</v>
      </c>
      <c r="AZ72" s="1" t="s">
        <v>68</v>
      </c>
      <c r="BA72" s="1" t="s">
        <v>68</v>
      </c>
      <c r="BB72" s="1">
        <v>8.0</v>
      </c>
      <c r="BC72" s="1" t="s">
        <v>309</v>
      </c>
      <c r="BD72" s="1" t="s">
        <v>92</v>
      </c>
      <c r="BE72" s="1" t="s">
        <v>309</v>
      </c>
      <c r="BF72" s="1" t="s">
        <v>1791</v>
      </c>
      <c r="BG72" s="1" t="s">
        <v>68</v>
      </c>
      <c r="BH72" s="1" t="s">
        <v>867</v>
      </c>
      <c r="BI72" s="1" t="s">
        <v>68</v>
      </c>
      <c r="BJ72" s="1" t="s">
        <v>68</v>
      </c>
      <c r="BK72" s="1" t="s">
        <v>95</v>
      </c>
      <c r="BL72" s="1" t="s">
        <v>1792</v>
      </c>
      <c r="BM72" s="1" t="str">
        <f>HYPERLINK("https%3A%2F%2Fwww.webofscience.com%2Fwos%2Fwoscc%2Ffull-record%2FWOS:000511878000044","View Full Record in Web of Science")</f>
        <v>View Full Record in Web of Science</v>
      </c>
    </row>
    <row r="73" ht="12.75" customHeight="1">
      <c r="A73" s="1" t="s">
        <v>65</v>
      </c>
      <c r="B73" s="1" t="s">
        <v>1793</v>
      </c>
      <c r="C73" s="1" t="s">
        <v>1794</v>
      </c>
      <c r="D73" s="1" t="s">
        <v>68</v>
      </c>
      <c r="E73" s="1" t="s">
        <v>1795</v>
      </c>
      <c r="F73" s="1" t="s">
        <v>1796</v>
      </c>
      <c r="G73" s="1" t="s">
        <v>68</v>
      </c>
      <c r="H73" s="1" t="s">
        <v>71</v>
      </c>
      <c r="I73" s="1" t="s">
        <v>72</v>
      </c>
      <c r="J73" s="1" t="s">
        <v>68</v>
      </c>
      <c r="K73" s="1" t="s">
        <v>68</v>
      </c>
      <c r="L73" s="1" t="s">
        <v>68</v>
      </c>
      <c r="M73" s="1" t="s">
        <v>68</v>
      </c>
      <c r="N73" s="1" t="s">
        <v>1797</v>
      </c>
      <c r="O73" s="1" t="s">
        <v>1798</v>
      </c>
      <c r="P73" s="1" t="s">
        <v>1799</v>
      </c>
      <c r="Q73" s="1" t="s">
        <v>1800</v>
      </c>
      <c r="R73" s="1" t="s">
        <v>1801</v>
      </c>
      <c r="S73" s="1" t="s">
        <v>1802</v>
      </c>
      <c r="T73" s="1" t="s">
        <v>68</v>
      </c>
      <c r="U73" s="1" t="s">
        <v>1803</v>
      </c>
      <c r="V73" s="1" t="s">
        <v>1804</v>
      </c>
      <c r="W73" s="1" t="s">
        <v>1805</v>
      </c>
      <c r="X73" s="1" t="s">
        <v>1806</v>
      </c>
      <c r="Y73" s="1" t="s">
        <v>1807</v>
      </c>
      <c r="Z73" s="1">
        <v>35.0</v>
      </c>
      <c r="AA73" s="1">
        <v>23.0</v>
      </c>
      <c r="AB73" s="1">
        <v>29.0</v>
      </c>
      <c r="AC73" s="1">
        <v>0.0</v>
      </c>
      <c r="AD73" s="1">
        <v>6.0</v>
      </c>
      <c r="AE73" s="1" t="s">
        <v>1808</v>
      </c>
      <c r="AF73" s="1" t="s">
        <v>1809</v>
      </c>
      <c r="AG73" s="1" t="s">
        <v>1810</v>
      </c>
      <c r="AH73" s="1" t="s">
        <v>1811</v>
      </c>
      <c r="AI73" s="1" t="s">
        <v>1812</v>
      </c>
      <c r="AJ73" s="1" t="s">
        <v>68</v>
      </c>
      <c r="AK73" s="1" t="s">
        <v>1813</v>
      </c>
      <c r="AL73" s="1" t="s">
        <v>1814</v>
      </c>
      <c r="AM73" s="1" t="s">
        <v>1169</v>
      </c>
      <c r="AN73" s="1">
        <v>2019.0</v>
      </c>
      <c r="AO73" s="1">
        <v>35.0</v>
      </c>
      <c r="AP73" s="1">
        <v>1.0</v>
      </c>
      <c r="AQ73" s="1" t="s">
        <v>68</v>
      </c>
      <c r="AR73" s="1" t="s">
        <v>68</v>
      </c>
      <c r="AS73" s="1" t="s">
        <v>68</v>
      </c>
      <c r="AT73" s="1" t="s">
        <v>68</v>
      </c>
      <c r="AU73" s="1">
        <v>11.0</v>
      </c>
      <c r="AV73" s="1">
        <v>18.0</v>
      </c>
      <c r="AW73" s="1" t="s">
        <v>68</v>
      </c>
      <c r="AX73" s="1" t="s">
        <v>1815</v>
      </c>
      <c r="AY73" s="3" t="str">
        <f>HYPERLINK("http://dx.doi.org/10.2987/18-6789.1","http://dx.doi.org/10.2987/18-6789.1")</f>
        <v>http://dx.doi.org/10.2987/18-6789.1</v>
      </c>
      <c r="AZ73" s="1" t="s">
        <v>68</v>
      </c>
      <c r="BA73" s="1" t="s">
        <v>68</v>
      </c>
      <c r="BB73" s="1">
        <v>8.0</v>
      </c>
      <c r="BC73" s="1" t="s">
        <v>309</v>
      </c>
      <c r="BD73" s="1" t="s">
        <v>92</v>
      </c>
      <c r="BE73" s="1" t="s">
        <v>309</v>
      </c>
      <c r="BF73" s="1" t="s">
        <v>1816</v>
      </c>
      <c r="BG73" s="1">
        <v>3.1334498E7</v>
      </c>
      <c r="BH73" s="1" t="s">
        <v>462</v>
      </c>
      <c r="BI73" s="1" t="s">
        <v>68</v>
      </c>
      <c r="BJ73" s="1" t="s">
        <v>68</v>
      </c>
      <c r="BK73" s="1" t="s">
        <v>95</v>
      </c>
      <c r="BL73" s="1" t="s">
        <v>1817</v>
      </c>
      <c r="BM73" s="1" t="str">
        <f>HYPERLINK("https%3A%2F%2Fwww.webofscience.com%2Fwos%2Fwoscc%2Ffull-record%2FWOS:000475686700002","View Full Record in Web of Science")</f>
        <v>View Full Record in Web of Science</v>
      </c>
    </row>
    <row r="74" ht="12.75" customHeight="1">
      <c r="A74" s="1" t="s">
        <v>65</v>
      </c>
      <c r="B74" s="1" t="s">
        <v>1818</v>
      </c>
      <c r="C74" s="1" t="s">
        <v>1819</v>
      </c>
      <c r="D74" s="1" t="s">
        <v>68</v>
      </c>
      <c r="E74" s="1" t="s">
        <v>1820</v>
      </c>
      <c r="F74" s="1" t="s">
        <v>1562</v>
      </c>
      <c r="G74" s="1" t="s">
        <v>68</v>
      </c>
      <c r="H74" s="1" t="s">
        <v>71</v>
      </c>
      <c r="I74" s="1" t="s">
        <v>72</v>
      </c>
      <c r="J74" s="1" t="s">
        <v>68</v>
      </c>
      <c r="K74" s="1" t="s">
        <v>68</v>
      </c>
      <c r="L74" s="1" t="s">
        <v>68</v>
      </c>
      <c r="M74" s="1" t="s">
        <v>68</v>
      </c>
      <c r="N74" s="1" t="s">
        <v>1821</v>
      </c>
      <c r="O74" s="1" t="s">
        <v>1822</v>
      </c>
      <c r="P74" s="1" t="s">
        <v>1823</v>
      </c>
      <c r="Q74" s="1" t="s">
        <v>1824</v>
      </c>
      <c r="R74" s="1" t="s">
        <v>1825</v>
      </c>
      <c r="S74" s="1" t="s">
        <v>1826</v>
      </c>
      <c r="T74" s="1" t="s">
        <v>1827</v>
      </c>
      <c r="U74" s="1" t="s">
        <v>1828</v>
      </c>
      <c r="V74" s="1" t="s">
        <v>1829</v>
      </c>
      <c r="W74" s="1" t="s">
        <v>1830</v>
      </c>
      <c r="X74" s="1" t="s">
        <v>1831</v>
      </c>
      <c r="Y74" s="1" t="s">
        <v>1832</v>
      </c>
      <c r="Z74" s="1">
        <v>41.0</v>
      </c>
      <c r="AA74" s="1">
        <v>9.0</v>
      </c>
      <c r="AB74" s="1">
        <v>11.0</v>
      </c>
      <c r="AC74" s="1">
        <v>1.0</v>
      </c>
      <c r="AD74" s="1">
        <v>9.0</v>
      </c>
      <c r="AE74" s="1" t="s">
        <v>503</v>
      </c>
      <c r="AF74" s="1" t="s">
        <v>504</v>
      </c>
      <c r="AG74" s="1" t="s">
        <v>505</v>
      </c>
      <c r="AH74" s="1" t="s">
        <v>1575</v>
      </c>
      <c r="AI74" s="1" t="s">
        <v>1576</v>
      </c>
      <c r="AJ74" s="1" t="s">
        <v>68</v>
      </c>
      <c r="AK74" s="1" t="s">
        <v>1577</v>
      </c>
      <c r="AL74" s="1" t="s">
        <v>1578</v>
      </c>
      <c r="AM74" s="1" t="s">
        <v>252</v>
      </c>
      <c r="AN74" s="1">
        <v>2023.0</v>
      </c>
      <c r="AO74" s="1">
        <v>60.0</v>
      </c>
      <c r="AP74" s="1">
        <v>7.0</v>
      </c>
      <c r="AQ74" s="1" t="s">
        <v>68</v>
      </c>
      <c r="AR74" s="1" t="s">
        <v>68</v>
      </c>
      <c r="AS74" s="1" t="s">
        <v>68</v>
      </c>
      <c r="AT74" s="1" t="s">
        <v>68</v>
      </c>
      <c r="AU74" s="1">
        <v>1481.0</v>
      </c>
      <c r="AV74" s="1">
        <v>1494.0</v>
      </c>
      <c r="AW74" s="1" t="s">
        <v>68</v>
      </c>
      <c r="AX74" s="1" t="s">
        <v>1833</v>
      </c>
      <c r="AY74" s="3" t="str">
        <f>HYPERLINK("http://dx.doi.org/10.1111/1365-2664.14417","http://dx.doi.org/10.1111/1365-2664.14417")</f>
        <v>http://dx.doi.org/10.1111/1365-2664.14417</v>
      </c>
      <c r="AZ74" s="1" t="s">
        <v>68</v>
      </c>
      <c r="BA74" s="1" t="s">
        <v>1834</v>
      </c>
      <c r="BB74" s="1">
        <v>14.0</v>
      </c>
      <c r="BC74" s="1" t="s">
        <v>1011</v>
      </c>
      <c r="BD74" s="1" t="s">
        <v>92</v>
      </c>
      <c r="BE74" s="1" t="s">
        <v>123</v>
      </c>
      <c r="BF74" s="1" t="s">
        <v>1835</v>
      </c>
      <c r="BG74" s="1" t="s">
        <v>68</v>
      </c>
      <c r="BH74" s="1" t="s">
        <v>867</v>
      </c>
      <c r="BI74" s="1" t="s">
        <v>68</v>
      </c>
      <c r="BJ74" s="1" t="s">
        <v>68</v>
      </c>
      <c r="BK74" s="1" t="s">
        <v>95</v>
      </c>
      <c r="BL74" s="1" t="s">
        <v>1836</v>
      </c>
      <c r="BM74" s="1" t="str">
        <f>HYPERLINK("https%3A%2F%2Fwww.webofscience.com%2Fwos%2Fwoscc%2Ffull-record%2FWOS:000988876400001","View Full Record in Web of Science")</f>
        <v>View Full Record in Web of Science</v>
      </c>
    </row>
    <row r="75" ht="12.75" customHeight="1">
      <c r="A75" s="1" t="s">
        <v>65</v>
      </c>
      <c r="B75" s="1" t="s">
        <v>1837</v>
      </c>
      <c r="C75" s="1" t="s">
        <v>1838</v>
      </c>
      <c r="D75" s="1" t="s">
        <v>68</v>
      </c>
      <c r="E75" s="1" t="s">
        <v>1839</v>
      </c>
      <c r="F75" s="1" t="s">
        <v>1586</v>
      </c>
      <c r="G75" s="1" t="s">
        <v>68</v>
      </c>
      <c r="H75" s="1" t="s">
        <v>71</v>
      </c>
      <c r="I75" s="1" t="s">
        <v>72</v>
      </c>
      <c r="J75" s="1" t="s">
        <v>68</v>
      </c>
      <c r="K75" s="1" t="s">
        <v>68</v>
      </c>
      <c r="L75" s="1" t="s">
        <v>68</v>
      </c>
      <c r="M75" s="1" t="s">
        <v>68</v>
      </c>
      <c r="N75" s="1" t="s">
        <v>1840</v>
      </c>
      <c r="O75" s="1" t="s">
        <v>1841</v>
      </c>
      <c r="P75" s="1" t="s">
        <v>1842</v>
      </c>
      <c r="Q75" s="1" t="s">
        <v>1843</v>
      </c>
      <c r="R75" s="1" t="s">
        <v>1844</v>
      </c>
      <c r="S75" s="1" t="s">
        <v>1845</v>
      </c>
      <c r="T75" s="1" t="s">
        <v>524</v>
      </c>
      <c r="U75" s="1" t="s">
        <v>1846</v>
      </c>
      <c r="V75" s="1" t="s">
        <v>1847</v>
      </c>
      <c r="W75" s="1" t="s">
        <v>1848</v>
      </c>
      <c r="X75" s="1" t="s">
        <v>1848</v>
      </c>
      <c r="Y75" s="1" t="s">
        <v>1849</v>
      </c>
      <c r="Z75" s="1">
        <v>31.0</v>
      </c>
      <c r="AA75" s="1">
        <v>51.0</v>
      </c>
      <c r="AB75" s="1">
        <v>58.0</v>
      </c>
      <c r="AC75" s="1">
        <v>0.0</v>
      </c>
      <c r="AD75" s="1">
        <v>27.0</v>
      </c>
      <c r="AE75" s="1" t="s">
        <v>1596</v>
      </c>
      <c r="AF75" s="1" t="s">
        <v>1182</v>
      </c>
      <c r="AG75" s="1" t="s">
        <v>1597</v>
      </c>
      <c r="AH75" s="1" t="s">
        <v>1598</v>
      </c>
      <c r="AI75" s="1" t="s">
        <v>1599</v>
      </c>
      <c r="AJ75" s="1" t="s">
        <v>68</v>
      </c>
      <c r="AK75" s="1" t="s">
        <v>1600</v>
      </c>
      <c r="AL75" s="1" t="s">
        <v>1601</v>
      </c>
      <c r="AM75" s="1" t="s">
        <v>1850</v>
      </c>
      <c r="AN75" s="1">
        <v>2020.0</v>
      </c>
      <c r="AO75" s="1">
        <v>704.0</v>
      </c>
      <c r="AP75" s="1" t="s">
        <v>68</v>
      </c>
      <c r="AQ75" s="1" t="s">
        <v>68</v>
      </c>
      <c r="AR75" s="1" t="s">
        <v>68</v>
      </c>
      <c r="AS75" s="1" t="s">
        <v>68</v>
      </c>
      <c r="AT75" s="1" t="s">
        <v>68</v>
      </c>
      <c r="AU75" s="1" t="s">
        <v>68</v>
      </c>
      <c r="AV75" s="1" t="s">
        <v>68</v>
      </c>
      <c r="AW75" s="1">
        <v>135349.0</v>
      </c>
      <c r="AX75" s="1" t="s">
        <v>1851</v>
      </c>
      <c r="AY75" s="3" t="str">
        <f>HYPERLINK("http://dx.doi.org/10.1016/j.scitotenv.2019.135349","http://dx.doi.org/10.1016/j.scitotenv.2019.135349")</f>
        <v>http://dx.doi.org/10.1016/j.scitotenv.2019.135349</v>
      </c>
      <c r="AZ75" s="1" t="s">
        <v>68</v>
      </c>
      <c r="BA75" s="1" t="s">
        <v>68</v>
      </c>
      <c r="BB75" s="1">
        <v>10.0</v>
      </c>
      <c r="BC75" s="1" t="s">
        <v>484</v>
      </c>
      <c r="BD75" s="1" t="s">
        <v>92</v>
      </c>
      <c r="BE75" s="1" t="s">
        <v>333</v>
      </c>
      <c r="BF75" s="1" t="s">
        <v>1852</v>
      </c>
      <c r="BG75" s="1">
        <v>3.183787E7</v>
      </c>
      <c r="BH75" s="1" t="s">
        <v>68</v>
      </c>
      <c r="BI75" s="1" t="s">
        <v>68</v>
      </c>
      <c r="BJ75" s="1" t="s">
        <v>68</v>
      </c>
      <c r="BK75" s="1" t="s">
        <v>95</v>
      </c>
      <c r="BL75" s="1" t="s">
        <v>1853</v>
      </c>
      <c r="BM75" s="1" t="str">
        <f>HYPERLINK("https%3A%2F%2Fwww.webofscience.com%2Fwos%2Fwoscc%2Ffull-record%2FWOS:000504672800023","View Full Record in Web of Science")</f>
        <v>View Full Record in Web of Science</v>
      </c>
    </row>
    <row r="76" ht="12.75" customHeight="1">
      <c r="A76" s="1" t="s">
        <v>65</v>
      </c>
      <c r="B76" s="1" t="s">
        <v>1854</v>
      </c>
      <c r="C76" s="1" t="s">
        <v>1855</v>
      </c>
      <c r="D76" s="1" t="s">
        <v>68</v>
      </c>
      <c r="E76" s="1" t="s">
        <v>1856</v>
      </c>
      <c r="F76" s="1" t="s">
        <v>1518</v>
      </c>
      <c r="G76" s="1" t="s">
        <v>68</v>
      </c>
      <c r="H76" s="1" t="s">
        <v>71</v>
      </c>
      <c r="I76" s="1" t="s">
        <v>72</v>
      </c>
      <c r="J76" s="1" t="s">
        <v>68</v>
      </c>
      <c r="K76" s="1" t="s">
        <v>68</v>
      </c>
      <c r="L76" s="1" t="s">
        <v>68</v>
      </c>
      <c r="M76" s="1" t="s">
        <v>68</v>
      </c>
      <c r="N76" s="1" t="s">
        <v>1857</v>
      </c>
      <c r="O76" s="1" t="s">
        <v>1858</v>
      </c>
      <c r="P76" s="1" t="s">
        <v>1859</v>
      </c>
      <c r="Q76" s="1" t="s">
        <v>1860</v>
      </c>
      <c r="R76" s="1" t="s">
        <v>1861</v>
      </c>
      <c r="S76" s="1" t="s">
        <v>1862</v>
      </c>
      <c r="T76" s="1" t="s">
        <v>1863</v>
      </c>
      <c r="U76" s="1" t="s">
        <v>1864</v>
      </c>
      <c r="V76" s="1" t="s">
        <v>1865</v>
      </c>
      <c r="W76" s="1" t="s">
        <v>1866</v>
      </c>
      <c r="X76" s="1" t="s">
        <v>1867</v>
      </c>
      <c r="Y76" s="1" t="s">
        <v>1868</v>
      </c>
      <c r="Z76" s="1">
        <v>33.0</v>
      </c>
      <c r="AA76" s="1">
        <v>1.0</v>
      </c>
      <c r="AB76" s="1">
        <v>1.0</v>
      </c>
      <c r="AC76" s="1">
        <v>2.0</v>
      </c>
      <c r="AD76" s="1">
        <v>2.0</v>
      </c>
      <c r="AE76" s="1" t="s">
        <v>1527</v>
      </c>
      <c r="AF76" s="1" t="s">
        <v>663</v>
      </c>
      <c r="AG76" s="1" t="s">
        <v>1528</v>
      </c>
      <c r="AH76" s="1" t="s">
        <v>1529</v>
      </c>
      <c r="AI76" s="1" t="s">
        <v>68</v>
      </c>
      <c r="AJ76" s="1" t="s">
        <v>68</v>
      </c>
      <c r="AK76" s="1" t="s">
        <v>1530</v>
      </c>
      <c r="AL76" s="1" t="s">
        <v>1531</v>
      </c>
      <c r="AM76" s="1" t="s">
        <v>68</v>
      </c>
      <c r="AN76" s="1">
        <v>2024.0</v>
      </c>
      <c r="AO76" s="1">
        <v>9.0</v>
      </c>
      <c r="AP76" s="1">
        <v>1.0</v>
      </c>
      <c r="AQ76" s="1" t="s">
        <v>68</v>
      </c>
      <c r="AR76" s="1" t="s">
        <v>68</v>
      </c>
      <c r="AS76" s="1" t="s">
        <v>68</v>
      </c>
      <c r="AT76" s="1" t="s">
        <v>68</v>
      </c>
      <c r="AU76" s="1" t="s">
        <v>68</v>
      </c>
      <c r="AV76" s="1" t="s">
        <v>68</v>
      </c>
      <c r="AW76" s="1">
        <v>3.0</v>
      </c>
      <c r="AX76" s="1" t="s">
        <v>1869</v>
      </c>
      <c r="AY76" s="3" t="str">
        <f>HYPERLINK("http://dx.doi.org/10.5334/cstp.679","http://dx.doi.org/10.5334/cstp.679")</f>
        <v>http://dx.doi.org/10.5334/cstp.679</v>
      </c>
      <c r="AZ76" s="1" t="s">
        <v>68</v>
      </c>
      <c r="BA76" s="1" t="s">
        <v>68</v>
      </c>
      <c r="BB76" s="1">
        <v>13.0</v>
      </c>
      <c r="BC76" s="1" t="s">
        <v>1533</v>
      </c>
      <c r="BD76" s="1" t="s">
        <v>197</v>
      </c>
      <c r="BE76" s="1" t="s">
        <v>1534</v>
      </c>
      <c r="BF76" s="1" t="s">
        <v>1870</v>
      </c>
      <c r="BG76" s="1" t="s">
        <v>68</v>
      </c>
      <c r="BH76" s="1" t="s">
        <v>94</v>
      </c>
      <c r="BI76" s="1" t="s">
        <v>68</v>
      </c>
      <c r="BJ76" s="1" t="s">
        <v>68</v>
      </c>
      <c r="BK76" s="1" t="s">
        <v>95</v>
      </c>
      <c r="BL76" s="1" t="s">
        <v>1871</v>
      </c>
      <c r="BM76" s="1" t="str">
        <f>HYPERLINK("https%3A%2F%2Fwww.webofscience.com%2Fwos%2Fwoscc%2Ffull-record%2FWOS:001565963600009","View Full Record in Web of Science")</f>
        <v>View Full Record in Web of Science</v>
      </c>
    </row>
    <row r="77" ht="12.75" customHeight="1">
      <c r="A77" s="1" t="s">
        <v>65</v>
      </c>
      <c r="B77" s="1" t="s">
        <v>1872</v>
      </c>
      <c r="C77" s="1" t="s">
        <v>1873</v>
      </c>
      <c r="D77" s="1" t="s">
        <v>68</v>
      </c>
      <c r="E77" s="1" t="s">
        <v>1874</v>
      </c>
      <c r="F77" s="1" t="s">
        <v>1875</v>
      </c>
      <c r="G77" s="1" t="s">
        <v>68</v>
      </c>
      <c r="H77" s="1" t="s">
        <v>71</v>
      </c>
      <c r="I77" s="1" t="s">
        <v>101</v>
      </c>
      <c r="J77" s="1" t="s">
        <v>68</v>
      </c>
      <c r="K77" s="1" t="s">
        <v>68</v>
      </c>
      <c r="L77" s="1" t="s">
        <v>68</v>
      </c>
      <c r="M77" s="1" t="s">
        <v>68</v>
      </c>
      <c r="N77" s="1" t="s">
        <v>1876</v>
      </c>
      <c r="O77" s="1" t="s">
        <v>1877</v>
      </c>
      <c r="P77" s="1" t="s">
        <v>1878</v>
      </c>
      <c r="Q77" s="1" t="s">
        <v>1879</v>
      </c>
      <c r="R77" s="1" t="s">
        <v>1880</v>
      </c>
      <c r="S77" s="1" t="s">
        <v>1881</v>
      </c>
      <c r="T77" s="1" t="s">
        <v>1882</v>
      </c>
      <c r="U77" s="1" t="s">
        <v>1883</v>
      </c>
      <c r="V77" s="1" t="s">
        <v>1884</v>
      </c>
      <c r="W77" s="1" t="s">
        <v>68</v>
      </c>
      <c r="X77" s="1" t="s">
        <v>68</v>
      </c>
      <c r="Y77" s="1" t="s">
        <v>68</v>
      </c>
      <c r="Z77" s="1">
        <v>69.0</v>
      </c>
      <c r="AA77" s="1">
        <v>5.0</v>
      </c>
      <c r="AB77" s="1">
        <v>5.0</v>
      </c>
      <c r="AC77" s="1">
        <v>5.0</v>
      </c>
      <c r="AD77" s="1">
        <v>19.0</v>
      </c>
      <c r="AE77" s="1" t="s">
        <v>1092</v>
      </c>
      <c r="AF77" s="1" t="s">
        <v>736</v>
      </c>
      <c r="AG77" s="1" t="s">
        <v>1093</v>
      </c>
      <c r="AH77" s="1" t="s">
        <v>1885</v>
      </c>
      <c r="AI77" s="1" t="s">
        <v>1886</v>
      </c>
      <c r="AJ77" s="1" t="s">
        <v>68</v>
      </c>
      <c r="AK77" s="1" t="s">
        <v>1875</v>
      </c>
      <c r="AL77" s="1" t="s">
        <v>1887</v>
      </c>
      <c r="AM77" s="1" t="s">
        <v>428</v>
      </c>
      <c r="AN77" s="1">
        <v>2023.0</v>
      </c>
      <c r="AO77" s="1">
        <v>150.0</v>
      </c>
      <c r="AP77" s="1">
        <v>12.0</v>
      </c>
      <c r="AQ77" s="1" t="s">
        <v>68</v>
      </c>
      <c r="AR77" s="1" t="s">
        <v>68</v>
      </c>
      <c r="AS77" s="1" t="s">
        <v>563</v>
      </c>
      <c r="AT77" s="1" t="s">
        <v>68</v>
      </c>
      <c r="AU77" s="1">
        <v>1089.0</v>
      </c>
      <c r="AV77" s="1">
        <v>1095.0</v>
      </c>
      <c r="AW77" s="1" t="s">
        <v>68</v>
      </c>
      <c r="AX77" s="1" t="s">
        <v>1888</v>
      </c>
      <c r="AY77" s="3" t="str">
        <f>HYPERLINK("http://dx.doi.org/10.1017/S0031182023001038","http://dx.doi.org/10.1017/S0031182023001038")</f>
        <v>http://dx.doi.org/10.1017/S0031182023001038</v>
      </c>
      <c r="AZ77" s="1" t="s">
        <v>68</v>
      </c>
      <c r="BA77" s="1" t="s">
        <v>1889</v>
      </c>
      <c r="BB77" s="1">
        <v>7.0</v>
      </c>
      <c r="BC77" s="1" t="s">
        <v>1887</v>
      </c>
      <c r="BD77" s="1" t="s">
        <v>92</v>
      </c>
      <c r="BE77" s="1" t="s">
        <v>1887</v>
      </c>
      <c r="BF77" s="1" t="s">
        <v>1890</v>
      </c>
      <c r="BG77" s="1">
        <v>3.7929599E7</v>
      </c>
      <c r="BH77" s="1" t="s">
        <v>94</v>
      </c>
      <c r="BI77" s="1" t="s">
        <v>68</v>
      </c>
      <c r="BJ77" s="1" t="s">
        <v>68</v>
      </c>
      <c r="BK77" s="1" t="s">
        <v>95</v>
      </c>
      <c r="BL77" s="1" t="s">
        <v>1891</v>
      </c>
      <c r="BM77" s="1" t="str">
        <f>HYPERLINK("https%3A%2F%2Fwww.webofscience.com%2Fwos%2Fwoscc%2Ffull-record%2FWOS:001109062400001","View Full Record in Web of Science")</f>
        <v>View Full Record in Web of Science</v>
      </c>
    </row>
    <row r="78" ht="12.75" customHeight="1">
      <c r="A78" s="1" t="s">
        <v>65</v>
      </c>
      <c r="B78" s="1" t="s">
        <v>1892</v>
      </c>
      <c r="C78" s="1" t="s">
        <v>1893</v>
      </c>
      <c r="D78" s="1" t="s">
        <v>68</v>
      </c>
      <c r="E78" s="1" t="s">
        <v>1894</v>
      </c>
      <c r="F78" s="1" t="s">
        <v>1895</v>
      </c>
      <c r="G78" s="1" t="s">
        <v>68</v>
      </c>
      <c r="H78" s="1" t="s">
        <v>71</v>
      </c>
      <c r="I78" s="1" t="s">
        <v>72</v>
      </c>
      <c r="J78" s="1" t="s">
        <v>68</v>
      </c>
      <c r="K78" s="1" t="s">
        <v>68</v>
      </c>
      <c r="L78" s="1" t="s">
        <v>68</v>
      </c>
      <c r="M78" s="1" t="s">
        <v>68</v>
      </c>
      <c r="N78" s="1" t="s">
        <v>68</v>
      </c>
      <c r="O78" s="1" t="s">
        <v>1896</v>
      </c>
      <c r="P78" s="1" t="s">
        <v>1897</v>
      </c>
      <c r="Q78" s="1" t="s">
        <v>1898</v>
      </c>
      <c r="R78" s="1" t="s">
        <v>1899</v>
      </c>
      <c r="S78" s="1" t="s">
        <v>1900</v>
      </c>
      <c r="T78" s="1" t="s">
        <v>1901</v>
      </c>
      <c r="U78" s="1" t="s">
        <v>1902</v>
      </c>
      <c r="V78" s="1" t="s">
        <v>1903</v>
      </c>
      <c r="W78" s="1" t="s">
        <v>1904</v>
      </c>
      <c r="X78" s="1" t="s">
        <v>1904</v>
      </c>
      <c r="Y78" s="1" t="s">
        <v>1905</v>
      </c>
      <c r="Z78" s="1">
        <v>41.0</v>
      </c>
      <c r="AA78" s="1">
        <v>61.0</v>
      </c>
      <c r="AB78" s="1">
        <v>73.0</v>
      </c>
      <c r="AC78" s="1">
        <v>1.0</v>
      </c>
      <c r="AD78" s="1">
        <v>116.0</v>
      </c>
      <c r="AE78" s="1" t="s">
        <v>1906</v>
      </c>
      <c r="AF78" s="1" t="s">
        <v>1907</v>
      </c>
      <c r="AG78" s="1" t="s">
        <v>1908</v>
      </c>
      <c r="AH78" s="1" t="s">
        <v>1909</v>
      </c>
      <c r="AI78" s="1" t="s">
        <v>68</v>
      </c>
      <c r="AJ78" s="1" t="s">
        <v>68</v>
      </c>
      <c r="AK78" s="1" t="s">
        <v>1895</v>
      </c>
      <c r="AL78" s="1" t="s">
        <v>1910</v>
      </c>
      <c r="AM78" s="1" t="s">
        <v>1911</v>
      </c>
      <c r="AN78" s="1">
        <v>2015.0</v>
      </c>
      <c r="AO78" s="1">
        <v>10.0</v>
      </c>
      <c r="AP78" s="1">
        <v>7.0</v>
      </c>
      <c r="AQ78" s="1" t="s">
        <v>68</v>
      </c>
      <c r="AR78" s="1" t="s">
        <v>68</v>
      </c>
      <c r="AS78" s="1" t="s">
        <v>68</v>
      </c>
      <c r="AT78" s="1" t="s">
        <v>68</v>
      </c>
      <c r="AU78" s="1" t="s">
        <v>68</v>
      </c>
      <c r="AV78" s="1" t="s">
        <v>68</v>
      </c>
      <c r="AW78" s="1" t="s">
        <v>1912</v>
      </c>
      <c r="AX78" s="1" t="s">
        <v>1913</v>
      </c>
      <c r="AY78" s="3" t="str">
        <f>HYPERLINK("http://dx.doi.org/10.1371/journal.pone.0131812","http://dx.doi.org/10.1371/journal.pone.0131812")</f>
        <v>http://dx.doi.org/10.1371/journal.pone.0131812</v>
      </c>
      <c r="AZ78" s="1" t="s">
        <v>68</v>
      </c>
      <c r="BA78" s="1" t="s">
        <v>68</v>
      </c>
      <c r="BB78" s="1">
        <v>14.0</v>
      </c>
      <c r="BC78" s="1" t="s">
        <v>742</v>
      </c>
      <c r="BD78" s="1" t="s">
        <v>279</v>
      </c>
      <c r="BE78" s="1" t="s">
        <v>743</v>
      </c>
      <c r="BF78" s="1" t="s">
        <v>1914</v>
      </c>
      <c r="BG78" s="1">
        <v>2.620066E7</v>
      </c>
      <c r="BH78" s="1" t="s">
        <v>94</v>
      </c>
      <c r="BI78" s="1" t="s">
        <v>68</v>
      </c>
      <c r="BJ78" s="1" t="s">
        <v>68</v>
      </c>
      <c r="BK78" s="1" t="s">
        <v>95</v>
      </c>
      <c r="BL78" s="1" t="s">
        <v>1915</v>
      </c>
      <c r="BM78" s="1" t="str">
        <f>HYPERLINK("https%3A%2F%2Fwww.webofscience.com%2Fwos%2Fwoscc%2Ffull-record%2FWOS:000358597100020","View Full Record in Web of Science")</f>
        <v>View Full Record in Web of Science</v>
      </c>
    </row>
    <row r="79" ht="12.75" customHeight="1">
      <c r="A79" s="1" t="s">
        <v>65</v>
      </c>
      <c r="B79" s="1" t="s">
        <v>1916</v>
      </c>
      <c r="C79" s="1" t="s">
        <v>1917</v>
      </c>
      <c r="D79" s="1" t="s">
        <v>68</v>
      </c>
      <c r="E79" s="1" t="s">
        <v>1918</v>
      </c>
      <c r="F79" s="1" t="s">
        <v>1919</v>
      </c>
      <c r="G79" s="1" t="s">
        <v>68</v>
      </c>
      <c r="H79" s="1" t="s">
        <v>71</v>
      </c>
      <c r="I79" s="1" t="s">
        <v>72</v>
      </c>
      <c r="J79" s="1" t="s">
        <v>68</v>
      </c>
      <c r="K79" s="1" t="s">
        <v>68</v>
      </c>
      <c r="L79" s="1" t="s">
        <v>68</v>
      </c>
      <c r="M79" s="1" t="s">
        <v>68</v>
      </c>
      <c r="N79" s="1" t="s">
        <v>1920</v>
      </c>
      <c r="O79" s="1" t="s">
        <v>1921</v>
      </c>
      <c r="P79" s="1" t="s">
        <v>1922</v>
      </c>
      <c r="Q79" s="1" t="s">
        <v>1923</v>
      </c>
      <c r="R79" s="1" t="s">
        <v>1924</v>
      </c>
      <c r="S79" s="1" t="s">
        <v>1925</v>
      </c>
      <c r="T79" s="1" t="s">
        <v>1926</v>
      </c>
      <c r="U79" s="1" t="s">
        <v>1927</v>
      </c>
      <c r="V79" s="1" t="s">
        <v>1928</v>
      </c>
      <c r="W79" s="1" t="s">
        <v>1929</v>
      </c>
      <c r="X79" s="1" t="s">
        <v>1930</v>
      </c>
      <c r="Y79" s="1" t="s">
        <v>1931</v>
      </c>
      <c r="Z79" s="1">
        <v>70.0</v>
      </c>
      <c r="AA79" s="1">
        <v>24.0</v>
      </c>
      <c r="AB79" s="1">
        <v>28.0</v>
      </c>
      <c r="AC79" s="1">
        <v>1.0</v>
      </c>
      <c r="AD79" s="1">
        <v>29.0</v>
      </c>
      <c r="AE79" s="1" t="s">
        <v>1932</v>
      </c>
      <c r="AF79" s="1" t="s">
        <v>1933</v>
      </c>
      <c r="AG79" s="1" t="s">
        <v>1934</v>
      </c>
      <c r="AH79" s="1" t="s">
        <v>1935</v>
      </c>
      <c r="AI79" s="1" t="s">
        <v>1936</v>
      </c>
      <c r="AJ79" s="1" t="s">
        <v>68</v>
      </c>
      <c r="AK79" s="1" t="s">
        <v>1937</v>
      </c>
      <c r="AL79" s="1" t="s">
        <v>1938</v>
      </c>
      <c r="AM79" s="1" t="s">
        <v>1939</v>
      </c>
      <c r="AN79" s="1">
        <v>2019.0</v>
      </c>
      <c r="AO79" s="1">
        <v>9.0</v>
      </c>
      <c r="AP79" s="1">
        <v>3.0</v>
      </c>
      <c r="AQ79" s="1" t="s">
        <v>68</v>
      </c>
      <c r="AR79" s="1" t="s">
        <v>68</v>
      </c>
      <c r="AS79" s="1" t="s">
        <v>68</v>
      </c>
      <c r="AT79" s="1" t="s">
        <v>68</v>
      </c>
      <c r="AU79" s="1">
        <v>195.0</v>
      </c>
      <c r="AV79" s="1">
        <v>213.0</v>
      </c>
      <c r="AW79" s="1" t="s">
        <v>68</v>
      </c>
      <c r="AX79" s="1" t="s">
        <v>1940</v>
      </c>
      <c r="AY79" s="3" t="str">
        <f>HYPERLINK("http://dx.doi.org/10.1080/21548455.2019.1597314","http://dx.doi.org/10.1080/21548455.2019.1597314")</f>
        <v>http://dx.doi.org/10.1080/21548455.2019.1597314</v>
      </c>
      <c r="AZ79" s="1" t="s">
        <v>68</v>
      </c>
      <c r="BA79" s="1" t="s">
        <v>1941</v>
      </c>
      <c r="BB79" s="1">
        <v>19.0</v>
      </c>
      <c r="BC79" s="1" t="s">
        <v>1942</v>
      </c>
      <c r="BD79" s="1" t="s">
        <v>197</v>
      </c>
      <c r="BE79" s="1" t="s">
        <v>1942</v>
      </c>
      <c r="BF79" s="1" t="s">
        <v>1943</v>
      </c>
      <c r="BG79" s="1" t="s">
        <v>68</v>
      </c>
      <c r="BH79" s="1" t="s">
        <v>68</v>
      </c>
      <c r="BI79" s="1" t="s">
        <v>68</v>
      </c>
      <c r="BJ79" s="1" t="s">
        <v>68</v>
      </c>
      <c r="BK79" s="1" t="s">
        <v>95</v>
      </c>
      <c r="BL79" s="1" t="s">
        <v>1944</v>
      </c>
      <c r="BM79" s="1" t="str">
        <f>HYPERLINK("https%3A%2F%2Fwww.webofscience.com%2Fwos%2Fwoscc%2Ffull-record%2FWOS:000465695300001","View Full Record in Web of Science")</f>
        <v>View Full Record in Web of Science</v>
      </c>
    </row>
    <row r="80" ht="12.75" customHeight="1">
      <c r="A80" s="1" t="s">
        <v>65</v>
      </c>
      <c r="B80" s="1" t="s">
        <v>1945</v>
      </c>
      <c r="C80" s="1" t="s">
        <v>1946</v>
      </c>
      <c r="D80" s="1" t="s">
        <v>68</v>
      </c>
      <c r="E80" s="1" t="s">
        <v>1947</v>
      </c>
      <c r="F80" s="1" t="s">
        <v>1948</v>
      </c>
      <c r="G80" s="1" t="s">
        <v>68</v>
      </c>
      <c r="H80" s="1" t="s">
        <v>71</v>
      </c>
      <c r="I80" s="1" t="s">
        <v>72</v>
      </c>
      <c r="J80" s="1" t="s">
        <v>68</v>
      </c>
      <c r="K80" s="1" t="s">
        <v>68</v>
      </c>
      <c r="L80" s="1" t="s">
        <v>68</v>
      </c>
      <c r="M80" s="1" t="s">
        <v>68</v>
      </c>
      <c r="N80" s="1" t="s">
        <v>1949</v>
      </c>
      <c r="O80" s="1" t="s">
        <v>1950</v>
      </c>
      <c r="P80" s="1" t="s">
        <v>1951</v>
      </c>
      <c r="Q80" s="1" t="s">
        <v>1952</v>
      </c>
      <c r="R80" s="1" t="s">
        <v>1953</v>
      </c>
      <c r="S80" s="1" t="s">
        <v>1954</v>
      </c>
      <c r="T80" s="1" t="s">
        <v>1955</v>
      </c>
      <c r="U80" s="1" t="s">
        <v>1956</v>
      </c>
      <c r="V80" s="1" t="s">
        <v>1957</v>
      </c>
      <c r="W80" s="1" t="s">
        <v>1958</v>
      </c>
      <c r="X80" s="1" t="s">
        <v>1958</v>
      </c>
      <c r="Y80" s="1" t="s">
        <v>1959</v>
      </c>
      <c r="Z80" s="1">
        <v>77.0</v>
      </c>
      <c r="AA80" s="1">
        <v>0.0</v>
      </c>
      <c r="AB80" s="1">
        <v>0.0</v>
      </c>
      <c r="AC80" s="1">
        <v>3.0</v>
      </c>
      <c r="AD80" s="1">
        <v>11.0</v>
      </c>
      <c r="AE80" s="1" t="s">
        <v>1960</v>
      </c>
      <c r="AF80" s="1" t="s">
        <v>663</v>
      </c>
      <c r="AG80" s="1" t="s">
        <v>1961</v>
      </c>
      <c r="AH80" s="1" t="s">
        <v>1962</v>
      </c>
      <c r="AI80" s="1" t="s">
        <v>1963</v>
      </c>
      <c r="AJ80" s="1" t="s">
        <v>68</v>
      </c>
      <c r="AK80" s="1" t="s">
        <v>1964</v>
      </c>
      <c r="AL80" s="1" t="s">
        <v>1965</v>
      </c>
      <c r="AM80" s="1" t="s">
        <v>224</v>
      </c>
      <c r="AN80" s="1">
        <v>2025.0</v>
      </c>
      <c r="AO80" s="1">
        <v>375.0</v>
      </c>
      <c r="AP80" s="1" t="s">
        <v>68</v>
      </c>
      <c r="AQ80" s="1" t="s">
        <v>68</v>
      </c>
      <c r="AR80" s="1" t="s">
        <v>68</v>
      </c>
      <c r="AS80" s="1" t="s">
        <v>68</v>
      </c>
      <c r="AT80" s="1" t="s">
        <v>68</v>
      </c>
      <c r="AU80" s="1" t="s">
        <v>68</v>
      </c>
      <c r="AV80" s="1" t="s">
        <v>68</v>
      </c>
      <c r="AW80" s="1">
        <v>124247.0</v>
      </c>
      <c r="AX80" s="1" t="s">
        <v>1966</v>
      </c>
      <c r="AY80" s="3" t="str">
        <f>HYPERLINK("http://dx.doi.org/10.1016/j.jenvman.2025.124247","http://dx.doi.org/10.1016/j.jenvman.2025.124247")</f>
        <v>http://dx.doi.org/10.1016/j.jenvman.2025.124247</v>
      </c>
      <c r="AZ80" s="1" t="s">
        <v>68</v>
      </c>
      <c r="BA80" s="1" t="s">
        <v>1967</v>
      </c>
      <c r="BB80" s="1">
        <v>9.0</v>
      </c>
      <c r="BC80" s="1" t="s">
        <v>484</v>
      </c>
      <c r="BD80" s="1" t="s">
        <v>92</v>
      </c>
      <c r="BE80" s="1" t="s">
        <v>333</v>
      </c>
      <c r="BF80" s="1" t="s">
        <v>1968</v>
      </c>
      <c r="BG80" s="1">
        <v>3.9864166E7</v>
      </c>
      <c r="BH80" s="1" t="s">
        <v>867</v>
      </c>
      <c r="BI80" s="1" t="s">
        <v>68</v>
      </c>
      <c r="BJ80" s="1" t="s">
        <v>68</v>
      </c>
      <c r="BK80" s="1" t="s">
        <v>95</v>
      </c>
      <c r="BL80" s="1" t="s">
        <v>1969</v>
      </c>
      <c r="BM80" s="1" t="str">
        <f>HYPERLINK("https%3A%2F%2Fwww.webofscience.com%2Fwos%2Fwoscc%2Ffull-record%2FWOS:001412234300001","View Full Record in Web of Science")</f>
        <v>View Full Record in Web of Science</v>
      </c>
    </row>
    <row r="81" ht="12.75" customHeight="1">
      <c r="A81" s="1" t="s">
        <v>65</v>
      </c>
      <c r="B81" s="1" t="s">
        <v>1970</v>
      </c>
      <c r="C81" s="1" t="s">
        <v>1971</v>
      </c>
      <c r="D81" s="1" t="s">
        <v>68</v>
      </c>
      <c r="E81" s="1" t="s">
        <v>1972</v>
      </c>
      <c r="F81" s="1" t="s">
        <v>1973</v>
      </c>
      <c r="G81" s="1" t="s">
        <v>68</v>
      </c>
      <c r="H81" s="1" t="s">
        <v>71</v>
      </c>
      <c r="I81" s="1" t="s">
        <v>72</v>
      </c>
      <c r="J81" s="1" t="s">
        <v>68</v>
      </c>
      <c r="K81" s="1" t="s">
        <v>68</v>
      </c>
      <c r="L81" s="1" t="s">
        <v>68</v>
      </c>
      <c r="M81" s="1" t="s">
        <v>68</v>
      </c>
      <c r="N81" s="1" t="s">
        <v>1974</v>
      </c>
      <c r="O81" s="1" t="s">
        <v>1975</v>
      </c>
      <c r="P81" s="1" t="s">
        <v>1976</v>
      </c>
      <c r="Q81" s="1" t="s">
        <v>1977</v>
      </c>
      <c r="R81" s="1" t="s">
        <v>1978</v>
      </c>
      <c r="S81" s="1" t="s">
        <v>1979</v>
      </c>
      <c r="T81" s="1" t="s">
        <v>1980</v>
      </c>
      <c r="U81" s="1" t="s">
        <v>1981</v>
      </c>
      <c r="V81" s="1" t="s">
        <v>1982</v>
      </c>
      <c r="W81" s="1" t="s">
        <v>68</v>
      </c>
      <c r="X81" s="1" t="s">
        <v>68</v>
      </c>
      <c r="Y81" s="1" t="s">
        <v>68</v>
      </c>
      <c r="Z81" s="1">
        <v>23.0</v>
      </c>
      <c r="AA81" s="1">
        <v>5.0</v>
      </c>
      <c r="AB81" s="1">
        <v>5.0</v>
      </c>
      <c r="AC81" s="1">
        <v>0.0</v>
      </c>
      <c r="AD81" s="1">
        <v>30.0</v>
      </c>
      <c r="AE81" s="1" t="s">
        <v>1983</v>
      </c>
      <c r="AF81" s="1" t="s">
        <v>1984</v>
      </c>
      <c r="AG81" s="1" t="s">
        <v>1985</v>
      </c>
      <c r="AH81" s="1" t="s">
        <v>1986</v>
      </c>
      <c r="AI81" s="1" t="s">
        <v>1987</v>
      </c>
      <c r="AJ81" s="1" t="s">
        <v>68</v>
      </c>
      <c r="AK81" s="1" t="s">
        <v>1988</v>
      </c>
      <c r="AL81" s="1" t="s">
        <v>1989</v>
      </c>
      <c r="AM81" s="1" t="s">
        <v>1169</v>
      </c>
      <c r="AN81" s="1">
        <v>2018.0</v>
      </c>
      <c r="AO81" s="1">
        <v>29.0</v>
      </c>
      <c r="AP81" s="1">
        <v>1.0</v>
      </c>
      <c r="AQ81" s="1" t="s">
        <v>68</v>
      </c>
      <c r="AR81" s="1" t="s">
        <v>68</v>
      </c>
      <c r="AS81" s="1" t="s">
        <v>68</v>
      </c>
      <c r="AT81" s="1" t="s">
        <v>68</v>
      </c>
      <c r="AU81" s="1">
        <v>53.0</v>
      </c>
      <c r="AV81" s="1">
        <v>59.0</v>
      </c>
      <c r="AW81" s="1" t="s">
        <v>68</v>
      </c>
      <c r="AX81" s="1" t="s">
        <v>1990</v>
      </c>
      <c r="AY81" s="3" t="str">
        <f>HYPERLINK("http://dx.doi.org/10.1007/s12210-017-0657-4","http://dx.doi.org/10.1007/s12210-017-0657-4")</f>
        <v>http://dx.doi.org/10.1007/s12210-017-0657-4</v>
      </c>
      <c r="AZ81" s="1" t="s">
        <v>68</v>
      </c>
      <c r="BA81" s="1" t="s">
        <v>68</v>
      </c>
      <c r="BB81" s="1">
        <v>7.0</v>
      </c>
      <c r="BC81" s="1" t="s">
        <v>742</v>
      </c>
      <c r="BD81" s="1" t="s">
        <v>92</v>
      </c>
      <c r="BE81" s="1" t="s">
        <v>743</v>
      </c>
      <c r="BF81" s="1" t="s">
        <v>1991</v>
      </c>
      <c r="BG81" s="1" t="s">
        <v>68</v>
      </c>
      <c r="BH81" s="1" t="s">
        <v>68</v>
      </c>
      <c r="BI81" s="1" t="s">
        <v>68</v>
      </c>
      <c r="BJ81" s="1" t="s">
        <v>68</v>
      </c>
      <c r="BK81" s="1" t="s">
        <v>95</v>
      </c>
      <c r="BL81" s="1" t="s">
        <v>1992</v>
      </c>
      <c r="BM81" s="1" t="str">
        <f>HYPERLINK("https%3A%2F%2Fwww.webofscience.com%2Fwos%2Fwoscc%2Ffull-record%2FWOS:000427112700006","View Full Record in Web of Science")</f>
        <v>View Full Record in Web of Science</v>
      </c>
    </row>
    <row r="82" ht="12.75" customHeight="1">
      <c r="A82" s="1" t="s">
        <v>65</v>
      </c>
      <c r="B82" s="1" t="s">
        <v>1993</v>
      </c>
      <c r="C82" s="1" t="s">
        <v>1994</v>
      </c>
      <c r="D82" s="1" t="s">
        <v>68</v>
      </c>
      <c r="E82" s="1" t="s">
        <v>1995</v>
      </c>
      <c r="F82" s="1" t="s">
        <v>1996</v>
      </c>
      <c r="G82" s="1" t="s">
        <v>68</v>
      </c>
      <c r="H82" s="1" t="s">
        <v>71</v>
      </c>
      <c r="I82" s="1" t="s">
        <v>72</v>
      </c>
      <c r="J82" s="1" t="s">
        <v>68</v>
      </c>
      <c r="K82" s="1" t="s">
        <v>68</v>
      </c>
      <c r="L82" s="1" t="s">
        <v>68</v>
      </c>
      <c r="M82" s="1" t="s">
        <v>68</v>
      </c>
      <c r="N82" s="1" t="s">
        <v>1997</v>
      </c>
      <c r="O82" s="1" t="s">
        <v>68</v>
      </c>
      <c r="P82" s="1" t="s">
        <v>1998</v>
      </c>
      <c r="Q82" s="1" t="s">
        <v>1999</v>
      </c>
      <c r="R82" s="1" t="s">
        <v>68</v>
      </c>
      <c r="S82" s="1" t="s">
        <v>2000</v>
      </c>
      <c r="T82" s="1" t="s">
        <v>2001</v>
      </c>
      <c r="U82" s="1" t="s">
        <v>2002</v>
      </c>
      <c r="V82" s="1" t="s">
        <v>2003</v>
      </c>
      <c r="W82" s="1" t="s">
        <v>2004</v>
      </c>
      <c r="X82" s="1" t="s">
        <v>2005</v>
      </c>
      <c r="Y82" s="1" t="s">
        <v>2006</v>
      </c>
      <c r="Z82" s="1">
        <v>61.0</v>
      </c>
      <c r="AA82" s="1">
        <v>4.0</v>
      </c>
      <c r="AB82" s="1">
        <v>6.0</v>
      </c>
      <c r="AC82" s="1">
        <v>3.0</v>
      </c>
      <c r="AD82" s="1">
        <v>11.0</v>
      </c>
      <c r="AE82" s="1" t="s">
        <v>247</v>
      </c>
      <c r="AF82" s="1" t="s">
        <v>248</v>
      </c>
      <c r="AG82" s="1" t="s">
        <v>249</v>
      </c>
      <c r="AH82" s="1" t="s">
        <v>68</v>
      </c>
      <c r="AI82" s="1" t="s">
        <v>2007</v>
      </c>
      <c r="AJ82" s="1" t="s">
        <v>68</v>
      </c>
      <c r="AK82" s="1" t="s">
        <v>2008</v>
      </c>
      <c r="AL82" s="1" t="s">
        <v>2009</v>
      </c>
      <c r="AM82" s="1" t="s">
        <v>1169</v>
      </c>
      <c r="AN82" s="1">
        <v>2024.0</v>
      </c>
      <c r="AO82" s="1">
        <v>16.0</v>
      </c>
      <c r="AP82" s="1">
        <v>6.0</v>
      </c>
      <c r="AQ82" s="1" t="s">
        <v>68</v>
      </c>
      <c r="AR82" s="1" t="s">
        <v>68</v>
      </c>
      <c r="AS82" s="1" t="s">
        <v>68</v>
      </c>
      <c r="AT82" s="1" t="s">
        <v>68</v>
      </c>
      <c r="AU82" s="1" t="s">
        <v>68</v>
      </c>
      <c r="AV82" s="1" t="s">
        <v>68</v>
      </c>
      <c r="AW82" s="1">
        <v>2333.0</v>
      </c>
      <c r="AX82" s="1" t="s">
        <v>2010</v>
      </c>
      <c r="AY82" s="3" t="str">
        <f>HYPERLINK("http://dx.doi.org/10.3390/su16062333","http://dx.doi.org/10.3390/su16062333")</f>
        <v>http://dx.doi.org/10.3390/su16062333</v>
      </c>
      <c r="AZ82" s="1" t="s">
        <v>68</v>
      </c>
      <c r="BA82" s="1" t="s">
        <v>68</v>
      </c>
      <c r="BB82" s="1">
        <v>16.0</v>
      </c>
      <c r="BC82" s="1" t="s">
        <v>1052</v>
      </c>
      <c r="BD82" s="1" t="s">
        <v>279</v>
      </c>
      <c r="BE82" s="1" t="s">
        <v>1053</v>
      </c>
      <c r="BF82" s="1" t="s">
        <v>2011</v>
      </c>
      <c r="BG82" s="1" t="s">
        <v>68</v>
      </c>
      <c r="BH82" s="1" t="s">
        <v>462</v>
      </c>
      <c r="BI82" s="1" t="s">
        <v>68</v>
      </c>
      <c r="BJ82" s="1" t="s">
        <v>68</v>
      </c>
      <c r="BK82" s="1" t="s">
        <v>95</v>
      </c>
      <c r="BL82" s="1" t="s">
        <v>2012</v>
      </c>
      <c r="BM82" s="1" t="str">
        <f>HYPERLINK("https%3A%2F%2Fwww.webofscience.com%2Fwos%2Fwoscc%2Ffull-record%2FWOS:001192901100001","View Full Record in Web of Science")</f>
        <v>View Full Record in Web of Science</v>
      </c>
    </row>
    <row r="83" ht="12.75" customHeight="1">
      <c r="A83" s="1" t="s">
        <v>65</v>
      </c>
      <c r="B83" s="1" t="s">
        <v>2013</v>
      </c>
      <c r="C83" s="1" t="s">
        <v>2014</v>
      </c>
      <c r="D83" s="1" t="s">
        <v>68</v>
      </c>
      <c r="E83" s="1" t="s">
        <v>2015</v>
      </c>
      <c r="F83" s="1" t="s">
        <v>412</v>
      </c>
      <c r="G83" s="1" t="s">
        <v>68</v>
      </c>
      <c r="H83" s="1" t="s">
        <v>71</v>
      </c>
      <c r="I83" s="1" t="s">
        <v>72</v>
      </c>
      <c r="J83" s="1" t="s">
        <v>68</v>
      </c>
      <c r="K83" s="1" t="s">
        <v>68</v>
      </c>
      <c r="L83" s="1" t="s">
        <v>68</v>
      </c>
      <c r="M83" s="1" t="s">
        <v>68</v>
      </c>
      <c r="N83" s="1" t="s">
        <v>2016</v>
      </c>
      <c r="O83" s="1" t="s">
        <v>2017</v>
      </c>
      <c r="P83" s="1" t="s">
        <v>2018</v>
      </c>
      <c r="Q83" s="1" t="s">
        <v>2019</v>
      </c>
      <c r="R83" s="1" t="s">
        <v>2020</v>
      </c>
      <c r="S83" s="1" t="s">
        <v>2021</v>
      </c>
      <c r="T83" s="1" t="s">
        <v>2022</v>
      </c>
      <c r="U83" s="1" t="s">
        <v>2023</v>
      </c>
      <c r="V83" s="1" t="s">
        <v>2024</v>
      </c>
      <c r="W83" s="1" t="s">
        <v>2025</v>
      </c>
      <c r="X83" s="1" t="s">
        <v>2026</v>
      </c>
      <c r="Y83" s="1" t="s">
        <v>2027</v>
      </c>
      <c r="Z83" s="1">
        <v>39.0</v>
      </c>
      <c r="AA83" s="1">
        <v>187.0</v>
      </c>
      <c r="AB83" s="1">
        <v>220.0</v>
      </c>
      <c r="AC83" s="1">
        <v>4.0</v>
      </c>
      <c r="AD83" s="1">
        <v>80.0</v>
      </c>
      <c r="AE83" s="1" t="s">
        <v>422</v>
      </c>
      <c r="AF83" s="1" t="s">
        <v>423</v>
      </c>
      <c r="AG83" s="1" t="s">
        <v>424</v>
      </c>
      <c r="AH83" s="1" t="s">
        <v>425</v>
      </c>
      <c r="AI83" s="1" t="s">
        <v>426</v>
      </c>
      <c r="AJ83" s="1" t="s">
        <v>68</v>
      </c>
      <c r="AK83" s="1" t="s">
        <v>412</v>
      </c>
      <c r="AL83" s="1" t="s">
        <v>427</v>
      </c>
      <c r="AM83" s="1" t="s">
        <v>1169</v>
      </c>
      <c r="AN83" s="1">
        <v>2019.0</v>
      </c>
      <c r="AO83" s="1">
        <v>69.0</v>
      </c>
      <c r="AP83" s="1">
        <v>3.0</v>
      </c>
      <c r="AQ83" s="1" t="s">
        <v>68</v>
      </c>
      <c r="AR83" s="1" t="s">
        <v>68</v>
      </c>
      <c r="AS83" s="1" t="s">
        <v>68</v>
      </c>
      <c r="AT83" s="1" t="s">
        <v>68</v>
      </c>
      <c r="AU83" s="1">
        <v>170.0</v>
      </c>
      <c r="AV83" s="1">
        <v>179.0</v>
      </c>
      <c r="AW83" s="1" t="s">
        <v>68</v>
      </c>
      <c r="AX83" s="1" t="s">
        <v>2028</v>
      </c>
      <c r="AY83" s="3" t="str">
        <f>HYPERLINK("http://dx.doi.org/10.1093/biosci/biz010","http://dx.doi.org/10.1093/biosci/biz010")</f>
        <v>http://dx.doi.org/10.1093/biosci/biz010</v>
      </c>
      <c r="AZ83" s="1" t="s">
        <v>68</v>
      </c>
      <c r="BA83" s="1" t="s">
        <v>68</v>
      </c>
      <c r="BB83" s="1">
        <v>10.0</v>
      </c>
      <c r="BC83" s="1" t="s">
        <v>430</v>
      </c>
      <c r="BD83" s="1" t="s">
        <v>92</v>
      </c>
      <c r="BE83" s="1" t="s">
        <v>431</v>
      </c>
      <c r="BF83" s="1" t="s">
        <v>2029</v>
      </c>
      <c r="BG83" s="1">
        <v>3.090597E7</v>
      </c>
      <c r="BH83" s="1" t="s">
        <v>512</v>
      </c>
      <c r="BI83" s="1" t="s">
        <v>68</v>
      </c>
      <c r="BJ83" s="1" t="s">
        <v>68</v>
      </c>
      <c r="BK83" s="1" t="s">
        <v>95</v>
      </c>
      <c r="BL83" s="1" t="s">
        <v>2030</v>
      </c>
      <c r="BM83" s="1" t="str">
        <f>HYPERLINK("https%3A%2F%2Fwww.webofscience.com%2Fwos%2Fwoscc%2Ffull-record%2FWOS:000462615500005","View Full Record in Web of Science")</f>
        <v>View Full Record in Web of Science</v>
      </c>
    </row>
    <row r="84" ht="12.75" customHeight="1">
      <c r="A84" s="1" t="s">
        <v>65</v>
      </c>
      <c r="B84" s="1" t="s">
        <v>2031</v>
      </c>
      <c r="C84" s="1" t="s">
        <v>2032</v>
      </c>
      <c r="D84" s="1" t="s">
        <v>68</v>
      </c>
      <c r="E84" s="1" t="s">
        <v>2033</v>
      </c>
      <c r="F84" s="1" t="s">
        <v>2034</v>
      </c>
      <c r="G84" s="1" t="s">
        <v>68</v>
      </c>
      <c r="H84" s="1" t="s">
        <v>71</v>
      </c>
      <c r="I84" s="1" t="s">
        <v>72</v>
      </c>
      <c r="J84" s="1" t="s">
        <v>68</v>
      </c>
      <c r="K84" s="1" t="s">
        <v>68</v>
      </c>
      <c r="L84" s="1" t="s">
        <v>68</v>
      </c>
      <c r="M84" s="1" t="s">
        <v>68</v>
      </c>
      <c r="N84" s="1" t="s">
        <v>2035</v>
      </c>
      <c r="O84" s="1" t="s">
        <v>2036</v>
      </c>
      <c r="P84" s="1" t="s">
        <v>2037</v>
      </c>
      <c r="Q84" s="1" t="s">
        <v>2038</v>
      </c>
      <c r="R84" s="1" t="s">
        <v>2039</v>
      </c>
      <c r="S84" s="1" t="s">
        <v>2040</v>
      </c>
      <c r="T84" s="1" t="s">
        <v>2041</v>
      </c>
      <c r="U84" s="1" t="s">
        <v>2042</v>
      </c>
      <c r="V84" s="1" t="s">
        <v>2043</v>
      </c>
      <c r="W84" s="1" t="s">
        <v>2044</v>
      </c>
      <c r="X84" s="1" t="s">
        <v>2045</v>
      </c>
      <c r="Y84" s="1" t="s">
        <v>2046</v>
      </c>
      <c r="Z84" s="1">
        <v>49.0</v>
      </c>
      <c r="AA84" s="1">
        <v>26.0</v>
      </c>
      <c r="AB84" s="1">
        <v>28.0</v>
      </c>
      <c r="AC84" s="1">
        <v>0.0</v>
      </c>
      <c r="AD84" s="1">
        <v>25.0</v>
      </c>
      <c r="AE84" s="1" t="s">
        <v>1716</v>
      </c>
      <c r="AF84" s="1" t="s">
        <v>663</v>
      </c>
      <c r="AG84" s="1" t="s">
        <v>1717</v>
      </c>
      <c r="AH84" s="1" t="s">
        <v>2047</v>
      </c>
      <c r="AI84" s="1" t="s">
        <v>68</v>
      </c>
      <c r="AJ84" s="1" t="s">
        <v>68</v>
      </c>
      <c r="AK84" s="1" t="s">
        <v>2048</v>
      </c>
      <c r="AL84" s="1" t="s">
        <v>2049</v>
      </c>
      <c r="AM84" s="1" t="s">
        <v>224</v>
      </c>
      <c r="AN84" s="1">
        <v>2019.0</v>
      </c>
      <c r="AO84" s="1">
        <v>6.0</v>
      </c>
      <c r="AP84" s="1">
        <v>2.0</v>
      </c>
      <c r="AQ84" s="1" t="s">
        <v>68</v>
      </c>
      <c r="AR84" s="1" t="s">
        <v>68</v>
      </c>
      <c r="AS84" s="1" t="s">
        <v>68</v>
      </c>
      <c r="AT84" s="1" t="s">
        <v>68</v>
      </c>
      <c r="AU84" s="1" t="s">
        <v>68</v>
      </c>
      <c r="AV84" s="1" t="s">
        <v>68</v>
      </c>
      <c r="AW84" s="1">
        <v>181871.0</v>
      </c>
      <c r="AX84" s="1" t="s">
        <v>2050</v>
      </c>
      <c r="AY84" s="3" t="str">
        <f>HYPERLINK("http://dx.doi.org/10.1098/rsos.181871","http://dx.doi.org/10.1098/rsos.181871")</f>
        <v>http://dx.doi.org/10.1098/rsos.181871</v>
      </c>
      <c r="AZ84" s="1" t="s">
        <v>68</v>
      </c>
      <c r="BA84" s="1" t="s">
        <v>68</v>
      </c>
      <c r="BB84" s="1">
        <v>15.0</v>
      </c>
      <c r="BC84" s="1" t="s">
        <v>742</v>
      </c>
      <c r="BD84" s="1" t="s">
        <v>92</v>
      </c>
      <c r="BE84" s="1" t="s">
        <v>743</v>
      </c>
      <c r="BF84" s="1" t="s">
        <v>2051</v>
      </c>
      <c r="BG84" s="1">
        <v>3.0891297E7</v>
      </c>
      <c r="BH84" s="1" t="s">
        <v>94</v>
      </c>
      <c r="BI84" s="1" t="s">
        <v>68</v>
      </c>
      <c r="BJ84" s="1" t="s">
        <v>68</v>
      </c>
      <c r="BK84" s="1" t="s">
        <v>95</v>
      </c>
      <c r="BL84" s="1" t="s">
        <v>2052</v>
      </c>
      <c r="BM84" s="1" t="str">
        <f>HYPERLINK("https%3A%2F%2Fwww.webofscience.com%2Fwos%2Fwoscc%2Ffull-record%2FWOS:000465432900048","View Full Record in Web of Science")</f>
        <v>View Full Record in Web of Science</v>
      </c>
    </row>
    <row r="85" ht="12.75" customHeight="1">
      <c r="A85" s="1" t="s">
        <v>65</v>
      </c>
      <c r="B85" s="1" t="s">
        <v>2053</v>
      </c>
      <c r="C85" s="1" t="s">
        <v>2054</v>
      </c>
      <c r="D85" s="1" t="s">
        <v>68</v>
      </c>
      <c r="E85" s="1" t="s">
        <v>2055</v>
      </c>
      <c r="F85" s="1" t="s">
        <v>1895</v>
      </c>
      <c r="G85" s="1" t="s">
        <v>68</v>
      </c>
      <c r="H85" s="1" t="s">
        <v>71</v>
      </c>
      <c r="I85" s="1" t="s">
        <v>72</v>
      </c>
      <c r="J85" s="1" t="s">
        <v>68</v>
      </c>
      <c r="K85" s="1" t="s">
        <v>68</v>
      </c>
      <c r="L85" s="1" t="s">
        <v>68</v>
      </c>
      <c r="M85" s="1" t="s">
        <v>68</v>
      </c>
      <c r="N85" s="1" t="s">
        <v>68</v>
      </c>
      <c r="O85" s="1" t="s">
        <v>2056</v>
      </c>
      <c r="P85" s="1" t="s">
        <v>2057</v>
      </c>
      <c r="Q85" s="1" t="s">
        <v>2058</v>
      </c>
      <c r="R85" s="1" t="s">
        <v>2059</v>
      </c>
      <c r="S85" s="1" t="s">
        <v>2060</v>
      </c>
      <c r="T85" s="1" t="s">
        <v>2061</v>
      </c>
      <c r="U85" s="1" t="s">
        <v>2062</v>
      </c>
      <c r="V85" s="1" t="s">
        <v>2063</v>
      </c>
      <c r="W85" s="1" t="s">
        <v>2064</v>
      </c>
      <c r="X85" s="1" t="s">
        <v>2064</v>
      </c>
      <c r="Y85" s="1" t="s">
        <v>2065</v>
      </c>
      <c r="Z85" s="1">
        <v>23.0</v>
      </c>
      <c r="AA85" s="1">
        <v>19.0</v>
      </c>
      <c r="AB85" s="1">
        <v>21.0</v>
      </c>
      <c r="AC85" s="1">
        <v>0.0</v>
      </c>
      <c r="AD85" s="1">
        <v>27.0</v>
      </c>
      <c r="AE85" s="1" t="s">
        <v>1906</v>
      </c>
      <c r="AF85" s="1" t="s">
        <v>1907</v>
      </c>
      <c r="AG85" s="1" t="s">
        <v>1908</v>
      </c>
      <c r="AH85" s="1" t="s">
        <v>1909</v>
      </c>
      <c r="AI85" s="1" t="s">
        <v>68</v>
      </c>
      <c r="AJ85" s="1" t="s">
        <v>68</v>
      </c>
      <c r="AK85" s="1" t="s">
        <v>1895</v>
      </c>
      <c r="AL85" s="1" t="s">
        <v>1910</v>
      </c>
      <c r="AM85" s="1" t="s">
        <v>2066</v>
      </c>
      <c r="AN85" s="1">
        <v>2020.0</v>
      </c>
      <c r="AO85" s="1">
        <v>15.0</v>
      </c>
      <c r="AP85" s="1">
        <v>9.0</v>
      </c>
      <c r="AQ85" s="1" t="s">
        <v>68</v>
      </c>
      <c r="AR85" s="1" t="s">
        <v>68</v>
      </c>
      <c r="AS85" s="1" t="s">
        <v>68</v>
      </c>
      <c r="AT85" s="1" t="s">
        <v>68</v>
      </c>
      <c r="AU85" s="1" t="s">
        <v>68</v>
      </c>
      <c r="AV85" s="1" t="s">
        <v>68</v>
      </c>
      <c r="AW85" s="1" t="s">
        <v>2067</v>
      </c>
      <c r="AX85" s="1" t="s">
        <v>2068</v>
      </c>
      <c r="AY85" s="3" t="str">
        <f>HYPERLINK("http://dx.doi.org/10.1371/journal.pone.0238349","http://dx.doi.org/10.1371/journal.pone.0238349")</f>
        <v>http://dx.doi.org/10.1371/journal.pone.0238349</v>
      </c>
      <c r="AZ85" s="1" t="s">
        <v>68</v>
      </c>
      <c r="BA85" s="1" t="s">
        <v>68</v>
      </c>
      <c r="BB85" s="1">
        <v>17.0</v>
      </c>
      <c r="BC85" s="1" t="s">
        <v>742</v>
      </c>
      <c r="BD85" s="1" t="s">
        <v>92</v>
      </c>
      <c r="BE85" s="1" t="s">
        <v>743</v>
      </c>
      <c r="BF85" s="1" t="s">
        <v>2069</v>
      </c>
      <c r="BG85" s="1">
        <v>3.2898181E7</v>
      </c>
      <c r="BH85" s="1" t="s">
        <v>94</v>
      </c>
      <c r="BI85" s="1" t="s">
        <v>68</v>
      </c>
      <c r="BJ85" s="1" t="s">
        <v>68</v>
      </c>
      <c r="BK85" s="1" t="s">
        <v>95</v>
      </c>
      <c r="BL85" s="1" t="s">
        <v>2070</v>
      </c>
      <c r="BM85" s="1" t="str">
        <f>HYPERLINK("https%3A%2F%2Fwww.webofscience.com%2Fwos%2Fwoscc%2Ffull-record%2FWOS:000570962500040","View Full Record in Web of Science")</f>
        <v>View Full Record in Web of Science</v>
      </c>
    </row>
    <row r="86" ht="12.75" customHeight="1">
      <c r="A86" s="1" t="s">
        <v>65</v>
      </c>
      <c r="B86" s="1" t="s">
        <v>2071</v>
      </c>
      <c r="C86" s="1" t="s">
        <v>2072</v>
      </c>
      <c r="D86" s="1" t="s">
        <v>68</v>
      </c>
      <c r="E86" s="1" t="s">
        <v>2073</v>
      </c>
      <c r="F86" s="1" t="s">
        <v>467</v>
      </c>
      <c r="G86" s="1" t="s">
        <v>68</v>
      </c>
      <c r="H86" s="1" t="s">
        <v>71</v>
      </c>
      <c r="I86" s="1" t="s">
        <v>72</v>
      </c>
      <c r="J86" s="1" t="s">
        <v>68</v>
      </c>
      <c r="K86" s="1" t="s">
        <v>68</v>
      </c>
      <c r="L86" s="1" t="s">
        <v>68</v>
      </c>
      <c r="M86" s="1" t="s">
        <v>68</v>
      </c>
      <c r="N86" s="1" t="s">
        <v>2074</v>
      </c>
      <c r="O86" s="1" t="s">
        <v>2075</v>
      </c>
      <c r="P86" s="1" t="s">
        <v>2076</v>
      </c>
      <c r="Q86" s="1" t="s">
        <v>2077</v>
      </c>
      <c r="R86" s="1" t="s">
        <v>68</v>
      </c>
      <c r="S86" s="1" t="s">
        <v>2078</v>
      </c>
      <c r="T86" s="1" t="s">
        <v>2079</v>
      </c>
      <c r="U86" s="1" t="s">
        <v>68</v>
      </c>
      <c r="V86" s="1" t="s">
        <v>68</v>
      </c>
      <c r="W86" s="1" t="s">
        <v>2080</v>
      </c>
      <c r="X86" s="1" t="s">
        <v>2080</v>
      </c>
      <c r="Y86" s="1" t="s">
        <v>2081</v>
      </c>
      <c r="Z86" s="1">
        <v>48.0</v>
      </c>
      <c r="AA86" s="1">
        <v>3.0</v>
      </c>
      <c r="AB86" s="1">
        <v>3.0</v>
      </c>
      <c r="AC86" s="1">
        <v>0.0</v>
      </c>
      <c r="AD86" s="1">
        <v>13.0</v>
      </c>
      <c r="AE86" s="1" t="s">
        <v>83</v>
      </c>
      <c r="AF86" s="1" t="s">
        <v>84</v>
      </c>
      <c r="AG86" s="1" t="s">
        <v>85</v>
      </c>
      <c r="AH86" s="1" t="s">
        <v>68</v>
      </c>
      <c r="AI86" s="1" t="s">
        <v>479</v>
      </c>
      <c r="AJ86" s="1" t="s">
        <v>68</v>
      </c>
      <c r="AK86" s="1" t="s">
        <v>480</v>
      </c>
      <c r="AL86" s="1" t="s">
        <v>481</v>
      </c>
      <c r="AM86" s="1" t="s">
        <v>2082</v>
      </c>
      <c r="AN86" s="1">
        <v>2024.0</v>
      </c>
      <c r="AO86" s="1">
        <v>11.0</v>
      </c>
      <c r="AP86" s="1" t="s">
        <v>68</v>
      </c>
      <c r="AQ86" s="1" t="s">
        <v>68</v>
      </c>
      <c r="AR86" s="1" t="s">
        <v>68</v>
      </c>
      <c r="AS86" s="1" t="s">
        <v>68</v>
      </c>
      <c r="AT86" s="1" t="s">
        <v>68</v>
      </c>
      <c r="AU86" s="1" t="s">
        <v>68</v>
      </c>
      <c r="AV86" s="1" t="s">
        <v>68</v>
      </c>
      <c r="AW86" s="1">
        <v>1237580.0</v>
      </c>
      <c r="AX86" s="1" t="s">
        <v>2083</v>
      </c>
      <c r="AY86" s="3" t="str">
        <f>HYPERLINK("http://dx.doi.org/10.3389/fenvs.2023.1237580","http://dx.doi.org/10.3389/fenvs.2023.1237580")</f>
        <v>http://dx.doi.org/10.3389/fenvs.2023.1237580</v>
      </c>
      <c r="AZ86" s="1" t="s">
        <v>68</v>
      </c>
      <c r="BA86" s="1" t="s">
        <v>68</v>
      </c>
      <c r="BB86" s="1">
        <v>17.0</v>
      </c>
      <c r="BC86" s="1" t="s">
        <v>484</v>
      </c>
      <c r="BD86" s="1" t="s">
        <v>92</v>
      </c>
      <c r="BE86" s="1" t="s">
        <v>333</v>
      </c>
      <c r="BF86" s="1" t="s">
        <v>2084</v>
      </c>
      <c r="BG86" s="1" t="s">
        <v>68</v>
      </c>
      <c r="BH86" s="1" t="s">
        <v>94</v>
      </c>
      <c r="BI86" s="1" t="s">
        <v>68</v>
      </c>
      <c r="BJ86" s="1" t="s">
        <v>68</v>
      </c>
      <c r="BK86" s="1" t="s">
        <v>95</v>
      </c>
      <c r="BL86" s="1" t="s">
        <v>2085</v>
      </c>
      <c r="BM86" s="1" t="str">
        <f>HYPERLINK("https%3A%2F%2Fwww.webofscience.com%2Fwos%2Fwoscc%2Ffull-record%2FWOS:001143510100001","View Full Record in Web of Science")</f>
        <v>View Full Record in Web of Science</v>
      </c>
    </row>
    <row r="87" ht="12.75" customHeight="1">
      <c r="A87" s="1" t="s">
        <v>65</v>
      </c>
      <c r="B87" s="1" t="s">
        <v>2086</v>
      </c>
      <c r="C87" s="1" t="s">
        <v>2087</v>
      </c>
      <c r="D87" s="1" t="s">
        <v>68</v>
      </c>
      <c r="E87" s="1" t="s">
        <v>2088</v>
      </c>
      <c r="F87" s="1" t="s">
        <v>2089</v>
      </c>
      <c r="G87" s="1" t="s">
        <v>68</v>
      </c>
      <c r="H87" s="1" t="s">
        <v>71</v>
      </c>
      <c r="I87" s="1" t="s">
        <v>72</v>
      </c>
      <c r="J87" s="1" t="s">
        <v>68</v>
      </c>
      <c r="K87" s="1" t="s">
        <v>68</v>
      </c>
      <c r="L87" s="1" t="s">
        <v>68</v>
      </c>
      <c r="M87" s="1" t="s">
        <v>68</v>
      </c>
      <c r="N87" s="1" t="s">
        <v>2090</v>
      </c>
      <c r="O87" s="1" t="s">
        <v>2091</v>
      </c>
      <c r="P87" s="1" t="s">
        <v>2092</v>
      </c>
      <c r="Q87" s="1" t="s">
        <v>2093</v>
      </c>
      <c r="R87" s="1" t="s">
        <v>2094</v>
      </c>
      <c r="S87" s="1" t="s">
        <v>2095</v>
      </c>
      <c r="T87" s="1" t="s">
        <v>2096</v>
      </c>
      <c r="U87" s="1" t="s">
        <v>2097</v>
      </c>
      <c r="V87" s="1" t="s">
        <v>2098</v>
      </c>
      <c r="W87" s="1" t="s">
        <v>2099</v>
      </c>
      <c r="X87" s="1" t="s">
        <v>2100</v>
      </c>
      <c r="Y87" s="1" t="s">
        <v>2101</v>
      </c>
      <c r="Z87" s="1">
        <v>33.0</v>
      </c>
      <c r="AA87" s="1">
        <v>5.0</v>
      </c>
      <c r="AB87" s="1">
        <v>6.0</v>
      </c>
      <c r="AC87" s="1">
        <v>1.0</v>
      </c>
      <c r="AD87" s="1">
        <v>34.0</v>
      </c>
      <c r="AE87" s="1" t="s">
        <v>114</v>
      </c>
      <c r="AF87" s="1" t="s">
        <v>1505</v>
      </c>
      <c r="AG87" s="1" t="s">
        <v>1506</v>
      </c>
      <c r="AH87" s="1" t="s">
        <v>2102</v>
      </c>
      <c r="AI87" s="1" t="s">
        <v>2103</v>
      </c>
      <c r="AJ87" s="1" t="s">
        <v>68</v>
      </c>
      <c r="AK87" s="1" t="s">
        <v>2104</v>
      </c>
      <c r="AL87" s="1" t="s">
        <v>2105</v>
      </c>
      <c r="AM87" s="1" t="s">
        <v>404</v>
      </c>
      <c r="AN87" s="1">
        <v>2021.0</v>
      </c>
      <c r="AO87" s="1">
        <v>193.0</v>
      </c>
      <c r="AP87" s="1">
        <v>9.0</v>
      </c>
      <c r="AQ87" s="1" t="s">
        <v>68</v>
      </c>
      <c r="AR87" s="1" t="s">
        <v>68</v>
      </c>
      <c r="AS87" s="1" t="s">
        <v>68</v>
      </c>
      <c r="AT87" s="1" t="s">
        <v>68</v>
      </c>
      <c r="AU87" s="1" t="s">
        <v>68</v>
      </c>
      <c r="AV87" s="1" t="s">
        <v>68</v>
      </c>
      <c r="AW87" s="1">
        <v>604.0</v>
      </c>
      <c r="AX87" s="1" t="s">
        <v>2106</v>
      </c>
      <c r="AY87" s="3" t="str">
        <f>HYPERLINK("http://dx.doi.org/10.1007/s10661-021-09395-2","http://dx.doi.org/10.1007/s10661-021-09395-2")</f>
        <v>http://dx.doi.org/10.1007/s10661-021-09395-2</v>
      </c>
      <c r="AZ87" s="1" t="s">
        <v>68</v>
      </c>
      <c r="BA87" s="1" t="s">
        <v>68</v>
      </c>
      <c r="BB87" s="1">
        <v>12.0</v>
      </c>
      <c r="BC87" s="1" t="s">
        <v>484</v>
      </c>
      <c r="BD87" s="1" t="s">
        <v>92</v>
      </c>
      <c r="BE87" s="1" t="s">
        <v>333</v>
      </c>
      <c r="BF87" s="1" t="s">
        <v>2107</v>
      </c>
      <c r="BG87" s="1">
        <v>3.444895E7</v>
      </c>
      <c r="BH87" s="1" t="s">
        <v>68</v>
      </c>
      <c r="BI87" s="1" t="s">
        <v>68</v>
      </c>
      <c r="BJ87" s="1" t="s">
        <v>68</v>
      </c>
      <c r="BK87" s="1" t="s">
        <v>95</v>
      </c>
      <c r="BL87" s="1" t="s">
        <v>2108</v>
      </c>
      <c r="BM87" s="1" t="str">
        <f>HYPERLINK("https%3A%2F%2Fwww.webofscience.com%2Fwos%2Fwoscc%2Ffull-record%2FWOS:000690960800003","View Full Record in Web of Science")</f>
        <v>View Full Record in Web of Science</v>
      </c>
    </row>
    <row r="88" ht="12.75" customHeight="1">
      <c r="A88" s="1" t="s">
        <v>65</v>
      </c>
      <c r="B88" s="1" t="s">
        <v>2109</v>
      </c>
      <c r="C88" s="1" t="s">
        <v>2110</v>
      </c>
      <c r="D88" s="1" t="s">
        <v>68</v>
      </c>
      <c r="E88" s="1" t="s">
        <v>2111</v>
      </c>
      <c r="F88" s="1" t="s">
        <v>2112</v>
      </c>
      <c r="G88" s="1" t="s">
        <v>68</v>
      </c>
      <c r="H88" s="1" t="s">
        <v>71</v>
      </c>
      <c r="I88" s="1" t="s">
        <v>72</v>
      </c>
      <c r="J88" s="1" t="s">
        <v>68</v>
      </c>
      <c r="K88" s="1" t="s">
        <v>68</v>
      </c>
      <c r="L88" s="1" t="s">
        <v>68</v>
      </c>
      <c r="M88" s="1" t="s">
        <v>68</v>
      </c>
      <c r="N88" s="1" t="s">
        <v>2113</v>
      </c>
      <c r="O88" s="1" t="s">
        <v>2114</v>
      </c>
      <c r="P88" s="1" t="s">
        <v>2115</v>
      </c>
      <c r="Q88" s="1" t="s">
        <v>2116</v>
      </c>
      <c r="R88" s="1" t="s">
        <v>2117</v>
      </c>
      <c r="S88" s="1" t="s">
        <v>2118</v>
      </c>
      <c r="T88" s="1" t="s">
        <v>2119</v>
      </c>
      <c r="U88" s="1" t="s">
        <v>2120</v>
      </c>
      <c r="V88" s="1" t="s">
        <v>2121</v>
      </c>
      <c r="W88" s="1" t="s">
        <v>2122</v>
      </c>
      <c r="X88" s="1" t="s">
        <v>2123</v>
      </c>
      <c r="Y88" s="1" t="s">
        <v>2124</v>
      </c>
      <c r="Z88" s="1">
        <v>40.0</v>
      </c>
      <c r="AA88" s="1">
        <v>0.0</v>
      </c>
      <c r="AB88" s="1">
        <v>0.0</v>
      </c>
      <c r="AC88" s="1">
        <v>2.0</v>
      </c>
      <c r="AD88" s="1">
        <v>9.0</v>
      </c>
      <c r="AE88" s="1" t="s">
        <v>2125</v>
      </c>
      <c r="AF88" s="1" t="s">
        <v>2126</v>
      </c>
      <c r="AG88" s="1" t="s">
        <v>2127</v>
      </c>
      <c r="AH88" s="1" t="s">
        <v>2128</v>
      </c>
      <c r="AI88" s="1" t="s">
        <v>2129</v>
      </c>
      <c r="AJ88" s="1" t="s">
        <v>68</v>
      </c>
      <c r="AK88" s="1" t="s">
        <v>2130</v>
      </c>
      <c r="AL88" s="1" t="s">
        <v>2131</v>
      </c>
      <c r="AM88" s="1" t="s">
        <v>2132</v>
      </c>
      <c r="AN88" s="1">
        <v>2025.0</v>
      </c>
      <c r="AO88" s="1">
        <v>32.0</v>
      </c>
      <c r="AP88" s="1">
        <v>2.0</v>
      </c>
      <c r="AQ88" s="1" t="s">
        <v>68</v>
      </c>
      <c r="AR88" s="1" t="s">
        <v>68</v>
      </c>
      <c r="AS88" s="1" t="s">
        <v>68</v>
      </c>
      <c r="AT88" s="1" t="s">
        <v>68</v>
      </c>
      <c r="AU88" s="1">
        <v>177.0</v>
      </c>
      <c r="AV88" s="1">
        <v>185.0</v>
      </c>
      <c r="AW88" s="1" t="s">
        <v>68</v>
      </c>
      <c r="AX88" s="1" t="s">
        <v>2133</v>
      </c>
      <c r="AY88" s="3" t="str">
        <f>HYPERLINK("http://dx.doi.org/10.1080/13504509.2024.2423085","http://dx.doi.org/10.1080/13504509.2024.2423085")</f>
        <v>http://dx.doi.org/10.1080/13504509.2024.2423085</v>
      </c>
      <c r="AZ88" s="1" t="s">
        <v>68</v>
      </c>
      <c r="BA88" s="1" t="s">
        <v>2134</v>
      </c>
      <c r="BB88" s="1">
        <v>9.0</v>
      </c>
      <c r="BC88" s="1" t="s">
        <v>2135</v>
      </c>
      <c r="BD88" s="1" t="s">
        <v>92</v>
      </c>
      <c r="BE88" s="1" t="s">
        <v>1053</v>
      </c>
      <c r="BF88" s="1" t="s">
        <v>2136</v>
      </c>
      <c r="BG88" s="1" t="s">
        <v>68</v>
      </c>
      <c r="BH88" s="1" t="s">
        <v>68</v>
      </c>
      <c r="BI88" s="1" t="s">
        <v>68</v>
      </c>
      <c r="BJ88" s="1" t="s">
        <v>68</v>
      </c>
      <c r="BK88" s="1" t="s">
        <v>95</v>
      </c>
      <c r="BL88" s="1" t="s">
        <v>2137</v>
      </c>
      <c r="BM88" s="1" t="str">
        <f>HYPERLINK("https%3A%2F%2Fwww.webofscience.com%2Fwos%2Fwoscc%2Ffull-record%2FWOS:001349343900001","View Full Record in Web of Science")</f>
        <v>View Full Record in Web of Science</v>
      </c>
    </row>
    <row r="89" ht="12.75" customHeight="1">
      <c r="A89" s="1" t="s">
        <v>65</v>
      </c>
      <c r="B89" s="1" t="s">
        <v>2138</v>
      </c>
      <c r="C89" s="1" t="s">
        <v>2139</v>
      </c>
      <c r="D89" s="1" t="s">
        <v>68</v>
      </c>
      <c r="E89" s="1" t="s">
        <v>2140</v>
      </c>
      <c r="F89" s="1" t="s">
        <v>467</v>
      </c>
      <c r="G89" s="1" t="s">
        <v>68</v>
      </c>
      <c r="H89" s="1" t="s">
        <v>71</v>
      </c>
      <c r="I89" s="1" t="s">
        <v>72</v>
      </c>
      <c r="J89" s="1" t="s">
        <v>68</v>
      </c>
      <c r="K89" s="1" t="s">
        <v>68</v>
      </c>
      <c r="L89" s="1" t="s">
        <v>68</v>
      </c>
      <c r="M89" s="1" t="s">
        <v>68</v>
      </c>
      <c r="N89" s="1" t="s">
        <v>2141</v>
      </c>
      <c r="O89" s="1" t="s">
        <v>2142</v>
      </c>
      <c r="P89" s="1" t="s">
        <v>2143</v>
      </c>
      <c r="Q89" s="1" t="s">
        <v>2144</v>
      </c>
      <c r="R89" s="1" t="s">
        <v>2145</v>
      </c>
      <c r="S89" s="1" t="s">
        <v>2146</v>
      </c>
      <c r="T89" s="1" t="s">
        <v>2147</v>
      </c>
      <c r="U89" s="1" t="s">
        <v>2148</v>
      </c>
      <c r="V89" s="1" t="s">
        <v>2149</v>
      </c>
      <c r="W89" s="1" t="s">
        <v>2150</v>
      </c>
      <c r="X89" s="1" t="s">
        <v>2151</v>
      </c>
      <c r="Y89" s="1" t="s">
        <v>2152</v>
      </c>
      <c r="Z89" s="1">
        <v>79.0</v>
      </c>
      <c r="AA89" s="1">
        <v>8.0</v>
      </c>
      <c r="AB89" s="1">
        <v>8.0</v>
      </c>
      <c r="AC89" s="1">
        <v>3.0</v>
      </c>
      <c r="AD89" s="1">
        <v>22.0</v>
      </c>
      <c r="AE89" s="1" t="s">
        <v>83</v>
      </c>
      <c r="AF89" s="1" t="s">
        <v>84</v>
      </c>
      <c r="AG89" s="1" t="s">
        <v>85</v>
      </c>
      <c r="AH89" s="1" t="s">
        <v>68</v>
      </c>
      <c r="AI89" s="1" t="s">
        <v>479</v>
      </c>
      <c r="AJ89" s="1" t="s">
        <v>68</v>
      </c>
      <c r="AK89" s="1" t="s">
        <v>480</v>
      </c>
      <c r="AL89" s="1" t="s">
        <v>481</v>
      </c>
      <c r="AM89" s="1" t="s">
        <v>2153</v>
      </c>
      <c r="AN89" s="1">
        <v>2023.0</v>
      </c>
      <c r="AO89" s="1">
        <v>11.0</v>
      </c>
      <c r="AP89" s="1" t="s">
        <v>68</v>
      </c>
      <c r="AQ89" s="1" t="s">
        <v>68</v>
      </c>
      <c r="AR89" s="1" t="s">
        <v>68</v>
      </c>
      <c r="AS89" s="1" t="s">
        <v>68</v>
      </c>
      <c r="AT89" s="1" t="s">
        <v>68</v>
      </c>
      <c r="AU89" s="1" t="s">
        <v>68</v>
      </c>
      <c r="AV89" s="1" t="s">
        <v>68</v>
      </c>
      <c r="AW89" s="1">
        <v>1324600.0</v>
      </c>
      <c r="AX89" s="1" t="s">
        <v>2154</v>
      </c>
      <c r="AY89" s="3" t="str">
        <f>HYPERLINK("http://dx.doi.org/10.3389/fenvs.2023.1324600","http://dx.doi.org/10.3389/fenvs.2023.1324600")</f>
        <v>http://dx.doi.org/10.3389/fenvs.2023.1324600</v>
      </c>
      <c r="AZ89" s="1" t="s">
        <v>68</v>
      </c>
      <c r="BA89" s="1" t="s">
        <v>68</v>
      </c>
      <c r="BB89" s="1">
        <v>15.0</v>
      </c>
      <c r="BC89" s="1" t="s">
        <v>484</v>
      </c>
      <c r="BD89" s="1" t="s">
        <v>92</v>
      </c>
      <c r="BE89" s="1" t="s">
        <v>333</v>
      </c>
      <c r="BF89" s="1" t="s">
        <v>2155</v>
      </c>
      <c r="BG89" s="1" t="s">
        <v>68</v>
      </c>
      <c r="BH89" s="1" t="s">
        <v>94</v>
      </c>
      <c r="BI89" s="1" t="s">
        <v>68</v>
      </c>
      <c r="BJ89" s="1" t="s">
        <v>68</v>
      </c>
      <c r="BK89" s="1" t="s">
        <v>95</v>
      </c>
      <c r="BL89" s="1" t="s">
        <v>2156</v>
      </c>
      <c r="BM89" s="1" t="str">
        <f>HYPERLINK("https%3A%2F%2Fwww.webofscience.com%2Fwos%2Fwoscc%2Ffull-record%2FWOS:001118573500001","View Full Record in Web of Science")</f>
        <v>View Full Record in Web of Science</v>
      </c>
    </row>
    <row r="90" ht="12.75" customHeight="1">
      <c r="A90" s="1" t="s">
        <v>65</v>
      </c>
      <c r="B90" s="1" t="s">
        <v>2157</v>
      </c>
      <c r="C90" s="1" t="s">
        <v>2158</v>
      </c>
      <c r="D90" s="1" t="s">
        <v>68</v>
      </c>
      <c r="E90" s="1" t="s">
        <v>2159</v>
      </c>
      <c r="F90" s="1" t="s">
        <v>1948</v>
      </c>
      <c r="G90" s="1" t="s">
        <v>68</v>
      </c>
      <c r="H90" s="1" t="s">
        <v>71</v>
      </c>
      <c r="I90" s="1" t="s">
        <v>72</v>
      </c>
      <c r="J90" s="1" t="s">
        <v>68</v>
      </c>
      <c r="K90" s="1" t="s">
        <v>68</v>
      </c>
      <c r="L90" s="1" t="s">
        <v>68</v>
      </c>
      <c r="M90" s="1" t="s">
        <v>68</v>
      </c>
      <c r="N90" s="1" t="s">
        <v>2160</v>
      </c>
      <c r="O90" s="1" t="s">
        <v>2161</v>
      </c>
      <c r="P90" s="1" t="s">
        <v>2162</v>
      </c>
      <c r="Q90" s="1" t="s">
        <v>2163</v>
      </c>
      <c r="R90" s="1" t="s">
        <v>2164</v>
      </c>
      <c r="S90" s="1" t="s">
        <v>2165</v>
      </c>
      <c r="T90" s="1" t="s">
        <v>2166</v>
      </c>
      <c r="U90" s="1" t="s">
        <v>2167</v>
      </c>
      <c r="V90" s="1" t="s">
        <v>2168</v>
      </c>
      <c r="W90" s="1" t="s">
        <v>2169</v>
      </c>
      <c r="X90" s="1" t="s">
        <v>2170</v>
      </c>
      <c r="Y90" s="1" t="s">
        <v>2171</v>
      </c>
      <c r="Z90" s="1">
        <v>58.0</v>
      </c>
      <c r="AA90" s="1">
        <v>100.0</v>
      </c>
      <c r="AB90" s="1">
        <v>132.0</v>
      </c>
      <c r="AC90" s="1">
        <v>2.0</v>
      </c>
      <c r="AD90" s="1">
        <v>130.0</v>
      </c>
      <c r="AE90" s="1" t="s">
        <v>1960</v>
      </c>
      <c r="AF90" s="1" t="s">
        <v>663</v>
      </c>
      <c r="AG90" s="1" t="s">
        <v>1961</v>
      </c>
      <c r="AH90" s="1" t="s">
        <v>1962</v>
      </c>
      <c r="AI90" s="1" t="s">
        <v>1963</v>
      </c>
      <c r="AJ90" s="1" t="s">
        <v>68</v>
      </c>
      <c r="AK90" s="1" t="s">
        <v>1964</v>
      </c>
      <c r="AL90" s="1" t="s">
        <v>1965</v>
      </c>
      <c r="AM90" s="1" t="s">
        <v>2172</v>
      </c>
      <c r="AN90" s="1">
        <v>2017.0</v>
      </c>
      <c r="AO90" s="1">
        <v>200.0</v>
      </c>
      <c r="AP90" s="1" t="s">
        <v>68</v>
      </c>
      <c r="AQ90" s="1" t="s">
        <v>68</v>
      </c>
      <c r="AR90" s="1" t="s">
        <v>68</v>
      </c>
      <c r="AS90" s="1" t="s">
        <v>68</v>
      </c>
      <c r="AT90" s="1" t="s">
        <v>68</v>
      </c>
      <c r="AU90" s="1">
        <v>456.0</v>
      </c>
      <c r="AV90" s="1">
        <v>467.0</v>
      </c>
      <c r="AW90" s="1" t="s">
        <v>68</v>
      </c>
      <c r="AX90" s="1" t="s">
        <v>2173</v>
      </c>
      <c r="AY90" s="3" t="str">
        <f>HYPERLINK("http://dx.doi.org/10.1016/j.jenvman.2017.05.083","http://dx.doi.org/10.1016/j.jenvman.2017.05.083")</f>
        <v>http://dx.doi.org/10.1016/j.jenvman.2017.05.083</v>
      </c>
      <c r="AZ90" s="1" t="s">
        <v>68</v>
      </c>
      <c r="BA90" s="1" t="s">
        <v>68</v>
      </c>
      <c r="BB90" s="1">
        <v>12.0</v>
      </c>
      <c r="BC90" s="1" t="s">
        <v>484</v>
      </c>
      <c r="BD90" s="1" t="s">
        <v>279</v>
      </c>
      <c r="BE90" s="1" t="s">
        <v>333</v>
      </c>
      <c r="BF90" s="1" t="s">
        <v>2174</v>
      </c>
      <c r="BG90" s="1">
        <v>2.8618317E7</v>
      </c>
      <c r="BH90" s="1" t="s">
        <v>68</v>
      </c>
      <c r="BI90" s="1" t="s">
        <v>68</v>
      </c>
      <c r="BJ90" s="1" t="s">
        <v>68</v>
      </c>
      <c r="BK90" s="1" t="s">
        <v>95</v>
      </c>
      <c r="BL90" s="1" t="s">
        <v>2175</v>
      </c>
      <c r="BM90" s="1" t="str">
        <f>HYPERLINK("https%3A%2F%2Fwww.webofscience.com%2Fwos%2Fwoscc%2Ffull-record%2FWOS:000406564400045","View Full Record in Web of Science")</f>
        <v>View Full Record in Web of Science</v>
      </c>
    </row>
    <row r="91" ht="12.75" customHeight="1">
      <c r="A91" s="1" t="s">
        <v>65</v>
      </c>
      <c r="B91" s="1" t="s">
        <v>2176</v>
      </c>
      <c r="C91" s="1" t="s">
        <v>2177</v>
      </c>
      <c r="D91" s="1" t="s">
        <v>68</v>
      </c>
      <c r="E91" s="1" t="s">
        <v>2178</v>
      </c>
      <c r="F91" s="1" t="s">
        <v>2179</v>
      </c>
      <c r="G91" s="1" t="s">
        <v>68</v>
      </c>
      <c r="H91" s="1" t="s">
        <v>71</v>
      </c>
      <c r="I91" s="1" t="s">
        <v>597</v>
      </c>
      <c r="J91" s="1" t="s">
        <v>68</v>
      </c>
      <c r="K91" s="1" t="s">
        <v>68</v>
      </c>
      <c r="L91" s="1" t="s">
        <v>68</v>
      </c>
      <c r="M91" s="1" t="s">
        <v>68</v>
      </c>
      <c r="N91" s="1" t="s">
        <v>68</v>
      </c>
      <c r="O91" s="1" t="s">
        <v>68</v>
      </c>
      <c r="P91" s="1" t="s">
        <v>68</v>
      </c>
      <c r="Q91" s="1" t="s">
        <v>2180</v>
      </c>
      <c r="R91" s="1" t="s">
        <v>2181</v>
      </c>
      <c r="S91" s="1" t="s">
        <v>2182</v>
      </c>
      <c r="T91" s="1" t="s">
        <v>2183</v>
      </c>
      <c r="U91" s="1" t="s">
        <v>2184</v>
      </c>
      <c r="V91" s="1" t="s">
        <v>2185</v>
      </c>
      <c r="W91" s="1" t="s">
        <v>2186</v>
      </c>
      <c r="X91" s="1" t="s">
        <v>1229</v>
      </c>
      <c r="Y91" s="1" t="s">
        <v>68</v>
      </c>
      <c r="Z91" s="1">
        <v>20.0</v>
      </c>
      <c r="AA91" s="1">
        <v>66.0</v>
      </c>
      <c r="AB91" s="1">
        <v>75.0</v>
      </c>
      <c r="AC91" s="1">
        <v>1.0</v>
      </c>
      <c r="AD91" s="1">
        <v>37.0</v>
      </c>
      <c r="AE91" s="1" t="s">
        <v>2187</v>
      </c>
      <c r="AF91" s="1" t="s">
        <v>2188</v>
      </c>
      <c r="AG91" s="1" t="s">
        <v>2189</v>
      </c>
      <c r="AH91" s="1" t="s">
        <v>2190</v>
      </c>
      <c r="AI91" s="1" t="s">
        <v>2191</v>
      </c>
      <c r="AJ91" s="1" t="s">
        <v>68</v>
      </c>
      <c r="AK91" s="1" t="s">
        <v>2192</v>
      </c>
      <c r="AL91" s="1" t="s">
        <v>2193</v>
      </c>
      <c r="AM91" s="1" t="s">
        <v>2194</v>
      </c>
      <c r="AN91" s="1">
        <v>2016.0</v>
      </c>
      <c r="AO91" s="1">
        <v>142.0</v>
      </c>
      <c r="AP91" s="1">
        <v>4.0</v>
      </c>
      <c r="AQ91" s="1" t="s">
        <v>68</v>
      </c>
      <c r="AR91" s="1" t="s">
        <v>68</v>
      </c>
      <c r="AS91" s="1" t="s">
        <v>68</v>
      </c>
      <c r="AT91" s="1" t="s">
        <v>68</v>
      </c>
      <c r="AU91" s="1" t="s">
        <v>68</v>
      </c>
      <c r="AV91" s="1" t="s">
        <v>68</v>
      </c>
      <c r="AW91" s="1">
        <v>1816002.0</v>
      </c>
      <c r="AX91" s="1" t="s">
        <v>2195</v>
      </c>
      <c r="AY91" s="3" t="str">
        <f>HYPERLINK("http://dx.doi.org/10.1061/(ASCE)WR.1943-5452.0000641","http://dx.doi.org/10.1061/(ASCE)WR.1943-5452.0000641")</f>
        <v>http://dx.doi.org/10.1061/(ASCE)WR.1943-5452.0000641</v>
      </c>
      <c r="AZ91" s="1" t="s">
        <v>68</v>
      </c>
      <c r="BA91" s="1" t="s">
        <v>68</v>
      </c>
      <c r="BB91" s="1">
        <v>4.0</v>
      </c>
      <c r="BC91" s="1" t="s">
        <v>2196</v>
      </c>
      <c r="BD91" s="1" t="s">
        <v>279</v>
      </c>
      <c r="BE91" s="1" t="s">
        <v>2197</v>
      </c>
      <c r="BF91" s="1" t="s">
        <v>2198</v>
      </c>
      <c r="BG91" s="1" t="s">
        <v>68</v>
      </c>
      <c r="BH91" s="1" t="s">
        <v>512</v>
      </c>
      <c r="BI91" s="1" t="s">
        <v>68</v>
      </c>
      <c r="BJ91" s="1" t="s">
        <v>68</v>
      </c>
      <c r="BK91" s="1" t="s">
        <v>95</v>
      </c>
      <c r="BL91" s="1" t="s">
        <v>2199</v>
      </c>
      <c r="BM91" s="1" t="str">
        <f>HYPERLINK("https%3A%2F%2Fwww.webofscience.com%2Fwos%2Fwoscc%2Ffull-record%2FWOS:000372804500010","View Full Record in Web of Science")</f>
        <v>View Full Record in Web of Science</v>
      </c>
    </row>
    <row r="92" ht="12.75" customHeight="1">
      <c r="A92" s="1" t="s">
        <v>65</v>
      </c>
      <c r="B92" s="1" t="s">
        <v>2200</v>
      </c>
      <c r="C92" s="1" t="s">
        <v>2201</v>
      </c>
      <c r="D92" s="1" t="s">
        <v>68</v>
      </c>
      <c r="E92" s="1" t="s">
        <v>2202</v>
      </c>
      <c r="F92" s="1" t="s">
        <v>2203</v>
      </c>
      <c r="G92" s="1" t="s">
        <v>68</v>
      </c>
      <c r="H92" s="1" t="s">
        <v>71</v>
      </c>
      <c r="I92" s="1" t="s">
        <v>72</v>
      </c>
      <c r="J92" s="1" t="s">
        <v>68</v>
      </c>
      <c r="K92" s="1" t="s">
        <v>68</v>
      </c>
      <c r="L92" s="1" t="s">
        <v>68</v>
      </c>
      <c r="M92" s="1" t="s">
        <v>68</v>
      </c>
      <c r="N92" s="1" t="s">
        <v>2204</v>
      </c>
      <c r="O92" s="1" t="s">
        <v>2205</v>
      </c>
      <c r="P92" s="1" t="s">
        <v>2206</v>
      </c>
      <c r="Q92" s="1" t="s">
        <v>2207</v>
      </c>
      <c r="R92" s="1" t="s">
        <v>2208</v>
      </c>
      <c r="S92" s="1" t="s">
        <v>2209</v>
      </c>
      <c r="T92" s="1" t="s">
        <v>2210</v>
      </c>
      <c r="U92" s="1" t="s">
        <v>2211</v>
      </c>
      <c r="V92" s="1" t="s">
        <v>2212</v>
      </c>
      <c r="W92" s="1" t="s">
        <v>2213</v>
      </c>
      <c r="X92" s="1" t="s">
        <v>2214</v>
      </c>
      <c r="Y92" s="1" t="s">
        <v>2215</v>
      </c>
      <c r="Z92" s="1">
        <v>36.0</v>
      </c>
      <c r="AA92" s="1">
        <v>17.0</v>
      </c>
      <c r="AB92" s="1">
        <v>20.0</v>
      </c>
      <c r="AC92" s="1">
        <v>0.0</v>
      </c>
      <c r="AD92" s="1">
        <v>25.0</v>
      </c>
      <c r="AE92" s="1" t="s">
        <v>83</v>
      </c>
      <c r="AF92" s="1" t="s">
        <v>84</v>
      </c>
      <c r="AG92" s="1" t="s">
        <v>85</v>
      </c>
      <c r="AH92" s="1" t="s">
        <v>68</v>
      </c>
      <c r="AI92" s="1" t="s">
        <v>2216</v>
      </c>
      <c r="AJ92" s="1" t="s">
        <v>68</v>
      </c>
      <c r="AK92" s="1" t="s">
        <v>2217</v>
      </c>
      <c r="AL92" s="1" t="s">
        <v>2218</v>
      </c>
      <c r="AM92" s="1" t="s">
        <v>2219</v>
      </c>
      <c r="AN92" s="1">
        <v>2020.0</v>
      </c>
      <c r="AO92" s="1">
        <v>2.0</v>
      </c>
      <c r="AP92" s="1" t="s">
        <v>68</v>
      </c>
      <c r="AQ92" s="1" t="s">
        <v>68</v>
      </c>
      <c r="AR92" s="1" t="s">
        <v>68</v>
      </c>
      <c r="AS92" s="1" t="s">
        <v>68</v>
      </c>
      <c r="AT92" s="1" t="s">
        <v>68</v>
      </c>
      <c r="AU92" s="1" t="s">
        <v>68</v>
      </c>
      <c r="AV92" s="1" t="s">
        <v>68</v>
      </c>
      <c r="AW92" s="1">
        <v>581375.0</v>
      </c>
      <c r="AX92" s="1" t="s">
        <v>2220</v>
      </c>
      <c r="AY92" s="3" t="str">
        <f>HYPERLINK("http://dx.doi.org/10.3389/frwa.2020.581375","http://dx.doi.org/10.3389/frwa.2020.581375")</f>
        <v>http://dx.doi.org/10.3389/frwa.2020.581375</v>
      </c>
      <c r="AZ92" s="1" t="s">
        <v>68</v>
      </c>
      <c r="BA92" s="1" t="s">
        <v>68</v>
      </c>
      <c r="BB92" s="1">
        <v>12.0</v>
      </c>
      <c r="BC92" s="1" t="s">
        <v>2221</v>
      </c>
      <c r="BD92" s="1" t="s">
        <v>197</v>
      </c>
      <c r="BE92" s="1" t="s">
        <v>2221</v>
      </c>
      <c r="BF92" s="1" t="s">
        <v>2222</v>
      </c>
      <c r="BG92" s="1" t="s">
        <v>68</v>
      </c>
      <c r="BH92" s="1" t="s">
        <v>200</v>
      </c>
      <c r="BI92" s="1" t="s">
        <v>68</v>
      </c>
      <c r="BJ92" s="1" t="s">
        <v>68</v>
      </c>
      <c r="BK92" s="1" t="s">
        <v>95</v>
      </c>
      <c r="BL92" s="1" t="s">
        <v>2223</v>
      </c>
      <c r="BM92" s="1" t="str">
        <f>HYPERLINK("https%3A%2F%2Fwww.webofscience.com%2Fwos%2Fwoscc%2Ffull-record%2FWOS:000659451300001","View Full Record in Web of Science")</f>
        <v>View Full Record in Web of Science</v>
      </c>
    </row>
    <row r="93" ht="12.75" customHeight="1">
      <c r="A93" s="1" t="s">
        <v>65</v>
      </c>
      <c r="B93" s="1" t="s">
        <v>2224</v>
      </c>
      <c r="C93" s="1" t="s">
        <v>2225</v>
      </c>
      <c r="D93" s="1" t="s">
        <v>68</v>
      </c>
      <c r="E93" s="1" t="s">
        <v>2226</v>
      </c>
      <c r="F93" s="1" t="s">
        <v>2227</v>
      </c>
      <c r="G93" s="1" t="s">
        <v>68</v>
      </c>
      <c r="H93" s="1" t="s">
        <v>71</v>
      </c>
      <c r="I93" s="1" t="s">
        <v>919</v>
      </c>
      <c r="J93" s="1" t="s">
        <v>2228</v>
      </c>
      <c r="K93" s="1" t="s">
        <v>2229</v>
      </c>
      <c r="L93" s="1" t="s">
        <v>2230</v>
      </c>
      <c r="M93" s="1" t="s">
        <v>2231</v>
      </c>
      <c r="N93" s="1" t="s">
        <v>2232</v>
      </c>
      <c r="O93" s="1" t="s">
        <v>2233</v>
      </c>
      <c r="P93" s="1" t="s">
        <v>2234</v>
      </c>
      <c r="Q93" s="1" t="s">
        <v>2235</v>
      </c>
      <c r="R93" s="1" t="s">
        <v>68</v>
      </c>
      <c r="S93" s="1" t="s">
        <v>2236</v>
      </c>
      <c r="T93" s="1" t="s">
        <v>2237</v>
      </c>
      <c r="U93" s="1" t="s">
        <v>2238</v>
      </c>
      <c r="V93" s="1" t="s">
        <v>68</v>
      </c>
      <c r="W93" s="1" t="s">
        <v>68</v>
      </c>
      <c r="X93" s="1" t="s">
        <v>68</v>
      </c>
      <c r="Y93" s="1" t="s">
        <v>68</v>
      </c>
      <c r="Z93" s="1">
        <v>39.0</v>
      </c>
      <c r="AA93" s="1">
        <v>60.0</v>
      </c>
      <c r="AB93" s="1">
        <v>72.0</v>
      </c>
      <c r="AC93" s="1">
        <v>1.0</v>
      </c>
      <c r="AD93" s="1">
        <v>36.0</v>
      </c>
      <c r="AE93" s="1" t="s">
        <v>2239</v>
      </c>
      <c r="AF93" s="1" t="s">
        <v>2240</v>
      </c>
      <c r="AG93" s="1" t="s">
        <v>2241</v>
      </c>
      <c r="AH93" s="1" t="s">
        <v>2242</v>
      </c>
      <c r="AI93" s="1" t="s">
        <v>2243</v>
      </c>
      <c r="AJ93" s="1" t="s">
        <v>68</v>
      </c>
      <c r="AK93" s="1" t="s">
        <v>2244</v>
      </c>
      <c r="AL93" s="1" t="s">
        <v>2245</v>
      </c>
      <c r="AM93" s="1" t="s">
        <v>68</v>
      </c>
      <c r="AN93" s="1">
        <v>2015.0</v>
      </c>
      <c r="AO93" s="1" t="s">
        <v>68</v>
      </c>
      <c r="AP93" s="1">
        <v>11.0</v>
      </c>
      <c r="AQ93" s="1" t="s">
        <v>68</v>
      </c>
      <c r="AR93" s="1" t="s">
        <v>68</v>
      </c>
      <c r="AS93" s="1" t="s">
        <v>563</v>
      </c>
      <c r="AT93" s="1" t="s">
        <v>68</v>
      </c>
      <c r="AU93" s="1">
        <v>29.0</v>
      </c>
      <c r="AV93" s="1">
        <v>40.0</v>
      </c>
      <c r="AW93" s="1" t="s">
        <v>68</v>
      </c>
      <c r="AX93" s="1" t="s">
        <v>2246</v>
      </c>
      <c r="AY93" s="3" t="str">
        <f>HYPERLINK("http://dx.doi.org/10.3897/natureconservation.11.4439","http://dx.doi.org/10.3897/natureconservation.11.4439")</f>
        <v>http://dx.doi.org/10.3897/natureconservation.11.4439</v>
      </c>
      <c r="AZ93" s="1" t="s">
        <v>68</v>
      </c>
      <c r="BA93" s="1" t="s">
        <v>68</v>
      </c>
      <c r="BB93" s="1">
        <v>12.0</v>
      </c>
      <c r="BC93" s="1" t="s">
        <v>1171</v>
      </c>
      <c r="BD93" s="1" t="s">
        <v>934</v>
      </c>
      <c r="BE93" s="1" t="s">
        <v>1172</v>
      </c>
      <c r="BF93" s="1" t="s">
        <v>2247</v>
      </c>
      <c r="BG93" s="1" t="s">
        <v>68</v>
      </c>
      <c r="BH93" s="1" t="s">
        <v>94</v>
      </c>
      <c r="BI93" s="1" t="s">
        <v>68</v>
      </c>
      <c r="BJ93" s="1" t="s">
        <v>68</v>
      </c>
      <c r="BK93" s="1" t="s">
        <v>95</v>
      </c>
      <c r="BL93" s="1" t="s">
        <v>2248</v>
      </c>
      <c r="BM93" s="1" t="str">
        <f>HYPERLINK("https%3A%2F%2Fwww.webofscience.com%2Fwos%2Fwoscc%2Ffull-record%2FWOS:000359449200004","View Full Record in Web of Science")</f>
        <v>View Full Record in Web of Science</v>
      </c>
    </row>
    <row r="94" ht="12.75" customHeight="1">
      <c r="A94" s="1" t="s">
        <v>65</v>
      </c>
      <c r="B94" s="1" t="s">
        <v>2249</v>
      </c>
      <c r="C94" s="1" t="s">
        <v>2250</v>
      </c>
      <c r="D94" s="1" t="s">
        <v>68</v>
      </c>
      <c r="E94" s="1" t="s">
        <v>2251</v>
      </c>
      <c r="F94" s="1" t="s">
        <v>2252</v>
      </c>
      <c r="G94" s="1" t="s">
        <v>68</v>
      </c>
      <c r="H94" s="1" t="s">
        <v>71</v>
      </c>
      <c r="I94" s="1" t="s">
        <v>45</v>
      </c>
      <c r="J94" s="1" t="s">
        <v>2253</v>
      </c>
      <c r="K94" s="1" t="s">
        <v>2254</v>
      </c>
      <c r="L94" s="1" t="s">
        <v>2255</v>
      </c>
      <c r="M94" s="1" t="s">
        <v>2256</v>
      </c>
      <c r="N94" s="1" t="s">
        <v>68</v>
      </c>
      <c r="O94" s="1" t="s">
        <v>68</v>
      </c>
      <c r="P94" s="1" t="s">
        <v>68</v>
      </c>
      <c r="Q94" s="1" t="s">
        <v>2257</v>
      </c>
      <c r="R94" s="1" t="s">
        <v>2258</v>
      </c>
      <c r="S94" s="1" t="s">
        <v>68</v>
      </c>
      <c r="T94" s="1" t="s">
        <v>2259</v>
      </c>
      <c r="U94" s="1" t="s">
        <v>68</v>
      </c>
      <c r="V94" s="1" t="s">
        <v>68</v>
      </c>
      <c r="W94" s="1" t="s">
        <v>68</v>
      </c>
      <c r="X94" s="1" t="s">
        <v>68</v>
      </c>
      <c r="Y94" s="1" t="s">
        <v>68</v>
      </c>
      <c r="Z94" s="1">
        <v>0.0</v>
      </c>
      <c r="AA94" s="1">
        <v>0.0</v>
      </c>
      <c r="AB94" s="1">
        <v>0.0</v>
      </c>
      <c r="AC94" s="1">
        <v>0.0</v>
      </c>
      <c r="AD94" s="1">
        <v>18.0</v>
      </c>
      <c r="AE94" s="1" t="s">
        <v>529</v>
      </c>
      <c r="AF94" s="1" t="s">
        <v>530</v>
      </c>
      <c r="AG94" s="1" t="s">
        <v>531</v>
      </c>
      <c r="AH94" s="1" t="s">
        <v>2260</v>
      </c>
      <c r="AI94" s="1" t="s">
        <v>68</v>
      </c>
      <c r="AJ94" s="1" t="s">
        <v>68</v>
      </c>
      <c r="AK94" s="1" t="s">
        <v>2261</v>
      </c>
      <c r="AL94" s="1" t="s">
        <v>2262</v>
      </c>
      <c r="AM94" s="1" t="s">
        <v>2194</v>
      </c>
      <c r="AN94" s="1">
        <v>2013.0</v>
      </c>
      <c r="AO94" s="1">
        <v>53.0</v>
      </c>
      <c r="AP94" s="1" t="s">
        <v>68</v>
      </c>
      <c r="AQ94" s="1" t="s">
        <v>68</v>
      </c>
      <c r="AR94" s="1">
        <v>1.0</v>
      </c>
      <c r="AS94" s="1" t="s">
        <v>68</v>
      </c>
      <c r="AT94" s="1" t="s">
        <v>68</v>
      </c>
      <c r="AU94" s="1" t="s">
        <v>2263</v>
      </c>
      <c r="AV94" s="1" t="s">
        <v>2263</v>
      </c>
      <c r="AW94" s="1" t="s">
        <v>68</v>
      </c>
      <c r="AX94" s="1" t="s">
        <v>68</v>
      </c>
      <c r="AY94" s="1" t="s">
        <v>68</v>
      </c>
      <c r="AZ94" s="1" t="s">
        <v>68</v>
      </c>
      <c r="BA94" s="1" t="s">
        <v>68</v>
      </c>
      <c r="BB94" s="1">
        <v>1.0</v>
      </c>
      <c r="BC94" s="1" t="s">
        <v>933</v>
      </c>
      <c r="BD94" s="1" t="s">
        <v>934</v>
      </c>
      <c r="BE94" s="1" t="s">
        <v>933</v>
      </c>
      <c r="BF94" s="1" t="s">
        <v>2264</v>
      </c>
      <c r="BG94" s="1" t="s">
        <v>68</v>
      </c>
      <c r="BH94" s="1" t="s">
        <v>68</v>
      </c>
      <c r="BI94" s="1" t="s">
        <v>68</v>
      </c>
      <c r="BJ94" s="1" t="s">
        <v>68</v>
      </c>
      <c r="BK94" s="1" t="s">
        <v>95</v>
      </c>
      <c r="BL94" s="1" t="s">
        <v>2265</v>
      </c>
      <c r="BM94" s="1" t="str">
        <f>HYPERLINK("https%3A%2F%2Fwww.webofscience.com%2Fwos%2Fwoscc%2Ffull-record%2FWOS:000316991401454","View Full Record in Web of Science")</f>
        <v>View Full Record in Web of Science</v>
      </c>
    </row>
    <row r="95" ht="12.75" customHeight="1">
      <c r="A95" s="1" t="s">
        <v>65</v>
      </c>
      <c r="B95" s="1" t="s">
        <v>2266</v>
      </c>
      <c r="C95" s="1" t="s">
        <v>2267</v>
      </c>
      <c r="D95" s="1" t="s">
        <v>68</v>
      </c>
      <c r="E95" s="1" t="s">
        <v>2268</v>
      </c>
      <c r="F95" s="1" t="s">
        <v>2269</v>
      </c>
      <c r="G95" s="1" t="s">
        <v>68</v>
      </c>
      <c r="H95" s="1" t="s">
        <v>71</v>
      </c>
      <c r="I95" s="1" t="s">
        <v>72</v>
      </c>
      <c r="J95" s="1" t="s">
        <v>68</v>
      </c>
      <c r="K95" s="1" t="s">
        <v>68</v>
      </c>
      <c r="L95" s="1" t="s">
        <v>68</v>
      </c>
      <c r="M95" s="1" t="s">
        <v>68</v>
      </c>
      <c r="N95" s="1" t="s">
        <v>2270</v>
      </c>
      <c r="O95" s="1" t="s">
        <v>2271</v>
      </c>
      <c r="P95" s="1" t="s">
        <v>2272</v>
      </c>
      <c r="Q95" s="1" t="s">
        <v>2273</v>
      </c>
      <c r="R95" s="1" t="s">
        <v>2274</v>
      </c>
      <c r="S95" s="1" t="s">
        <v>2275</v>
      </c>
      <c r="T95" s="1" t="s">
        <v>2276</v>
      </c>
      <c r="U95" s="1" t="s">
        <v>2277</v>
      </c>
      <c r="V95" s="1" t="s">
        <v>2278</v>
      </c>
      <c r="W95" s="1" t="s">
        <v>2279</v>
      </c>
      <c r="X95" s="1" t="s">
        <v>2280</v>
      </c>
      <c r="Y95" s="1" t="s">
        <v>2281</v>
      </c>
      <c r="Z95" s="1">
        <v>48.0</v>
      </c>
      <c r="AA95" s="1">
        <v>3.0</v>
      </c>
      <c r="AB95" s="1">
        <v>4.0</v>
      </c>
      <c r="AC95" s="1">
        <v>2.0</v>
      </c>
      <c r="AD95" s="1">
        <v>15.0</v>
      </c>
      <c r="AE95" s="1" t="s">
        <v>2282</v>
      </c>
      <c r="AF95" s="1" t="s">
        <v>1933</v>
      </c>
      <c r="AG95" s="1" t="s">
        <v>2283</v>
      </c>
      <c r="AH95" s="1" t="s">
        <v>2284</v>
      </c>
      <c r="AI95" s="1" t="s">
        <v>2285</v>
      </c>
      <c r="AJ95" s="1" t="s">
        <v>68</v>
      </c>
      <c r="AK95" s="1" t="s">
        <v>2286</v>
      </c>
      <c r="AL95" s="1" t="s">
        <v>2287</v>
      </c>
      <c r="AM95" s="1" t="s">
        <v>1939</v>
      </c>
      <c r="AN95" s="1">
        <v>2024.0</v>
      </c>
      <c r="AO95" s="1">
        <v>45.0</v>
      </c>
      <c r="AP95" s="1">
        <v>4.0</v>
      </c>
      <c r="AQ95" s="1" t="s">
        <v>68</v>
      </c>
      <c r="AR95" s="1" t="s">
        <v>68</v>
      </c>
      <c r="AS95" s="1" t="s">
        <v>68</v>
      </c>
      <c r="AT95" s="1" t="s">
        <v>68</v>
      </c>
      <c r="AU95" s="1">
        <v>382.0</v>
      </c>
      <c r="AV95" s="1">
        <v>401.0</v>
      </c>
      <c r="AW95" s="1" t="s">
        <v>68</v>
      </c>
      <c r="AX95" s="1" t="s">
        <v>2288</v>
      </c>
      <c r="AY95" s="3" t="str">
        <f>HYPERLINK("http://dx.doi.org/10.1080/02723646.2024.2324516","http://dx.doi.org/10.1080/02723646.2024.2324516")</f>
        <v>http://dx.doi.org/10.1080/02723646.2024.2324516</v>
      </c>
      <c r="AZ95" s="1" t="s">
        <v>68</v>
      </c>
      <c r="BA95" s="1" t="s">
        <v>614</v>
      </c>
      <c r="BB95" s="1">
        <v>20.0</v>
      </c>
      <c r="BC95" s="1" t="s">
        <v>2289</v>
      </c>
      <c r="BD95" s="1" t="s">
        <v>92</v>
      </c>
      <c r="BE95" s="1" t="s">
        <v>2290</v>
      </c>
      <c r="BF95" s="1" t="s">
        <v>2291</v>
      </c>
      <c r="BG95" s="1" t="s">
        <v>68</v>
      </c>
      <c r="BH95" s="1" t="s">
        <v>68</v>
      </c>
      <c r="BI95" s="1" t="s">
        <v>68</v>
      </c>
      <c r="BJ95" s="1" t="s">
        <v>68</v>
      </c>
      <c r="BK95" s="1" t="s">
        <v>95</v>
      </c>
      <c r="BL95" s="1" t="s">
        <v>2292</v>
      </c>
      <c r="BM95" s="1" t="str">
        <f>HYPERLINK("https%3A%2F%2Fwww.webofscience.com%2Fwos%2Fwoscc%2Ffull-record%2FWOS:001181115800001","View Full Record in Web of Science")</f>
        <v>View Full Record in Web of Science</v>
      </c>
    </row>
    <row r="96" ht="12.75" customHeight="1">
      <c r="A96" s="1" t="s">
        <v>65</v>
      </c>
      <c r="B96" s="1" t="s">
        <v>2293</v>
      </c>
      <c r="C96" s="1" t="s">
        <v>2294</v>
      </c>
      <c r="D96" s="1" t="s">
        <v>68</v>
      </c>
      <c r="E96" s="1" t="s">
        <v>2295</v>
      </c>
      <c r="F96" s="1" t="s">
        <v>1948</v>
      </c>
      <c r="G96" s="1" t="s">
        <v>68</v>
      </c>
      <c r="H96" s="1" t="s">
        <v>71</v>
      </c>
      <c r="I96" s="1" t="s">
        <v>72</v>
      </c>
      <c r="J96" s="1" t="s">
        <v>68</v>
      </c>
      <c r="K96" s="1" t="s">
        <v>68</v>
      </c>
      <c r="L96" s="1" t="s">
        <v>68</v>
      </c>
      <c r="M96" s="1" t="s">
        <v>68</v>
      </c>
      <c r="N96" s="1" t="s">
        <v>2296</v>
      </c>
      <c r="O96" s="1" t="s">
        <v>2297</v>
      </c>
      <c r="P96" s="1" t="s">
        <v>2298</v>
      </c>
      <c r="Q96" s="1" t="s">
        <v>2299</v>
      </c>
      <c r="R96" s="1" t="s">
        <v>2300</v>
      </c>
      <c r="S96" s="1" t="s">
        <v>2301</v>
      </c>
      <c r="T96" s="1" t="s">
        <v>2302</v>
      </c>
      <c r="U96" s="1" t="s">
        <v>2303</v>
      </c>
      <c r="V96" s="1" t="s">
        <v>2304</v>
      </c>
      <c r="W96" s="1" t="s">
        <v>68</v>
      </c>
      <c r="X96" s="1" t="s">
        <v>68</v>
      </c>
      <c r="Y96" s="1" t="s">
        <v>68</v>
      </c>
      <c r="Z96" s="1">
        <v>51.0</v>
      </c>
      <c r="AA96" s="1">
        <v>18.0</v>
      </c>
      <c r="AB96" s="1">
        <v>21.0</v>
      </c>
      <c r="AC96" s="1">
        <v>0.0</v>
      </c>
      <c r="AD96" s="1">
        <v>27.0</v>
      </c>
      <c r="AE96" s="1" t="s">
        <v>1960</v>
      </c>
      <c r="AF96" s="1" t="s">
        <v>663</v>
      </c>
      <c r="AG96" s="1" t="s">
        <v>1961</v>
      </c>
      <c r="AH96" s="1" t="s">
        <v>1962</v>
      </c>
      <c r="AI96" s="1" t="s">
        <v>1963</v>
      </c>
      <c r="AJ96" s="1" t="s">
        <v>68</v>
      </c>
      <c r="AK96" s="1" t="s">
        <v>1964</v>
      </c>
      <c r="AL96" s="1" t="s">
        <v>1965</v>
      </c>
      <c r="AM96" s="1" t="s">
        <v>2305</v>
      </c>
      <c r="AN96" s="1">
        <v>2022.0</v>
      </c>
      <c r="AO96" s="1">
        <v>309.0</v>
      </c>
      <c r="AP96" s="1" t="s">
        <v>68</v>
      </c>
      <c r="AQ96" s="1" t="s">
        <v>68</v>
      </c>
      <c r="AR96" s="1" t="s">
        <v>68</v>
      </c>
      <c r="AS96" s="1" t="s">
        <v>68</v>
      </c>
      <c r="AT96" s="1" t="s">
        <v>68</v>
      </c>
      <c r="AU96" s="1" t="s">
        <v>68</v>
      </c>
      <c r="AV96" s="1" t="s">
        <v>68</v>
      </c>
      <c r="AW96" s="1">
        <v>114714.0</v>
      </c>
      <c r="AX96" s="1" t="s">
        <v>2306</v>
      </c>
      <c r="AY96" s="3" t="str">
        <f>HYPERLINK("http://dx.doi.org/10.1016/j.jenvman.2022.114714","http://dx.doi.org/10.1016/j.jenvman.2022.114714")</f>
        <v>http://dx.doi.org/10.1016/j.jenvman.2022.114714</v>
      </c>
      <c r="AZ96" s="1" t="s">
        <v>68</v>
      </c>
      <c r="BA96" s="1" t="s">
        <v>2307</v>
      </c>
      <c r="BB96" s="1">
        <v>9.0</v>
      </c>
      <c r="BC96" s="1" t="s">
        <v>484</v>
      </c>
      <c r="BD96" s="1" t="s">
        <v>92</v>
      </c>
      <c r="BE96" s="1" t="s">
        <v>333</v>
      </c>
      <c r="BF96" s="1" t="s">
        <v>2308</v>
      </c>
      <c r="BG96" s="1">
        <v>3.5189514E7</v>
      </c>
      <c r="BH96" s="1" t="s">
        <v>68</v>
      </c>
      <c r="BI96" s="1" t="s">
        <v>68</v>
      </c>
      <c r="BJ96" s="1" t="s">
        <v>68</v>
      </c>
      <c r="BK96" s="1" t="s">
        <v>95</v>
      </c>
      <c r="BL96" s="1" t="s">
        <v>2309</v>
      </c>
      <c r="BM96" s="1" t="str">
        <f>HYPERLINK("https%3A%2F%2Fwww.webofscience.com%2Fwos%2Fwoscc%2Ffull-record%2FWOS:000820967200004","View Full Record in Web of Science")</f>
        <v>View Full Record in Web of Science</v>
      </c>
    </row>
    <row r="97" ht="12.75" customHeight="1">
      <c r="A97" s="1" t="s">
        <v>65</v>
      </c>
      <c r="B97" s="1" t="s">
        <v>2310</v>
      </c>
      <c r="C97" s="1" t="s">
        <v>2311</v>
      </c>
      <c r="D97" s="1" t="s">
        <v>68</v>
      </c>
      <c r="E97" s="1" t="s">
        <v>2312</v>
      </c>
      <c r="F97" s="1" t="s">
        <v>798</v>
      </c>
      <c r="G97" s="1" t="s">
        <v>68</v>
      </c>
      <c r="H97" s="1" t="s">
        <v>71</v>
      </c>
      <c r="I97" s="1" t="s">
        <v>72</v>
      </c>
      <c r="J97" s="1" t="s">
        <v>68</v>
      </c>
      <c r="K97" s="1" t="s">
        <v>68</v>
      </c>
      <c r="L97" s="1" t="s">
        <v>68</v>
      </c>
      <c r="M97" s="1" t="s">
        <v>68</v>
      </c>
      <c r="N97" s="1" t="s">
        <v>2313</v>
      </c>
      <c r="O97" s="1" t="s">
        <v>2314</v>
      </c>
      <c r="P97" s="1" t="s">
        <v>2315</v>
      </c>
      <c r="Q97" s="1" t="s">
        <v>2316</v>
      </c>
      <c r="R97" s="1" t="s">
        <v>2317</v>
      </c>
      <c r="S97" s="1" t="s">
        <v>2318</v>
      </c>
      <c r="T97" s="1" t="s">
        <v>2319</v>
      </c>
      <c r="U97" s="1" t="s">
        <v>2320</v>
      </c>
      <c r="V97" s="1" t="s">
        <v>2321</v>
      </c>
      <c r="W97" s="1" t="s">
        <v>2322</v>
      </c>
      <c r="X97" s="1" t="s">
        <v>2322</v>
      </c>
      <c r="Y97" s="1" t="s">
        <v>2323</v>
      </c>
      <c r="Z97" s="1">
        <v>58.0</v>
      </c>
      <c r="AA97" s="1">
        <v>18.0</v>
      </c>
      <c r="AB97" s="1">
        <v>19.0</v>
      </c>
      <c r="AC97" s="1">
        <v>1.0</v>
      </c>
      <c r="AD97" s="1">
        <v>20.0</v>
      </c>
      <c r="AE97" s="1" t="s">
        <v>811</v>
      </c>
      <c r="AF97" s="1" t="s">
        <v>1666</v>
      </c>
      <c r="AG97" s="1" t="s">
        <v>1667</v>
      </c>
      <c r="AH97" s="1" t="s">
        <v>813</v>
      </c>
      <c r="AI97" s="1" t="s">
        <v>814</v>
      </c>
      <c r="AJ97" s="1" t="s">
        <v>68</v>
      </c>
      <c r="AK97" s="1" t="s">
        <v>815</v>
      </c>
      <c r="AL97" s="1" t="s">
        <v>816</v>
      </c>
      <c r="AM97" s="1" t="s">
        <v>224</v>
      </c>
      <c r="AN97" s="1">
        <v>2020.0</v>
      </c>
      <c r="AO97" s="1">
        <v>242.0</v>
      </c>
      <c r="AP97" s="1" t="s">
        <v>68</v>
      </c>
      <c r="AQ97" s="1" t="s">
        <v>68</v>
      </c>
      <c r="AR97" s="1" t="s">
        <v>68</v>
      </c>
      <c r="AS97" s="1" t="s">
        <v>68</v>
      </c>
      <c r="AT97" s="1" t="s">
        <v>68</v>
      </c>
      <c r="AU97" s="1" t="s">
        <v>68</v>
      </c>
      <c r="AV97" s="1" t="s">
        <v>68</v>
      </c>
      <c r="AW97" s="1">
        <v>108411.0</v>
      </c>
      <c r="AX97" s="1" t="s">
        <v>2324</v>
      </c>
      <c r="AY97" s="3" t="str">
        <f>HYPERLINK("http://dx.doi.org/10.1016/j.biocon.2020.108411","http://dx.doi.org/10.1016/j.biocon.2020.108411")</f>
        <v>http://dx.doi.org/10.1016/j.biocon.2020.108411</v>
      </c>
      <c r="AZ97" s="1" t="s">
        <v>68</v>
      </c>
      <c r="BA97" s="1" t="s">
        <v>68</v>
      </c>
      <c r="BB97" s="1">
        <v>10.0</v>
      </c>
      <c r="BC97" s="1" t="s">
        <v>122</v>
      </c>
      <c r="BD97" s="1" t="s">
        <v>92</v>
      </c>
      <c r="BE97" s="1" t="s">
        <v>123</v>
      </c>
      <c r="BF97" s="1" t="s">
        <v>2325</v>
      </c>
      <c r="BG97" s="1" t="s">
        <v>68</v>
      </c>
      <c r="BH97" s="1" t="s">
        <v>68</v>
      </c>
      <c r="BI97" s="1" t="s">
        <v>68</v>
      </c>
      <c r="BJ97" s="1" t="s">
        <v>68</v>
      </c>
      <c r="BK97" s="1" t="s">
        <v>95</v>
      </c>
      <c r="BL97" s="1" t="s">
        <v>2326</v>
      </c>
      <c r="BM97" s="1" t="str">
        <f>HYPERLINK("https%3A%2F%2Fwww.webofscience.com%2Fwos%2Fwoscc%2Ffull-record%2FWOS:000517855100007","View Full Record in Web of Science")</f>
        <v>View Full Record in Web of Science</v>
      </c>
    </row>
    <row r="98" ht="12.75" customHeight="1">
      <c r="A98" s="1" t="s">
        <v>65</v>
      </c>
      <c r="B98" s="1" t="s">
        <v>2327</v>
      </c>
      <c r="C98" s="1" t="s">
        <v>2328</v>
      </c>
      <c r="D98" s="1" t="s">
        <v>68</v>
      </c>
      <c r="E98" s="1" t="s">
        <v>2329</v>
      </c>
      <c r="F98" s="1" t="s">
        <v>2330</v>
      </c>
      <c r="G98" s="1" t="s">
        <v>68</v>
      </c>
      <c r="H98" s="1" t="s">
        <v>71</v>
      </c>
      <c r="I98" s="1" t="s">
        <v>72</v>
      </c>
      <c r="J98" s="1" t="s">
        <v>68</v>
      </c>
      <c r="K98" s="1" t="s">
        <v>68</v>
      </c>
      <c r="L98" s="1" t="s">
        <v>68</v>
      </c>
      <c r="M98" s="1" t="s">
        <v>68</v>
      </c>
      <c r="N98" s="1" t="s">
        <v>2331</v>
      </c>
      <c r="O98" s="1" t="s">
        <v>2332</v>
      </c>
      <c r="P98" s="1" t="s">
        <v>2333</v>
      </c>
      <c r="Q98" s="1" t="s">
        <v>2334</v>
      </c>
      <c r="R98" s="1" t="s">
        <v>68</v>
      </c>
      <c r="S98" s="1" t="s">
        <v>2335</v>
      </c>
      <c r="T98" s="1" t="s">
        <v>2336</v>
      </c>
      <c r="U98" s="1" t="s">
        <v>2337</v>
      </c>
      <c r="V98" s="1" t="s">
        <v>2338</v>
      </c>
      <c r="W98" s="1" t="s">
        <v>2339</v>
      </c>
      <c r="X98" s="1" t="s">
        <v>2340</v>
      </c>
      <c r="Y98" s="1" t="s">
        <v>2341</v>
      </c>
      <c r="Z98" s="1">
        <v>73.0</v>
      </c>
      <c r="AA98" s="1">
        <v>20.0</v>
      </c>
      <c r="AB98" s="1">
        <v>27.0</v>
      </c>
      <c r="AC98" s="1">
        <v>1.0</v>
      </c>
      <c r="AD98" s="1">
        <v>35.0</v>
      </c>
      <c r="AE98" s="1" t="s">
        <v>953</v>
      </c>
      <c r="AF98" s="1" t="s">
        <v>423</v>
      </c>
      <c r="AG98" s="1" t="s">
        <v>954</v>
      </c>
      <c r="AH98" s="1" t="s">
        <v>2342</v>
      </c>
      <c r="AI98" s="1" t="s">
        <v>2343</v>
      </c>
      <c r="AJ98" s="1" t="s">
        <v>68</v>
      </c>
      <c r="AK98" s="1" t="s">
        <v>2344</v>
      </c>
      <c r="AL98" s="1" t="s">
        <v>2345</v>
      </c>
      <c r="AM98" s="1" t="s">
        <v>2346</v>
      </c>
      <c r="AN98" s="1">
        <v>2017.0</v>
      </c>
      <c r="AO98" s="1">
        <v>120.0</v>
      </c>
      <c r="AP98" s="1" t="s">
        <v>2347</v>
      </c>
      <c r="AQ98" s="1" t="s">
        <v>68</v>
      </c>
      <c r="AR98" s="1" t="s">
        <v>68</v>
      </c>
      <c r="AS98" s="1" t="s">
        <v>68</v>
      </c>
      <c r="AT98" s="1" t="s">
        <v>68</v>
      </c>
      <c r="AU98" s="1">
        <v>51.0</v>
      </c>
      <c r="AV98" s="1">
        <v>57.0</v>
      </c>
      <c r="AW98" s="1" t="s">
        <v>68</v>
      </c>
      <c r="AX98" s="1" t="s">
        <v>2348</v>
      </c>
      <c r="AY98" s="3" t="str">
        <f>HYPERLINK("http://dx.doi.org/10.1016/j.marpolbul.2017.04.038","http://dx.doi.org/10.1016/j.marpolbul.2017.04.038")</f>
        <v>http://dx.doi.org/10.1016/j.marpolbul.2017.04.038</v>
      </c>
      <c r="AZ98" s="1" t="s">
        <v>68</v>
      </c>
      <c r="BA98" s="1" t="s">
        <v>68</v>
      </c>
      <c r="BB98" s="1">
        <v>7.0</v>
      </c>
      <c r="BC98" s="1" t="s">
        <v>2349</v>
      </c>
      <c r="BD98" s="1" t="s">
        <v>92</v>
      </c>
      <c r="BE98" s="1" t="s">
        <v>2350</v>
      </c>
      <c r="BF98" s="1" t="s">
        <v>2351</v>
      </c>
      <c r="BG98" s="1">
        <v>2.8477985E7</v>
      </c>
      <c r="BH98" s="1" t="s">
        <v>68</v>
      </c>
      <c r="BI98" s="1" t="s">
        <v>68</v>
      </c>
      <c r="BJ98" s="1" t="s">
        <v>68</v>
      </c>
      <c r="BK98" s="1" t="s">
        <v>95</v>
      </c>
      <c r="BL98" s="1" t="s">
        <v>2352</v>
      </c>
      <c r="BM98" s="1" t="str">
        <f>HYPERLINK("https%3A%2F%2Fwww.webofscience.com%2Fwos%2Fwoscc%2Ffull-record%2FWOS:000407539300017","View Full Record in Web of Science")</f>
        <v>View Full Record in Web of Science</v>
      </c>
    </row>
    <row r="99" ht="12.75" customHeight="1">
      <c r="A99" s="1" t="s">
        <v>65</v>
      </c>
      <c r="B99" s="1" t="s">
        <v>2353</v>
      </c>
      <c r="C99" s="1" t="s">
        <v>2354</v>
      </c>
      <c r="D99" s="1" t="s">
        <v>68</v>
      </c>
      <c r="E99" s="1" t="s">
        <v>2355</v>
      </c>
      <c r="F99" s="1" t="s">
        <v>1586</v>
      </c>
      <c r="G99" s="1" t="s">
        <v>68</v>
      </c>
      <c r="H99" s="1" t="s">
        <v>71</v>
      </c>
      <c r="I99" s="1" t="s">
        <v>72</v>
      </c>
      <c r="J99" s="1" t="s">
        <v>68</v>
      </c>
      <c r="K99" s="1" t="s">
        <v>68</v>
      </c>
      <c r="L99" s="1" t="s">
        <v>68</v>
      </c>
      <c r="M99" s="1" t="s">
        <v>68</v>
      </c>
      <c r="N99" s="1" t="s">
        <v>2356</v>
      </c>
      <c r="O99" s="1" t="s">
        <v>2357</v>
      </c>
      <c r="P99" s="1" t="s">
        <v>2358</v>
      </c>
      <c r="Q99" s="1" t="s">
        <v>2359</v>
      </c>
      <c r="R99" s="1" t="s">
        <v>2360</v>
      </c>
      <c r="S99" s="1" t="s">
        <v>2361</v>
      </c>
      <c r="T99" s="1" t="s">
        <v>2362</v>
      </c>
      <c r="U99" s="1" t="s">
        <v>2363</v>
      </c>
      <c r="V99" s="1" t="s">
        <v>2364</v>
      </c>
      <c r="W99" s="1" t="s">
        <v>2365</v>
      </c>
      <c r="X99" s="1" t="s">
        <v>2366</v>
      </c>
      <c r="Y99" s="1" t="s">
        <v>2367</v>
      </c>
      <c r="Z99" s="1">
        <v>39.0</v>
      </c>
      <c r="AA99" s="1">
        <v>75.0</v>
      </c>
      <c r="AB99" s="1">
        <v>85.0</v>
      </c>
      <c r="AC99" s="1">
        <v>0.0</v>
      </c>
      <c r="AD99" s="1">
        <v>48.0</v>
      </c>
      <c r="AE99" s="1" t="s">
        <v>1596</v>
      </c>
      <c r="AF99" s="1" t="s">
        <v>1182</v>
      </c>
      <c r="AG99" s="1" t="s">
        <v>1597</v>
      </c>
      <c r="AH99" s="1" t="s">
        <v>1598</v>
      </c>
      <c r="AI99" s="1" t="s">
        <v>1599</v>
      </c>
      <c r="AJ99" s="1" t="s">
        <v>68</v>
      </c>
      <c r="AK99" s="1" t="s">
        <v>1600</v>
      </c>
      <c r="AL99" s="1" t="s">
        <v>1601</v>
      </c>
      <c r="AM99" s="1" t="s">
        <v>959</v>
      </c>
      <c r="AN99" s="1">
        <v>2018.0</v>
      </c>
      <c r="AO99" s="1" t="s">
        <v>2368</v>
      </c>
      <c r="AP99" s="1" t="s">
        <v>68</v>
      </c>
      <c r="AQ99" s="1" t="s">
        <v>68</v>
      </c>
      <c r="AR99" s="1" t="s">
        <v>68</v>
      </c>
      <c r="AS99" s="1" t="s">
        <v>68</v>
      </c>
      <c r="AT99" s="1" t="s">
        <v>68</v>
      </c>
      <c r="AU99" s="1">
        <v>1590.0</v>
      </c>
      <c r="AV99" s="1">
        <v>1599.0</v>
      </c>
      <c r="AW99" s="1" t="s">
        <v>68</v>
      </c>
      <c r="AX99" s="1" t="s">
        <v>2369</v>
      </c>
      <c r="AY99" s="3" t="str">
        <f>HYPERLINK("http://dx.doi.org/10.1016/j.scitotenv.2018.03.130","http://dx.doi.org/10.1016/j.scitotenv.2018.03.130")</f>
        <v>http://dx.doi.org/10.1016/j.scitotenv.2018.03.130</v>
      </c>
      <c r="AZ99" s="1" t="s">
        <v>68</v>
      </c>
      <c r="BA99" s="1" t="s">
        <v>68</v>
      </c>
      <c r="BB99" s="1">
        <v>10.0</v>
      </c>
      <c r="BC99" s="1" t="s">
        <v>484</v>
      </c>
      <c r="BD99" s="1" t="s">
        <v>92</v>
      </c>
      <c r="BE99" s="1" t="s">
        <v>333</v>
      </c>
      <c r="BF99" s="1" t="s">
        <v>2370</v>
      </c>
      <c r="BG99" s="1">
        <v>2.9727983E7</v>
      </c>
      <c r="BH99" s="1" t="s">
        <v>68</v>
      </c>
      <c r="BI99" s="1" t="s">
        <v>68</v>
      </c>
      <c r="BJ99" s="1" t="s">
        <v>68</v>
      </c>
      <c r="BK99" s="1" t="s">
        <v>95</v>
      </c>
      <c r="BL99" s="1" t="s">
        <v>2371</v>
      </c>
      <c r="BM99" s="1" t="str">
        <f>HYPERLINK("https%3A%2F%2Fwww.webofscience.com%2Fwos%2Fwoscc%2Ffull-record%2FWOS:000432471900158","View Full Record in Web of Science")</f>
        <v>View Full Record in Web of Science</v>
      </c>
    </row>
    <row r="100" ht="12.75" customHeight="1">
      <c r="A100" s="1" t="s">
        <v>65</v>
      </c>
      <c r="B100" s="1" t="s">
        <v>2372</v>
      </c>
      <c r="C100" s="1" t="s">
        <v>2373</v>
      </c>
      <c r="D100" s="1" t="s">
        <v>68</v>
      </c>
      <c r="E100" s="1" t="s">
        <v>2374</v>
      </c>
      <c r="F100" s="1" t="s">
        <v>826</v>
      </c>
      <c r="G100" s="1" t="s">
        <v>68</v>
      </c>
      <c r="H100" s="1" t="s">
        <v>71</v>
      </c>
      <c r="I100" s="1" t="s">
        <v>72</v>
      </c>
      <c r="J100" s="1" t="s">
        <v>68</v>
      </c>
      <c r="K100" s="1" t="s">
        <v>68</v>
      </c>
      <c r="L100" s="1" t="s">
        <v>68</v>
      </c>
      <c r="M100" s="1" t="s">
        <v>68</v>
      </c>
      <c r="N100" s="1" t="s">
        <v>2375</v>
      </c>
      <c r="O100" s="1" t="s">
        <v>2376</v>
      </c>
      <c r="P100" s="1" t="s">
        <v>2377</v>
      </c>
      <c r="Q100" s="1" t="s">
        <v>2378</v>
      </c>
      <c r="R100" s="1" t="s">
        <v>2379</v>
      </c>
      <c r="S100" s="1" t="s">
        <v>2380</v>
      </c>
      <c r="T100" s="1" t="s">
        <v>2381</v>
      </c>
      <c r="U100" s="1" t="s">
        <v>2382</v>
      </c>
      <c r="V100" s="1" t="s">
        <v>2383</v>
      </c>
      <c r="W100" s="1" t="s">
        <v>2384</v>
      </c>
      <c r="X100" s="1" t="s">
        <v>2385</v>
      </c>
      <c r="Y100" s="1" t="s">
        <v>2386</v>
      </c>
      <c r="Z100" s="1">
        <v>81.0</v>
      </c>
      <c r="AA100" s="1">
        <v>1.0</v>
      </c>
      <c r="AB100" s="1">
        <v>1.0</v>
      </c>
      <c r="AC100" s="1">
        <v>3.0</v>
      </c>
      <c r="AD100" s="1">
        <v>13.0</v>
      </c>
      <c r="AE100" s="1" t="s">
        <v>838</v>
      </c>
      <c r="AF100" s="1" t="s">
        <v>839</v>
      </c>
      <c r="AG100" s="1" t="s">
        <v>840</v>
      </c>
      <c r="AH100" s="1" t="s">
        <v>841</v>
      </c>
      <c r="AI100" s="1" t="s">
        <v>68</v>
      </c>
      <c r="AJ100" s="1" t="s">
        <v>68</v>
      </c>
      <c r="AK100" s="1" t="s">
        <v>842</v>
      </c>
      <c r="AL100" s="1" t="s">
        <v>843</v>
      </c>
      <c r="AM100" s="1" t="s">
        <v>2387</v>
      </c>
      <c r="AN100" s="1">
        <v>2024.0</v>
      </c>
      <c r="AO100" s="1">
        <v>14.0</v>
      </c>
      <c r="AP100" s="1">
        <v>1.0</v>
      </c>
      <c r="AQ100" s="1" t="s">
        <v>68</v>
      </c>
      <c r="AR100" s="1" t="s">
        <v>68</v>
      </c>
      <c r="AS100" s="1" t="s">
        <v>68</v>
      </c>
      <c r="AT100" s="1" t="s">
        <v>68</v>
      </c>
      <c r="AU100" s="1" t="s">
        <v>68</v>
      </c>
      <c r="AV100" s="1" t="s">
        <v>68</v>
      </c>
      <c r="AW100" s="1">
        <v>24577.0</v>
      </c>
      <c r="AX100" s="1" t="s">
        <v>2388</v>
      </c>
      <c r="AY100" s="3" t="str">
        <f>HYPERLINK("http://dx.doi.org/10.1038/s41598-024-74464-8","http://dx.doi.org/10.1038/s41598-024-74464-8")</f>
        <v>http://dx.doi.org/10.1038/s41598-024-74464-8</v>
      </c>
      <c r="AZ100" s="1" t="s">
        <v>68</v>
      </c>
      <c r="BA100" s="1" t="s">
        <v>68</v>
      </c>
      <c r="BB100" s="1">
        <v>12.0</v>
      </c>
      <c r="BC100" s="1" t="s">
        <v>742</v>
      </c>
      <c r="BD100" s="1" t="s">
        <v>92</v>
      </c>
      <c r="BE100" s="1" t="s">
        <v>743</v>
      </c>
      <c r="BF100" s="1" t="s">
        <v>2389</v>
      </c>
      <c r="BG100" s="1">
        <v>3.9426979E7</v>
      </c>
      <c r="BH100" s="1" t="s">
        <v>94</v>
      </c>
      <c r="BI100" s="1" t="s">
        <v>68</v>
      </c>
      <c r="BJ100" s="1" t="s">
        <v>68</v>
      </c>
      <c r="BK100" s="1" t="s">
        <v>95</v>
      </c>
      <c r="BL100" s="1" t="s">
        <v>2390</v>
      </c>
      <c r="BM100" s="1" t="str">
        <f>HYPERLINK("https%3A%2F%2Fwww.webofscience.com%2Fwos%2Fwoscc%2Ffull-record%2FWOS:001339577900055","View Full Record in Web of Science")</f>
        <v>View Full Record in Web of Science</v>
      </c>
    </row>
    <row r="101" ht="12.75" customHeight="1">
      <c r="A101" s="1" t="s">
        <v>65</v>
      </c>
      <c r="B101" s="1" t="s">
        <v>2391</v>
      </c>
      <c r="C101" s="1" t="s">
        <v>2392</v>
      </c>
      <c r="D101" s="1" t="s">
        <v>68</v>
      </c>
      <c r="E101" s="1" t="s">
        <v>2393</v>
      </c>
      <c r="F101" s="1" t="s">
        <v>826</v>
      </c>
      <c r="G101" s="1" t="s">
        <v>68</v>
      </c>
      <c r="H101" s="1" t="s">
        <v>71</v>
      </c>
      <c r="I101" s="1" t="s">
        <v>72</v>
      </c>
      <c r="J101" s="1" t="s">
        <v>68</v>
      </c>
      <c r="K101" s="1" t="s">
        <v>68</v>
      </c>
      <c r="L101" s="1" t="s">
        <v>68</v>
      </c>
      <c r="M101" s="1" t="s">
        <v>68</v>
      </c>
      <c r="N101" s="1" t="s">
        <v>68</v>
      </c>
      <c r="O101" s="1" t="s">
        <v>2394</v>
      </c>
      <c r="P101" s="1" t="s">
        <v>2395</v>
      </c>
      <c r="Q101" s="1" t="s">
        <v>2396</v>
      </c>
      <c r="R101" s="1" t="s">
        <v>2397</v>
      </c>
      <c r="S101" s="1" t="s">
        <v>2398</v>
      </c>
      <c r="T101" s="1" t="s">
        <v>2399</v>
      </c>
      <c r="U101" s="1" t="s">
        <v>2400</v>
      </c>
      <c r="V101" s="1" t="s">
        <v>2401</v>
      </c>
      <c r="W101" s="1" t="s">
        <v>2402</v>
      </c>
      <c r="X101" s="1" t="s">
        <v>2403</v>
      </c>
      <c r="Y101" s="1" t="s">
        <v>2404</v>
      </c>
      <c r="Z101" s="1">
        <v>40.0</v>
      </c>
      <c r="AA101" s="1">
        <v>72.0</v>
      </c>
      <c r="AB101" s="1">
        <v>82.0</v>
      </c>
      <c r="AC101" s="1">
        <v>1.0</v>
      </c>
      <c r="AD101" s="1">
        <v>57.0</v>
      </c>
      <c r="AE101" s="1" t="s">
        <v>838</v>
      </c>
      <c r="AF101" s="1" t="s">
        <v>839</v>
      </c>
      <c r="AG101" s="1" t="s">
        <v>840</v>
      </c>
      <c r="AH101" s="1" t="s">
        <v>841</v>
      </c>
      <c r="AI101" s="1" t="s">
        <v>68</v>
      </c>
      <c r="AJ101" s="1" t="s">
        <v>68</v>
      </c>
      <c r="AK101" s="1" t="s">
        <v>842</v>
      </c>
      <c r="AL101" s="1" t="s">
        <v>843</v>
      </c>
      <c r="AM101" s="1" t="s">
        <v>2405</v>
      </c>
      <c r="AN101" s="1">
        <v>2013.0</v>
      </c>
      <c r="AO101" s="1">
        <v>3.0</v>
      </c>
      <c r="AP101" s="1" t="s">
        <v>68</v>
      </c>
      <c r="AQ101" s="1" t="s">
        <v>68</v>
      </c>
      <c r="AR101" s="1" t="s">
        <v>68</v>
      </c>
      <c r="AS101" s="1" t="s">
        <v>68</v>
      </c>
      <c r="AT101" s="1" t="s">
        <v>68</v>
      </c>
      <c r="AU101" s="1" t="s">
        <v>68</v>
      </c>
      <c r="AV101" s="1" t="s">
        <v>68</v>
      </c>
      <c r="AW101" s="1">
        <v>1835.0</v>
      </c>
      <c r="AX101" s="1" t="s">
        <v>2406</v>
      </c>
      <c r="AY101" s="3" t="str">
        <f>HYPERLINK("http://dx.doi.org/10.1038/srep01835","http://dx.doi.org/10.1038/srep01835")</f>
        <v>http://dx.doi.org/10.1038/srep01835</v>
      </c>
      <c r="AZ101" s="1" t="s">
        <v>68</v>
      </c>
      <c r="BA101" s="1" t="s">
        <v>68</v>
      </c>
      <c r="BB101" s="1">
        <v>6.0</v>
      </c>
      <c r="BC101" s="1" t="s">
        <v>742</v>
      </c>
      <c r="BD101" s="1" t="s">
        <v>92</v>
      </c>
      <c r="BE101" s="1" t="s">
        <v>743</v>
      </c>
      <c r="BF101" s="1" t="s">
        <v>2407</v>
      </c>
      <c r="BG101" s="1">
        <v>2.3677222E7</v>
      </c>
      <c r="BH101" s="1" t="s">
        <v>94</v>
      </c>
      <c r="BI101" s="1" t="s">
        <v>68</v>
      </c>
      <c r="BJ101" s="1" t="s">
        <v>68</v>
      </c>
      <c r="BK101" s="1" t="s">
        <v>95</v>
      </c>
      <c r="BL101" s="1" t="s">
        <v>2408</v>
      </c>
      <c r="BM101" s="1" t="str">
        <f>HYPERLINK("https%3A%2F%2Fwww.webofscience.com%2Fwos%2Fwoscc%2Ffull-record%2FWOS:000318964600001","View Full Record in Web of Science")</f>
        <v>View Full Record in Web of Science</v>
      </c>
    </row>
    <row r="102" ht="12.75" customHeight="1">
      <c r="A102" s="1" t="s">
        <v>65</v>
      </c>
      <c r="B102" s="1" t="s">
        <v>2409</v>
      </c>
      <c r="C102" s="1" t="s">
        <v>2410</v>
      </c>
      <c r="D102" s="1" t="s">
        <v>68</v>
      </c>
      <c r="E102" s="1" t="s">
        <v>2411</v>
      </c>
      <c r="F102" s="1" t="s">
        <v>2089</v>
      </c>
      <c r="G102" s="1" t="s">
        <v>68</v>
      </c>
      <c r="H102" s="1" t="s">
        <v>71</v>
      </c>
      <c r="I102" s="1" t="s">
        <v>72</v>
      </c>
      <c r="J102" s="1" t="s">
        <v>68</v>
      </c>
      <c r="K102" s="1" t="s">
        <v>68</v>
      </c>
      <c r="L102" s="1" t="s">
        <v>68</v>
      </c>
      <c r="M102" s="1" t="s">
        <v>68</v>
      </c>
      <c r="N102" s="1" t="s">
        <v>2412</v>
      </c>
      <c r="O102" s="1" t="s">
        <v>2413</v>
      </c>
      <c r="P102" s="1" t="s">
        <v>2414</v>
      </c>
      <c r="Q102" s="1" t="s">
        <v>2415</v>
      </c>
      <c r="R102" s="1" t="s">
        <v>2416</v>
      </c>
      <c r="S102" s="1" t="s">
        <v>2417</v>
      </c>
      <c r="T102" s="1" t="s">
        <v>2418</v>
      </c>
      <c r="U102" s="1" t="s">
        <v>2419</v>
      </c>
      <c r="V102" s="1" t="s">
        <v>68</v>
      </c>
      <c r="W102" s="1" t="s">
        <v>2420</v>
      </c>
      <c r="X102" s="1" t="s">
        <v>2421</v>
      </c>
      <c r="Y102" s="1" t="s">
        <v>2422</v>
      </c>
      <c r="Z102" s="1">
        <v>52.0</v>
      </c>
      <c r="AA102" s="1">
        <v>16.0</v>
      </c>
      <c r="AB102" s="1">
        <v>17.0</v>
      </c>
      <c r="AC102" s="1">
        <v>1.0</v>
      </c>
      <c r="AD102" s="1">
        <v>18.0</v>
      </c>
      <c r="AE102" s="1" t="s">
        <v>114</v>
      </c>
      <c r="AF102" s="1" t="s">
        <v>1505</v>
      </c>
      <c r="AG102" s="1" t="s">
        <v>1506</v>
      </c>
      <c r="AH102" s="1" t="s">
        <v>2102</v>
      </c>
      <c r="AI102" s="1" t="s">
        <v>2103</v>
      </c>
      <c r="AJ102" s="1" t="s">
        <v>68</v>
      </c>
      <c r="AK102" s="1" t="s">
        <v>2104</v>
      </c>
      <c r="AL102" s="1" t="s">
        <v>2105</v>
      </c>
      <c r="AM102" s="1" t="s">
        <v>120</v>
      </c>
      <c r="AN102" s="1">
        <v>2022.0</v>
      </c>
      <c r="AO102" s="1">
        <v>194.0</v>
      </c>
      <c r="AP102" s="1">
        <v>12.0</v>
      </c>
      <c r="AQ102" s="1" t="s">
        <v>68</v>
      </c>
      <c r="AR102" s="1" t="s">
        <v>68</v>
      </c>
      <c r="AS102" s="1" t="s">
        <v>68</v>
      </c>
      <c r="AT102" s="1" t="s">
        <v>68</v>
      </c>
      <c r="AU102" s="1" t="s">
        <v>68</v>
      </c>
      <c r="AV102" s="1" t="s">
        <v>68</v>
      </c>
      <c r="AW102" s="1">
        <v>851.0</v>
      </c>
      <c r="AX102" s="1" t="s">
        <v>2423</v>
      </c>
      <c r="AY102" s="3" t="str">
        <f>HYPERLINK("http://dx.doi.org/10.1007/s10661-022-10487-w","http://dx.doi.org/10.1007/s10661-022-10487-w")</f>
        <v>http://dx.doi.org/10.1007/s10661-022-10487-w</v>
      </c>
      <c r="AZ102" s="1" t="s">
        <v>68</v>
      </c>
      <c r="BA102" s="1" t="s">
        <v>68</v>
      </c>
      <c r="BB102" s="1">
        <v>13.0</v>
      </c>
      <c r="BC102" s="1" t="s">
        <v>484</v>
      </c>
      <c r="BD102" s="1" t="s">
        <v>92</v>
      </c>
      <c r="BE102" s="1" t="s">
        <v>333</v>
      </c>
      <c r="BF102" s="1" t="s">
        <v>2424</v>
      </c>
      <c r="BG102" s="1">
        <v>3.6201051E7</v>
      </c>
      <c r="BH102" s="1" t="s">
        <v>644</v>
      </c>
      <c r="BI102" s="1" t="s">
        <v>68</v>
      </c>
      <c r="BJ102" s="1" t="s">
        <v>68</v>
      </c>
      <c r="BK102" s="1" t="s">
        <v>95</v>
      </c>
      <c r="BL102" s="1" t="s">
        <v>2425</v>
      </c>
      <c r="BM102" s="1" t="str">
        <f>HYPERLINK("https%3A%2F%2Fwww.webofscience.com%2Fwos%2Fwoscc%2Ffull-record%2FWOS:000864664700003","View Full Record in Web of Science")</f>
        <v>View Full Record in Web of Science</v>
      </c>
    </row>
    <row r="103" ht="12.75" customHeight="1">
      <c r="A103" s="1" t="s">
        <v>65</v>
      </c>
      <c r="B103" s="1" t="s">
        <v>2426</v>
      </c>
      <c r="C103" s="1" t="s">
        <v>2427</v>
      </c>
      <c r="D103" s="1" t="s">
        <v>68</v>
      </c>
      <c r="E103" s="1" t="s">
        <v>2428</v>
      </c>
      <c r="F103" s="1" t="s">
        <v>2429</v>
      </c>
      <c r="G103" s="1" t="s">
        <v>68</v>
      </c>
      <c r="H103" s="1" t="s">
        <v>71</v>
      </c>
      <c r="I103" s="1" t="s">
        <v>72</v>
      </c>
      <c r="J103" s="1" t="s">
        <v>68</v>
      </c>
      <c r="K103" s="1" t="s">
        <v>68</v>
      </c>
      <c r="L103" s="1" t="s">
        <v>68</v>
      </c>
      <c r="M103" s="1" t="s">
        <v>68</v>
      </c>
      <c r="N103" s="1" t="s">
        <v>2430</v>
      </c>
      <c r="O103" s="1" t="s">
        <v>2431</v>
      </c>
      <c r="P103" s="1" t="s">
        <v>2432</v>
      </c>
      <c r="Q103" s="1" t="s">
        <v>2433</v>
      </c>
      <c r="R103" s="1" t="s">
        <v>2434</v>
      </c>
      <c r="S103" s="1" t="s">
        <v>2435</v>
      </c>
      <c r="T103" s="1" t="s">
        <v>2436</v>
      </c>
      <c r="U103" s="1" t="s">
        <v>2437</v>
      </c>
      <c r="V103" s="1" t="s">
        <v>2438</v>
      </c>
      <c r="W103" s="1" t="s">
        <v>2439</v>
      </c>
      <c r="X103" s="1" t="s">
        <v>2440</v>
      </c>
      <c r="Y103" s="1" t="s">
        <v>2441</v>
      </c>
      <c r="Z103" s="1">
        <v>77.0</v>
      </c>
      <c r="AA103" s="1">
        <v>28.0</v>
      </c>
      <c r="AB103" s="1">
        <v>32.0</v>
      </c>
      <c r="AC103" s="1">
        <v>1.0</v>
      </c>
      <c r="AD103" s="1">
        <v>30.0</v>
      </c>
      <c r="AE103" s="1" t="s">
        <v>2442</v>
      </c>
      <c r="AF103" s="1" t="s">
        <v>2443</v>
      </c>
      <c r="AG103" s="1" t="s">
        <v>2444</v>
      </c>
      <c r="AH103" s="1" t="s">
        <v>2445</v>
      </c>
      <c r="AI103" s="1" t="s">
        <v>68</v>
      </c>
      <c r="AJ103" s="1" t="s">
        <v>68</v>
      </c>
      <c r="AK103" s="1" t="s">
        <v>2446</v>
      </c>
      <c r="AL103" s="1" t="s">
        <v>2447</v>
      </c>
      <c r="AM103" s="1" t="s">
        <v>68</v>
      </c>
      <c r="AN103" s="1">
        <v>2021.0</v>
      </c>
      <c r="AO103" s="1">
        <v>6.0</v>
      </c>
      <c r="AP103" s="1">
        <v>4.0</v>
      </c>
      <c r="AQ103" s="1" t="s">
        <v>68</v>
      </c>
      <c r="AR103" s="1" t="s">
        <v>68</v>
      </c>
      <c r="AS103" s="1" t="s">
        <v>68</v>
      </c>
      <c r="AT103" s="1" t="s">
        <v>68</v>
      </c>
      <c r="AU103" s="1">
        <v>351.0</v>
      </c>
      <c r="AV103" s="1">
        <v>364.0</v>
      </c>
      <c r="AW103" s="1" t="s">
        <v>68</v>
      </c>
      <c r="AX103" s="1" t="s">
        <v>2448</v>
      </c>
      <c r="AY103" s="3" t="str">
        <f>HYPERLINK("http://dx.doi.org/10.17645/up.v6i4.4648","http://dx.doi.org/10.17645/up.v6i4.4648")</f>
        <v>http://dx.doi.org/10.17645/up.v6i4.4648</v>
      </c>
      <c r="AZ103" s="1" t="s">
        <v>68</v>
      </c>
      <c r="BA103" s="1" t="s">
        <v>68</v>
      </c>
      <c r="BB103" s="1">
        <v>14.0</v>
      </c>
      <c r="BC103" s="1" t="s">
        <v>2449</v>
      </c>
      <c r="BD103" s="1" t="s">
        <v>197</v>
      </c>
      <c r="BE103" s="1" t="s">
        <v>2449</v>
      </c>
      <c r="BF103" s="1" t="s">
        <v>2450</v>
      </c>
      <c r="BG103" s="1" t="s">
        <v>68</v>
      </c>
      <c r="BH103" s="1" t="s">
        <v>94</v>
      </c>
      <c r="BI103" s="1" t="s">
        <v>68</v>
      </c>
      <c r="BJ103" s="1" t="s">
        <v>68</v>
      </c>
      <c r="BK103" s="1" t="s">
        <v>95</v>
      </c>
      <c r="BL103" s="1" t="s">
        <v>2451</v>
      </c>
      <c r="BM103" s="1" t="str">
        <f>HYPERLINK("https%3A%2F%2Fwww.webofscience.com%2Fwos%2Fwoscc%2Ffull-record%2FWOS:000743361500014","View Full Record in Web of Science")</f>
        <v>View Full Record in Web of Science</v>
      </c>
    </row>
    <row r="104" ht="12.75" customHeight="1">
      <c r="A104" s="1" t="s">
        <v>65</v>
      </c>
      <c r="B104" s="1" t="s">
        <v>2452</v>
      </c>
      <c r="C104" s="1" t="s">
        <v>2453</v>
      </c>
      <c r="D104" s="1" t="s">
        <v>68</v>
      </c>
      <c r="E104" s="1" t="s">
        <v>2454</v>
      </c>
      <c r="F104" s="1" t="s">
        <v>2455</v>
      </c>
      <c r="G104" s="1" t="s">
        <v>68</v>
      </c>
      <c r="H104" s="1" t="s">
        <v>71</v>
      </c>
      <c r="I104" s="1" t="s">
        <v>72</v>
      </c>
      <c r="J104" s="1" t="s">
        <v>68</v>
      </c>
      <c r="K104" s="1" t="s">
        <v>68</v>
      </c>
      <c r="L104" s="1" t="s">
        <v>68</v>
      </c>
      <c r="M104" s="1" t="s">
        <v>68</v>
      </c>
      <c r="N104" s="1" t="s">
        <v>2456</v>
      </c>
      <c r="O104" s="1" t="s">
        <v>2457</v>
      </c>
      <c r="P104" s="1" t="s">
        <v>2458</v>
      </c>
      <c r="Q104" s="1" t="s">
        <v>2459</v>
      </c>
      <c r="R104" s="1" t="s">
        <v>2460</v>
      </c>
      <c r="S104" s="1" t="s">
        <v>2461</v>
      </c>
      <c r="T104" s="1" t="s">
        <v>2462</v>
      </c>
      <c r="U104" s="1" t="s">
        <v>2463</v>
      </c>
      <c r="V104" s="1" t="s">
        <v>2464</v>
      </c>
      <c r="W104" s="1" t="s">
        <v>2465</v>
      </c>
      <c r="X104" s="1" t="s">
        <v>2466</v>
      </c>
      <c r="Y104" s="1" t="s">
        <v>2467</v>
      </c>
      <c r="Z104" s="1">
        <v>28.0</v>
      </c>
      <c r="AA104" s="1">
        <v>27.0</v>
      </c>
      <c r="AB104" s="1">
        <v>33.0</v>
      </c>
      <c r="AC104" s="1">
        <v>2.0</v>
      </c>
      <c r="AD104" s="1">
        <v>13.0</v>
      </c>
      <c r="AE104" s="1" t="s">
        <v>1596</v>
      </c>
      <c r="AF104" s="1" t="s">
        <v>1182</v>
      </c>
      <c r="AG104" s="1" t="s">
        <v>1597</v>
      </c>
      <c r="AH104" s="1" t="s">
        <v>68</v>
      </c>
      <c r="AI104" s="1" t="s">
        <v>2468</v>
      </c>
      <c r="AJ104" s="1" t="s">
        <v>68</v>
      </c>
      <c r="AK104" s="1" t="s">
        <v>2469</v>
      </c>
      <c r="AL104" s="1" t="s">
        <v>2470</v>
      </c>
      <c r="AM104" s="1" t="s">
        <v>404</v>
      </c>
      <c r="AN104" s="1">
        <v>2020.0</v>
      </c>
      <c r="AO104" s="1">
        <v>23.0</v>
      </c>
      <c r="AP104" s="1" t="s">
        <v>68</v>
      </c>
      <c r="AQ104" s="1" t="s">
        <v>68</v>
      </c>
      <c r="AR104" s="1" t="s">
        <v>68</v>
      </c>
      <c r="AS104" s="1" t="s">
        <v>68</v>
      </c>
      <c r="AT104" s="1" t="s">
        <v>68</v>
      </c>
      <c r="AU104" s="1" t="s">
        <v>68</v>
      </c>
      <c r="AV104" s="1" t="s">
        <v>68</v>
      </c>
      <c r="AW104" s="1" t="s">
        <v>2471</v>
      </c>
      <c r="AX104" s="1" t="s">
        <v>2472</v>
      </c>
      <c r="AY104" s="3" t="str">
        <f>HYPERLINK("http://dx.doi.org/10.1016/j.gecco.2020.e01048","http://dx.doi.org/10.1016/j.gecco.2020.e01048")</f>
        <v>http://dx.doi.org/10.1016/j.gecco.2020.e01048</v>
      </c>
      <c r="AZ104" s="1" t="s">
        <v>68</v>
      </c>
      <c r="BA104" s="1" t="s">
        <v>68</v>
      </c>
      <c r="BB104" s="1">
        <v>6.0</v>
      </c>
      <c r="BC104" s="1" t="s">
        <v>1011</v>
      </c>
      <c r="BD104" s="1" t="s">
        <v>92</v>
      </c>
      <c r="BE104" s="1" t="s">
        <v>123</v>
      </c>
      <c r="BF104" s="1" t="s">
        <v>2473</v>
      </c>
      <c r="BG104" s="1" t="s">
        <v>68</v>
      </c>
      <c r="BH104" s="1" t="s">
        <v>94</v>
      </c>
      <c r="BI104" s="1" t="s">
        <v>68</v>
      </c>
      <c r="BJ104" s="1" t="s">
        <v>68</v>
      </c>
      <c r="BK104" s="1" t="s">
        <v>95</v>
      </c>
      <c r="BL104" s="1" t="s">
        <v>2474</v>
      </c>
      <c r="BM104" s="1" t="str">
        <f>HYPERLINK("https%3A%2F%2Fwww.webofscience.com%2Fwos%2Fwoscc%2Ffull-record%2FWOS:000568713200001","View Full Record in Web of Science")</f>
        <v>View Full Record in Web of Science</v>
      </c>
    </row>
    <row r="105" ht="12.75" customHeight="1">
      <c r="A105" s="1" t="s">
        <v>65</v>
      </c>
      <c r="B105" s="1" t="s">
        <v>2475</v>
      </c>
      <c r="C105" s="1" t="s">
        <v>2476</v>
      </c>
      <c r="D105" s="1" t="s">
        <v>68</v>
      </c>
      <c r="E105" s="1" t="s">
        <v>2477</v>
      </c>
      <c r="F105" s="1" t="s">
        <v>2478</v>
      </c>
      <c r="G105" s="1" t="s">
        <v>68</v>
      </c>
      <c r="H105" s="1" t="s">
        <v>71</v>
      </c>
      <c r="I105" s="1" t="s">
        <v>72</v>
      </c>
      <c r="J105" s="1" t="s">
        <v>68</v>
      </c>
      <c r="K105" s="1" t="s">
        <v>68</v>
      </c>
      <c r="L105" s="1" t="s">
        <v>68</v>
      </c>
      <c r="M105" s="1" t="s">
        <v>68</v>
      </c>
      <c r="N105" s="1" t="s">
        <v>2479</v>
      </c>
      <c r="O105" s="1" t="s">
        <v>68</v>
      </c>
      <c r="P105" s="1" t="s">
        <v>2480</v>
      </c>
      <c r="Q105" s="1" t="s">
        <v>2481</v>
      </c>
      <c r="R105" s="1" t="s">
        <v>2482</v>
      </c>
      <c r="S105" s="1" t="s">
        <v>2483</v>
      </c>
      <c r="T105" s="1" t="s">
        <v>2484</v>
      </c>
      <c r="U105" s="1" t="s">
        <v>68</v>
      </c>
      <c r="V105" s="1" t="s">
        <v>68</v>
      </c>
      <c r="W105" s="1" t="s">
        <v>68</v>
      </c>
      <c r="X105" s="1" t="s">
        <v>68</v>
      </c>
      <c r="Y105" s="1" t="s">
        <v>68</v>
      </c>
      <c r="Z105" s="1">
        <v>28.0</v>
      </c>
      <c r="AA105" s="1">
        <v>12.0</v>
      </c>
      <c r="AB105" s="1">
        <v>18.0</v>
      </c>
      <c r="AC105" s="1">
        <v>1.0</v>
      </c>
      <c r="AD105" s="1">
        <v>16.0</v>
      </c>
      <c r="AE105" s="1" t="s">
        <v>529</v>
      </c>
      <c r="AF105" s="1" t="s">
        <v>530</v>
      </c>
      <c r="AG105" s="1" t="s">
        <v>531</v>
      </c>
      <c r="AH105" s="1" t="s">
        <v>2485</v>
      </c>
      <c r="AI105" s="1" t="s">
        <v>2486</v>
      </c>
      <c r="AJ105" s="1" t="s">
        <v>68</v>
      </c>
      <c r="AK105" s="1" t="s">
        <v>2487</v>
      </c>
      <c r="AL105" s="1" t="s">
        <v>2488</v>
      </c>
      <c r="AM105" s="1" t="s">
        <v>1169</v>
      </c>
      <c r="AN105" s="1">
        <v>2018.0</v>
      </c>
      <c r="AO105" s="1">
        <v>116.0</v>
      </c>
      <c r="AP105" s="1">
        <v>2.0</v>
      </c>
      <c r="AQ105" s="1" t="s">
        <v>68</v>
      </c>
      <c r="AR105" s="1" t="s">
        <v>68</v>
      </c>
      <c r="AS105" s="1" t="s">
        <v>68</v>
      </c>
      <c r="AT105" s="1" t="s">
        <v>68</v>
      </c>
      <c r="AU105" s="1">
        <v>109.0</v>
      </c>
      <c r="AV105" s="1">
        <v>116.0</v>
      </c>
      <c r="AW105" s="1" t="s">
        <v>68</v>
      </c>
      <c r="AX105" s="1" t="s">
        <v>2489</v>
      </c>
      <c r="AY105" s="3" t="str">
        <f>HYPERLINK("http://dx.doi.org/10.1093/jofore/fvx008","http://dx.doi.org/10.1093/jofore/fvx008")</f>
        <v>http://dx.doi.org/10.1093/jofore/fvx008</v>
      </c>
      <c r="AZ105" s="1" t="s">
        <v>68</v>
      </c>
      <c r="BA105" s="1" t="s">
        <v>68</v>
      </c>
      <c r="BB105" s="1">
        <v>8.0</v>
      </c>
      <c r="BC105" s="1" t="s">
        <v>227</v>
      </c>
      <c r="BD105" s="1" t="s">
        <v>92</v>
      </c>
      <c r="BE105" s="1" t="s">
        <v>227</v>
      </c>
      <c r="BF105" s="1" t="s">
        <v>2490</v>
      </c>
      <c r="BG105" s="1" t="s">
        <v>68</v>
      </c>
      <c r="BH105" s="1" t="s">
        <v>512</v>
      </c>
      <c r="BI105" s="1" t="s">
        <v>68</v>
      </c>
      <c r="BJ105" s="1" t="s">
        <v>68</v>
      </c>
      <c r="BK105" s="1" t="s">
        <v>95</v>
      </c>
      <c r="BL105" s="1" t="s">
        <v>2491</v>
      </c>
      <c r="BM105" s="1" t="str">
        <f>HYPERLINK("https%3A%2F%2Fwww.webofscience.com%2Fwos%2Fwoscc%2Ffull-record%2FWOS:000431320800002","View Full Record in Web of Science")</f>
        <v>View Full Record in Web of Science</v>
      </c>
    </row>
    <row r="106" ht="12.75" customHeight="1">
      <c r="A106" s="1" t="s">
        <v>65</v>
      </c>
      <c r="B106" s="1" t="s">
        <v>2492</v>
      </c>
      <c r="C106" s="1" t="s">
        <v>2493</v>
      </c>
      <c r="D106" s="1" t="s">
        <v>68</v>
      </c>
      <c r="E106" s="1" t="s">
        <v>2494</v>
      </c>
      <c r="F106" s="1" t="s">
        <v>1106</v>
      </c>
      <c r="G106" s="1" t="s">
        <v>68</v>
      </c>
      <c r="H106" s="1" t="s">
        <v>71</v>
      </c>
      <c r="I106" s="1" t="s">
        <v>72</v>
      </c>
      <c r="J106" s="1" t="s">
        <v>68</v>
      </c>
      <c r="K106" s="1" t="s">
        <v>68</v>
      </c>
      <c r="L106" s="1" t="s">
        <v>68</v>
      </c>
      <c r="M106" s="1" t="s">
        <v>68</v>
      </c>
      <c r="N106" s="1" t="s">
        <v>2495</v>
      </c>
      <c r="O106" s="1" t="s">
        <v>2496</v>
      </c>
      <c r="P106" s="1" t="s">
        <v>2497</v>
      </c>
      <c r="Q106" s="1" t="s">
        <v>2498</v>
      </c>
      <c r="R106" s="1" t="s">
        <v>2499</v>
      </c>
      <c r="S106" s="1" t="s">
        <v>2500</v>
      </c>
      <c r="T106" s="1" t="s">
        <v>2501</v>
      </c>
      <c r="U106" s="1" t="s">
        <v>68</v>
      </c>
      <c r="V106" s="1" t="s">
        <v>68</v>
      </c>
      <c r="W106" s="1" t="s">
        <v>2502</v>
      </c>
      <c r="X106" s="1" t="s">
        <v>2503</v>
      </c>
      <c r="Y106" s="1" t="s">
        <v>2504</v>
      </c>
      <c r="Z106" s="1">
        <v>46.0</v>
      </c>
      <c r="AA106" s="1">
        <v>0.0</v>
      </c>
      <c r="AB106" s="1">
        <v>0.0</v>
      </c>
      <c r="AC106" s="1">
        <v>3.0</v>
      </c>
      <c r="AD106" s="1">
        <v>3.0</v>
      </c>
      <c r="AE106" s="1" t="s">
        <v>83</v>
      </c>
      <c r="AF106" s="1" t="s">
        <v>84</v>
      </c>
      <c r="AG106" s="1" t="s">
        <v>85</v>
      </c>
      <c r="AH106" s="1" t="s">
        <v>68</v>
      </c>
      <c r="AI106" s="1" t="s">
        <v>1119</v>
      </c>
      <c r="AJ106" s="1" t="s">
        <v>68</v>
      </c>
      <c r="AK106" s="1" t="s">
        <v>1120</v>
      </c>
      <c r="AL106" s="1" t="s">
        <v>1121</v>
      </c>
      <c r="AM106" s="1" t="s">
        <v>2505</v>
      </c>
      <c r="AN106" s="1">
        <v>2025.0</v>
      </c>
      <c r="AO106" s="1">
        <v>12.0</v>
      </c>
      <c r="AP106" s="1" t="s">
        <v>68</v>
      </c>
      <c r="AQ106" s="1" t="s">
        <v>68</v>
      </c>
      <c r="AR106" s="1" t="s">
        <v>68</v>
      </c>
      <c r="AS106" s="1" t="s">
        <v>68</v>
      </c>
      <c r="AT106" s="1" t="s">
        <v>68</v>
      </c>
      <c r="AU106" s="1" t="s">
        <v>68</v>
      </c>
      <c r="AV106" s="1" t="s">
        <v>68</v>
      </c>
      <c r="AW106" s="1">
        <v>1584193.0</v>
      </c>
      <c r="AX106" s="1" t="s">
        <v>2506</v>
      </c>
      <c r="AY106" s="3" t="str">
        <f>HYPERLINK("http://dx.doi.org/10.3389/fmars.2025.1584193","http://dx.doi.org/10.3389/fmars.2025.1584193")</f>
        <v>http://dx.doi.org/10.3389/fmars.2025.1584193</v>
      </c>
      <c r="AZ106" s="1" t="s">
        <v>68</v>
      </c>
      <c r="BA106" s="1" t="s">
        <v>68</v>
      </c>
      <c r="BB106" s="1">
        <v>13.0</v>
      </c>
      <c r="BC106" s="1" t="s">
        <v>1124</v>
      </c>
      <c r="BD106" s="1" t="s">
        <v>92</v>
      </c>
      <c r="BE106" s="1" t="s">
        <v>1125</v>
      </c>
      <c r="BF106" s="1" t="s">
        <v>2507</v>
      </c>
      <c r="BG106" s="1" t="s">
        <v>68</v>
      </c>
      <c r="BH106" s="1" t="s">
        <v>94</v>
      </c>
      <c r="BI106" s="1" t="s">
        <v>68</v>
      </c>
      <c r="BJ106" s="1" t="s">
        <v>68</v>
      </c>
      <c r="BK106" s="1" t="s">
        <v>95</v>
      </c>
      <c r="BL106" s="1" t="s">
        <v>2508</v>
      </c>
      <c r="BM106" s="1" t="str">
        <f>HYPERLINK("https%3A%2F%2Fwww.webofscience.com%2Fwos%2Fwoscc%2Ffull-record%2FWOS:001605122000001","View Full Record in Web of Science")</f>
        <v>View Full Record in Web of Science</v>
      </c>
    </row>
    <row r="107" ht="12.75" customHeight="1">
      <c r="A107" s="1" t="s">
        <v>65</v>
      </c>
      <c r="B107" s="1" t="s">
        <v>2509</v>
      </c>
      <c r="C107" s="1" t="s">
        <v>2510</v>
      </c>
      <c r="D107" s="1" t="s">
        <v>68</v>
      </c>
      <c r="E107" s="1" t="s">
        <v>2511</v>
      </c>
      <c r="F107" s="1" t="s">
        <v>2512</v>
      </c>
      <c r="G107" s="1" t="s">
        <v>68</v>
      </c>
      <c r="H107" s="1" t="s">
        <v>71</v>
      </c>
      <c r="I107" s="1" t="s">
        <v>72</v>
      </c>
      <c r="J107" s="1" t="s">
        <v>68</v>
      </c>
      <c r="K107" s="1" t="s">
        <v>68</v>
      </c>
      <c r="L107" s="1" t="s">
        <v>68</v>
      </c>
      <c r="M107" s="1" t="s">
        <v>68</v>
      </c>
      <c r="N107" s="1" t="s">
        <v>2513</v>
      </c>
      <c r="O107" s="1" t="s">
        <v>2514</v>
      </c>
      <c r="P107" s="1" t="s">
        <v>2515</v>
      </c>
      <c r="Q107" s="1" t="s">
        <v>2516</v>
      </c>
      <c r="R107" s="1" t="s">
        <v>2517</v>
      </c>
      <c r="S107" s="1" t="s">
        <v>2518</v>
      </c>
      <c r="T107" s="1" t="s">
        <v>2519</v>
      </c>
      <c r="U107" s="1" t="s">
        <v>2520</v>
      </c>
      <c r="V107" s="1" t="s">
        <v>2521</v>
      </c>
      <c r="W107" s="1" t="s">
        <v>2522</v>
      </c>
      <c r="X107" s="1" t="s">
        <v>2523</v>
      </c>
      <c r="Y107" s="1" t="s">
        <v>2524</v>
      </c>
      <c r="Z107" s="1">
        <v>78.0</v>
      </c>
      <c r="AA107" s="1">
        <v>77.0</v>
      </c>
      <c r="AB107" s="1">
        <v>96.0</v>
      </c>
      <c r="AC107" s="1">
        <v>1.0</v>
      </c>
      <c r="AD107" s="1">
        <v>54.0</v>
      </c>
      <c r="AE107" s="1" t="s">
        <v>2525</v>
      </c>
      <c r="AF107" s="1" t="s">
        <v>785</v>
      </c>
      <c r="AG107" s="1" t="s">
        <v>2526</v>
      </c>
      <c r="AH107" s="1" t="s">
        <v>2527</v>
      </c>
      <c r="AI107" s="1" t="s">
        <v>2528</v>
      </c>
      <c r="AJ107" s="1" t="s">
        <v>68</v>
      </c>
      <c r="AK107" s="1" t="s">
        <v>2529</v>
      </c>
      <c r="AL107" s="1" t="s">
        <v>2530</v>
      </c>
      <c r="AM107" s="1" t="s">
        <v>2531</v>
      </c>
      <c r="AN107" s="1">
        <v>2019.0</v>
      </c>
      <c r="AO107" s="1">
        <v>116.0</v>
      </c>
      <c r="AP107" s="1">
        <v>40.0</v>
      </c>
      <c r="AQ107" s="1" t="s">
        <v>68</v>
      </c>
      <c r="AR107" s="1" t="s">
        <v>68</v>
      </c>
      <c r="AS107" s="1" t="s">
        <v>68</v>
      </c>
      <c r="AT107" s="1" t="s">
        <v>68</v>
      </c>
      <c r="AU107" s="1">
        <v>20015.0</v>
      </c>
      <c r="AV107" s="1">
        <v>20024.0</v>
      </c>
      <c r="AW107" s="1" t="s">
        <v>68</v>
      </c>
      <c r="AX107" s="1" t="s">
        <v>2532</v>
      </c>
      <c r="AY107" s="3" t="str">
        <f>HYPERLINK("http://dx.doi.org/10.1073/pnas.1907492116","http://dx.doi.org/10.1073/pnas.1907492116")</f>
        <v>http://dx.doi.org/10.1073/pnas.1907492116</v>
      </c>
      <c r="AZ107" s="1" t="s">
        <v>68</v>
      </c>
      <c r="BA107" s="1" t="s">
        <v>68</v>
      </c>
      <c r="BB107" s="1">
        <v>10.0</v>
      </c>
      <c r="BC107" s="1" t="s">
        <v>742</v>
      </c>
      <c r="BD107" s="1" t="s">
        <v>92</v>
      </c>
      <c r="BE107" s="1" t="s">
        <v>743</v>
      </c>
      <c r="BF107" s="1" t="s">
        <v>2533</v>
      </c>
      <c r="BG107" s="1">
        <v>3.1506352E7</v>
      </c>
      <c r="BH107" s="1" t="s">
        <v>512</v>
      </c>
      <c r="BI107" s="1" t="s">
        <v>68</v>
      </c>
      <c r="BJ107" s="1" t="s">
        <v>68</v>
      </c>
      <c r="BK107" s="1" t="s">
        <v>95</v>
      </c>
      <c r="BL107" s="1" t="s">
        <v>2534</v>
      </c>
      <c r="BM107" s="1" t="str">
        <f>HYPERLINK("https%3A%2F%2Fwww.webofscience.com%2Fwos%2Fwoscc%2Ffull-record%2FWOS:000488828000044","View Full Record in Web of Science")</f>
        <v>View Full Record in Web of Science</v>
      </c>
    </row>
    <row r="108" ht="12.75" customHeight="1">
      <c r="A108" s="1" t="s">
        <v>65</v>
      </c>
      <c r="B108" s="1" t="s">
        <v>2535</v>
      </c>
      <c r="C108" s="1" t="s">
        <v>2536</v>
      </c>
      <c r="D108" s="1" t="s">
        <v>68</v>
      </c>
      <c r="E108" s="1" t="s">
        <v>2537</v>
      </c>
      <c r="F108" s="1" t="s">
        <v>2538</v>
      </c>
      <c r="G108" s="1" t="s">
        <v>68</v>
      </c>
      <c r="H108" s="1" t="s">
        <v>71</v>
      </c>
      <c r="I108" s="1" t="s">
        <v>101</v>
      </c>
      <c r="J108" s="1" t="s">
        <v>68</v>
      </c>
      <c r="K108" s="1" t="s">
        <v>68</v>
      </c>
      <c r="L108" s="1" t="s">
        <v>68</v>
      </c>
      <c r="M108" s="1" t="s">
        <v>68</v>
      </c>
      <c r="N108" s="1" t="s">
        <v>2539</v>
      </c>
      <c r="O108" s="1" t="s">
        <v>2540</v>
      </c>
      <c r="P108" s="1" t="s">
        <v>2541</v>
      </c>
      <c r="Q108" s="1" t="s">
        <v>2542</v>
      </c>
      <c r="R108" s="1" t="s">
        <v>2543</v>
      </c>
      <c r="S108" s="1" t="s">
        <v>2544</v>
      </c>
      <c r="T108" s="1" t="s">
        <v>2545</v>
      </c>
      <c r="U108" s="1" t="s">
        <v>2546</v>
      </c>
      <c r="V108" s="1" t="s">
        <v>2547</v>
      </c>
      <c r="W108" s="1" t="s">
        <v>2548</v>
      </c>
      <c r="X108" s="1" t="s">
        <v>245</v>
      </c>
      <c r="Y108" s="1" t="s">
        <v>2549</v>
      </c>
      <c r="Z108" s="1">
        <v>134.0</v>
      </c>
      <c r="AA108" s="1">
        <v>37.0</v>
      </c>
      <c r="AB108" s="1">
        <v>40.0</v>
      </c>
      <c r="AC108" s="1">
        <v>1.0</v>
      </c>
      <c r="AD108" s="1">
        <v>34.0</v>
      </c>
      <c r="AE108" s="1" t="s">
        <v>953</v>
      </c>
      <c r="AF108" s="1" t="s">
        <v>423</v>
      </c>
      <c r="AG108" s="1" t="s">
        <v>954</v>
      </c>
      <c r="AH108" s="1" t="s">
        <v>2550</v>
      </c>
      <c r="AI108" s="1" t="s">
        <v>2551</v>
      </c>
      <c r="AJ108" s="1" t="s">
        <v>68</v>
      </c>
      <c r="AK108" s="1" t="s">
        <v>2552</v>
      </c>
      <c r="AL108" s="1" t="s">
        <v>2553</v>
      </c>
      <c r="AM108" s="1" t="s">
        <v>252</v>
      </c>
      <c r="AN108" s="1">
        <v>2021.0</v>
      </c>
      <c r="AO108" s="1">
        <v>152.0</v>
      </c>
      <c r="AP108" s="1" t="s">
        <v>68</v>
      </c>
      <c r="AQ108" s="1" t="s">
        <v>68</v>
      </c>
      <c r="AR108" s="1" t="s">
        <v>68</v>
      </c>
      <c r="AS108" s="1" t="s">
        <v>68</v>
      </c>
      <c r="AT108" s="1" t="s">
        <v>68</v>
      </c>
      <c r="AU108" s="1" t="s">
        <v>68</v>
      </c>
      <c r="AV108" s="1" t="s">
        <v>68</v>
      </c>
      <c r="AW108" s="1">
        <v>106470.0</v>
      </c>
      <c r="AX108" s="1" t="s">
        <v>2554</v>
      </c>
      <c r="AY108" s="3" t="str">
        <f>HYPERLINK("http://dx.doi.org/10.1016/j.envint.2021.106470","http://dx.doi.org/10.1016/j.envint.2021.106470")</f>
        <v>http://dx.doi.org/10.1016/j.envint.2021.106470</v>
      </c>
      <c r="AZ108" s="1" t="s">
        <v>68</v>
      </c>
      <c r="BA108" s="1" t="s">
        <v>2555</v>
      </c>
      <c r="BB108" s="1">
        <v>13.0</v>
      </c>
      <c r="BC108" s="1" t="s">
        <v>484</v>
      </c>
      <c r="BD108" s="1" t="s">
        <v>279</v>
      </c>
      <c r="BE108" s="1" t="s">
        <v>333</v>
      </c>
      <c r="BF108" s="1" t="s">
        <v>2556</v>
      </c>
      <c r="BG108" s="1">
        <v>3.3677244E7</v>
      </c>
      <c r="BH108" s="1" t="s">
        <v>1767</v>
      </c>
      <c r="BI108" s="1" t="s">
        <v>68</v>
      </c>
      <c r="BJ108" s="1" t="s">
        <v>68</v>
      </c>
      <c r="BK108" s="1" t="s">
        <v>95</v>
      </c>
      <c r="BL108" s="1" t="s">
        <v>2557</v>
      </c>
      <c r="BM108" s="1" t="str">
        <f>HYPERLINK("https%3A%2F%2Fwww.webofscience.com%2Fwos%2Fwoscc%2Ffull-record%2FWOS:000641974400011","View Full Record in Web of Science")</f>
        <v>View Full Record in Web of Science</v>
      </c>
    </row>
    <row r="109" ht="12.75" customHeight="1">
      <c r="A109" s="1" t="s">
        <v>65</v>
      </c>
      <c r="B109" s="1" t="s">
        <v>2558</v>
      </c>
      <c r="C109" s="1" t="s">
        <v>2559</v>
      </c>
      <c r="D109" s="1" t="s">
        <v>68</v>
      </c>
      <c r="E109" s="1" t="s">
        <v>2560</v>
      </c>
      <c r="F109" s="1" t="s">
        <v>2561</v>
      </c>
      <c r="G109" s="1" t="s">
        <v>68</v>
      </c>
      <c r="H109" s="1" t="s">
        <v>71</v>
      </c>
      <c r="I109" s="1" t="s">
        <v>72</v>
      </c>
      <c r="J109" s="1" t="s">
        <v>68</v>
      </c>
      <c r="K109" s="1" t="s">
        <v>68</v>
      </c>
      <c r="L109" s="1" t="s">
        <v>68</v>
      </c>
      <c r="M109" s="1" t="s">
        <v>68</v>
      </c>
      <c r="N109" s="1" t="s">
        <v>2562</v>
      </c>
      <c r="O109" s="1" t="s">
        <v>2563</v>
      </c>
      <c r="P109" s="1" t="s">
        <v>2564</v>
      </c>
      <c r="Q109" s="1" t="s">
        <v>2565</v>
      </c>
      <c r="R109" s="1" t="s">
        <v>2566</v>
      </c>
      <c r="S109" s="1" t="s">
        <v>2567</v>
      </c>
      <c r="T109" s="1" t="s">
        <v>2568</v>
      </c>
      <c r="U109" s="1" t="s">
        <v>2569</v>
      </c>
      <c r="V109" s="1" t="s">
        <v>2570</v>
      </c>
      <c r="W109" s="1" t="s">
        <v>2571</v>
      </c>
      <c r="X109" s="1" t="s">
        <v>2572</v>
      </c>
      <c r="Y109" s="1" t="s">
        <v>2573</v>
      </c>
      <c r="Z109" s="1">
        <v>79.0</v>
      </c>
      <c r="AA109" s="1">
        <v>31.0</v>
      </c>
      <c r="AB109" s="1">
        <v>35.0</v>
      </c>
      <c r="AC109" s="1">
        <v>4.0</v>
      </c>
      <c r="AD109" s="1">
        <v>17.0</v>
      </c>
      <c r="AE109" s="1" t="s">
        <v>1395</v>
      </c>
      <c r="AF109" s="1" t="s">
        <v>785</v>
      </c>
      <c r="AG109" s="1" t="s">
        <v>1396</v>
      </c>
      <c r="AH109" s="1" t="s">
        <v>2574</v>
      </c>
      <c r="AI109" s="1" t="s">
        <v>2575</v>
      </c>
      <c r="AJ109" s="1" t="s">
        <v>68</v>
      </c>
      <c r="AK109" s="1" t="s">
        <v>2576</v>
      </c>
      <c r="AL109" s="1" t="s">
        <v>2577</v>
      </c>
      <c r="AM109" s="1" t="s">
        <v>224</v>
      </c>
      <c r="AN109" s="1">
        <v>2022.0</v>
      </c>
      <c r="AO109" s="1">
        <v>88.0</v>
      </c>
      <c r="AP109" s="1">
        <v>4.0</v>
      </c>
      <c r="AQ109" s="1" t="s">
        <v>68</v>
      </c>
      <c r="AR109" s="1" t="s">
        <v>68</v>
      </c>
      <c r="AS109" s="1" t="s">
        <v>68</v>
      </c>
      <c r="AT109" s="1" t="s">
        <v>68</v>
      </c>
      <c r="AU109" s="1" t="s">
        <v>68</v>
      </c>
      <c r="AV109" s="1" t="s">
        <v>68</v>
      </c>
      <c r="AW109" s="1" t="s">
        <v>2578</v>
      </c>
      <c r="AX109" s="1" t="s">
        <v>2579</v>
      </c>
      <c r="AY109" s="3" t="str">
        <f>HYPERLINK("http://dx.doi.org/10.1128/aem.02061-21","http://dx.doi.org/10.1128/aem.02061-21")</f>
        <v>http://dx.doi.org/10.1128/aem.02061-21</v>
      </c>
      <c r="AZ109" s="1" t="s">
        <v>68</v>
      </c>
      <c r="BA109" s="1" t="s">
        <v>68</v>
      </c>
      <c r="BB109" s="1">
        <v>12.0</v>
      </c>
      <c r="BC109" s="1" t="s">
        <v>2580</v>
      </c>
      <c r="BD109" s="1" t="s">
        <v>92</v>
      </c>
      <c r="BE109" s="1" t="s">
        <v>2580</v>
      </c>
      <c r="BF109" s="1" t="s">
        <v>2581</v>
      </c>
      <c r="BG109" s="1">
        <v>3.4986003E7</v>
      </c>
      <c r="BH109" s="1" t="s">
        <v>644</v>
      </c>
      <c r="BI109" s="1" t="s">
        <v>68</v>
      </c>
      <c r="BJ109" s="1" t="s">
        <v>68</v>
      </c>
      <c r="BK109" s="1" t="s">
        <v>95</v>
      </c>
      <c r="BL109" s="1" t="s">
        <v>2582</v>
      </c>
      <c r="BM109" s="1" t="str">
        <f>HYPERLINK("https%3A%2F%2Fwww.webofscience.com%2Fwos%2Fwoscc%2Ffull-record%2FWOS:000759805900011","View Full Record in Web of Science")</f>
        <v>View Full Record in Web of Science</v>
      </c>
    </row>
    <row r="110" ht="12.75" customHeight="1">
      <c r="A110" s="1" t="s">
        <v>65</v>
      </c>
      <c r="B110" s="1" t="s">
        <v>2583</v>
      </c>
      <c r="C110" s="1" t="s">
        <v>2584</v>
      </c>
      <c r="D110" s="1" t="s">
        <v>68</v>
      </c>
      <c r="E110" s="1" t="s">
        <v>2585</v>
      </c>
      <c r="F110" s="1" t="s">
        <v>2586</v>
      </c>
      <c r="G110" s="1" t="s">
        <v>68</v>
      </c>
      <c r="H110" s="1" t="s">
        <v>71</v>
      </c>
      <c r="I110" s="1" t="s">
        <v>45</v>
      </c>
      <c r="J110" s="1" t="s">
        <v>2587</v>
      </c>
      <c r="K110" s="1" t="s">
        <v>2588</v>
      </c>
      <c r="L110" s="1" t="s">
        <v>2589</v>
      </c>
      <c r="M110" s="1" t="s">
        <v>2590</v>
      </c>
      <c r="N110" s="1" t="s">
        <v>68</v>
      </c>
      <c r="O110" s="1" t="s">
        <v>68</v>
      </c>
      <c r="P110" s="1" t="s">
        <v>68</v>
      </c>
      <c r="Q110" s="1" t="s">
        <v>2591</v>
      </c>
      <c r="R110" s="1" t="s">
        <v>2592</v>
      </c>
      <c r="S110" s="1" t="s">
        <v>68</v>
      </c>
      <c r="T110" s="1" t="s">
        <v>68</v>
      </c>
      <c r="U110" s="1" t="s">
        <v>1363</v>
      </c>
      <c r="V110" s="1" t="s">
        <v>68</v>
      </c>
      <c r="W110" s="1" t="s">
        <v>68</v>
      </c>
      <c r="X110" s="1" t="s">
        <v>68</v>
      </c>
      <c r="Y110" s="1" t="s">
        <v>68</v>
      </c>
      <c r="Z110" s="1">
        <v>0.0</v>
      </c>
      <c r="AA110" s="1">
        <v>0.0</v>
      </c>
      <c r="AB110" s="1">
        <v>1.0</v>
      </c>
      <c r="AC110" s="1">
        <v>0.0</v>
      </c>
      <c r="AD110" s="1">
        <v>6.0</v>
      </c>
      <c r="AE110" s="1" t="s">
        <v>2593</v>
      </c>
      <c r="AF110" s="1" t="s">
        <v>2594</v>
      </c>
      <c r="AG110" s="1" t="s">
        <v>2595</v>
      </c>
      <c r="AH110" s="1" t="s">
        <v>2596</v>
      </c>
      <c r="AI110" s="1" t="s">
        <v>2597</v>
      </c>
      <c r="AJ110" s="1" t="s">
        <v>68</v>
      </c>
      <c r="AK110" s="1" t="s">
        <v>2598</v>
      </c>
      <c r="AL110" s="1" t="s">
        <v>2599</v>
      </c>
      <c r="AM110" s="1" t="s">
        <v>68</v>
      </c>
      <c r="AN110" s="1">
        <v>2019.0</v>
      </c>
      <c r="AO110" s="1">
        <v>101.0</v>
      </c>
      <c r="AP110" s="1" t="s">
        <v>68</v>
      </c>
      <c r="AQ110" s="1" t="s">
        <v>68</v>
      </c>
      <c r="AR110" s="1">
        <v>5.0</v>
      </c>
      <c r="AS110" s="1" t="s">
        <v>68</v>
      </c>
      <c r="AT110" s="1">
        <v>1068.0</v>
      </c>
      <c r="AU110" s="1">
        <v>327.0</v>
      </c>
      <c r="AV110" s="1">
        <v>327.0</v>
      </c>
      <c r="AW110" s="1" t="s">
        <v>68</v>
      </c>
      <c r="AX110" s="1" t="s">
        <v>68</v>
      </c>
      <c r="AY110" s="1" t="s">
        <v>68</v>
      </c>
      <c r="AZ110" s="1" t="s">
        <v>68</v>
      </c>
      <c r="BA110" s="1" t="s">
        <v>68</v>
      </c>
      <c r="BB110" s="1">
        <v>1.0</v>
      </c>
      <c r="BC110" s="1" t="s">
        <v>2600</v>
      </c>
      <c r="BD110" s="1" t="s">
        <v>934</v>
      </c>
      <c r="BE110" s="1" t="s">
        <v>2600</v>
      </c>
      <c r="BF110" s="1" t="s">
        <v>2601</v>
      </c>
      <c r="BG110" s="1" t="s">
        <v>68</v>
      </c>
      <c r="BH110" s="1" t="s">
        <v>68</v>
      </c>
      <c r="BI110" s="1" t="s">
        <v>68</v>
      </c>
      <c r="BJ110" s="1" t="s">
        <v>68</v>
      </c>
      <c r="BK110" s="1" t="s">
        <v>95</v>
      </c>
      <c r="BL110" s="1" t="s">
        <v>2602</v>
      </c>
      <c r="BM110" s="1" t="str">
        <f>HYPERLINK("https%3A%2F%2Fwww.webofscience.com%2Fwos%2Fwoscc%2Ffull-record%2FWOS:000507364503421","View Full Record in Web of Science")</f>
        <v>View Full Record in Web of Science</v>
      </c>
    </row>
    <row r="111" ht="12.75" customHeight="1">
      <c r="A111" s="1" t="s">
        <v>65</v>
      </c>
      <c r="B111" s="1" t="s">
        <v>2603</v>
      </c>
      <c r="C111" s="1" t="s">
        <v>2604</v>
      </c>
      <c r="D111" s="1" t="s">
        <v>68</v>
      </c>
      <c r="E111" s="1" t="s">
        <v>2605</v>
      </c>
      <c r="F111" s="1" t="s">
        <v>2606</v>
      </c>
      <c r="G111" s="1" t="s">
        <v>68</v>
      </c>
      <c r="H111" s="1" t="s">
        <v>71</v>
      </c>
      <c r="I111" s="1" t="s">
        <v>72</v>
      </c>
      <c r="J111" s="1" t="s">
        <v>68</v>
      </c>
      <c r="K111" s="1" t="s">
        <v>68</v>
      </c>
      <c r="L111" s="1" t="s">
        <v>68</v>
      </c>
      <c r="M111" s="1" t="s">
        <v>68</v>
      </c>
      <c r="N111" s="1" t="s">
        <v>2607</v>
      </c>
      <c r="O111" s="1" t="s">
        <v>2608</v>
      </c>
      <c r="P111" s="1" t="s">
        <v>2609</v>
      </c>
      <c r="Q111" s="1" t="s">
        <v>2610</v>
      </c>
      <c r="R111" s="1" t="s">
        <v>2611</v>
      </c>
      <c r="S111" s="1" t="s">
        <v>2612</v>
      </c>
      <c r="T111" s="1" t="s">
        <v>2613</v>
      </c>
      <c r="U111" s="1" t="s">
        <v>68</v>
      </c>
      <c r="V111" s="1" t="s">
        <v>2614</v>
      </c>
      <c r="W111" s="1" t="s">
        <v>2615</v>
      </c>
      <c r="X111" s="1" t="s">
        <v>2616</v>
      </c>
      <c r="Y111" s="1" t="s">
        <v>2617</v>
      </c>
      <c r="Z111" s="1">
        <v>74.0</v>
      </c>
      <c r="AA111" s="1">
        <v>0.0</v>
      </c>
      <c r="AB111" s="1">
        <v>0.0</v>
      </c>
      <c r="AC111" s="1">
        <v>0.0</v>
      </c>
      <c r="AD111" s="1">
        <v>0.0</v>
      </c>
      <c r="AE111" s="1" t="s">
        <v>2618</v>
      </c>
      <c r="AF111" s="1" t="s">
        <v>115</v>
      </c>
      <c r="AG111" s="1" t="s">
        <v>2619</v>
      </c>
      <c r="AH111" s="1" t="s">
        <v>68</v>
      </c>
      <c r="AI111" s="1" t="s">
        <v>2620</v>
      </c>
      <c r="AJ111" s="1" t="s">
        <v>68</v>
      </c>
      <c r="AK111" s="1" t="s">
        <v>2621</v>
      </c>
      <c r="AL111" s="1" t="s">
        <v>2622</v>
      </c>
      <c r="AM111" s="1" t="s">
        <v>1264</v>
      </c>
      <c r="AN111" s="1">
        <v>2025.0</v>
      </c>
      <c r="AO111" s="1">
        <v>9.0</v>
      </c>
      <c r="AP111" s="1">
        <v>7.0</v>
      </c>
      <c r="AQ111" s="1" t="s">
        <v>68</v>
      </c>
      <c r="AR111" s="1" t="s">
        <v>68</v>
      </c>
      <c r="AS111" s="1" t="s">
        <v>68</v>
      </c>
      <c r="AT111" s="1" t="s">
        <v>68</v>
      </c>
      <c r="AU111" s="1" t="s">
        <v>68</v>
      </c>
      <c r="AV111" s="1" t="s">
        <v>68</v>
      </c>
      <c r="AW111" s="1">
        <v>221.0</v>
      </c>
      <c r="AX111" s="1" t="s">
        <v>2623</v>
      </c>
      <c r="AY111" s="3" t="str">
        <f>HYPERLINK("http://dx.doi.org/10.1145/3757402","http://dx.doi.org/10.1145/3757402")</f>
        <v>http://dx.doi.org/10.1145/3757402</v>
      </c>
      <c r="AZ111" s="1" t="s">
        <v>68</v>
      </c>
      <c r="BA111" s="1" t="s">
        <v>68</v>
      </c>
      <c r="BB111" s="1">
        <v>19.0</v>
      </c>
      <c r="BC111" s="1" t="s">
        <v>2624</v>
      </c>
      <c r="BD111" s="1" t="s">
        <v>197</v>
      </c>
      <c r="BE111" s="1" t="s">
        <v>912</v>
      </c>
      <c r="BF111" s="1" t="s">
        <v>2625</v>
      </c>
      <c r="BG111" s="1" t="s">
        <v>68</v>
      </c>
      <c r="BH111" s="1" t="s">
        <v>867</v>
      </c>
      <c r="BI111" s="1" t="s">
        <v>68</v>
      </c>
      <c r="BJ111" s="1" t="s">
        <v>68</v>
      </c>
      <c r="BK111" s="1" t="s">
        <v>95</v>
      </c>
      <c r="BL111" s="1" t="s">
        <v>2626</v>
      </c>
      <c r="BM111" s="1" t="str">
        <f>HYPERLINK("https%3A%2F%2Fwww.webofscience.com%2Fwos%2Fwoscc%2Ffull-record%2FWOS:001615123000001","View Full Record in Web of Science")</f>
        <v>View Full Record in Web of Science</v>
      </c>
    </row>
    <row r="112" ht="12.75" customHeight="1">
      <c r="A112" s="1" t="s">
        <v>65</v>
      </c>
      <c r="B112" s="1" t="s">
        <v>2627</v>
      </c>
      <c r="C112" s="1" t="s">
        <v>2628</v>
      </c>
      <c r="D112" s="1" t="s">
        <v>68</v>
      </c>
      <c r="E112" s="1" t="s">
        <v>2629</v>
      </c>
      <c r="F112" s="1" t="s">
        <v>412</v>
      </c>
      <c r="G112" s="1" t="s">
        <v>68</v>
      </c>
      <c r="H112" s="1" t="s">
        <v>71</v>
      </c>
      <c r="I112" s="1" t="s">
        <v>72</v>
      </c>
      <c r="J112" s="1" t="s">
        <v>68</v>
      </c>
      <c r="K112" s="1" t="s">
        <v>68</v>
      </c>
      <c r="L112" s="1" t="s">
        <v>68</v>
      </c>
      <c r="M112" s="1" t="s">
        <v>68</v>
      </c>
      <c r="N112" s="1" t="s">
        <v>2630</v>
      </c>
      <c r="O112" s="1" t="s">
        <v>2631</v>
      </c>
      <c r="P112" s="1" t="s">
        <v>2632</v>
      </c>
      <c r="Q112" s="1" t="s">
        <v>2633</v>
      </c>
      <c r="R112" s="1" t="s">
        <v>2634</v>
      </c>
      <c r="S112" s="1" t="s">
        <v>2635</v>
      </c>
      <c r="T112" s="1" t="s">
        <v>68</v>
      </c>
      <c r="U112" s="1" t="s">
        <v>2636</v>
      </c>
      <c r="V112" s="1" t="s">
        <v>2637</v>
      </c>
      <c r="W112" s="1" t="s">
        <v>2638</v>
      </c>
      <c r="X112" s="1" t="s">
        <v>2639</v>
      </c>
      <c r="Y112" s="1" t="s">
        <v>2640</v>
      </c>
      <c r="Z112" s="1">
        <v>94.0</v>
      </c>
      <c r="AA112" s="1">
        <v>28.0</v>
      </c>
      <c r="AB112" s="1">
        <v>31.0</v>
      </c>
      <c r="AC112" s="1">
        <v>1.0</v>
      </c>
      <c r="AD112" s="1">
        <v>57.0</v>
      </c>
      <c r="AE112" s="1" t="s">
        <v>422</v>
      </c>
      <c r="AF112" s="1" t="s">
        <v>423</v>
      </c>
      <c r="AG112" s="1" t="s">
        <v>424</v>
      </c>
      <c r="AH112" s="1" t="s">
        <v>425</v>
      </c>
      <c r="AI112" s="1" t="s">
        <v>426</v>
      </c>
      <c r="AJ112" s="1" t="s">
        <v>68</v>
      </c>
      <c r="AK112" s="1" t="s">
        <v>412</v>
      </c>
      <c r="AL112" s="1" t="s">
        <v>427</v>
      </c>
      <c r="AM112" s="1" t="s">
        <v>404</v>
      </c>
      <c r="AN112" s="1">
        <v>2017.0</v>
      </c>
      <c r="AO112" s="1">
        <v>67.0</v>
      </c>
      <c r="AP112" s="1">
        <v>9.0</v>
      </c>
      <c r="AQ112" s="1" t="s">
        <v>68</v>
      </c>
      <c r="AR112" s="1" t="s">
        <v>68</v>
      </c>
      <c r="AS112" s="1" t="s">
        <v>68</v>
      </c>
      <c r="AT112" s="1" t="s">
        <v>68</v>
      </c>
      <c r="AU112" s="1">
        <v>834.0</v>
      </c>
      <c r="AV112" s="1">
        <v>844.0</v>
      </c>
      <c r="AW112" s="1" t="s">
        <v>68</v>
      </c>
      <c r="AX112" s="1" t="s">
        <v>2641</v>
      </c>
      <c r="AY112" s="3" t="str">
        <f>HYPERLINK("http://dx.doi.org/10.1093/biosci/bix090","http://dx.doi.org/10.1093/biosci/bix090")</f>
        <v>http://dx.doi.org/10.1093/biosci/bix090</v>
      </c>
      <c r="AZ112" s="1" t="s">
        <v>68</v>
      </c>
      <c r="BA112" s="1" t="s">
        <v>68</v>
      </c>
      <c r="BB112" s="1">
        <v>11.0</v>
      </c>
      <c r="BC112" s="1" t="s">
        <v>430</v>
      </c>
      <c r="BD112" s="1" t="s">
        <v>279</v>
      </c>
      <c r="BE112" s="1" t="s">
        <v>431</v>
      </c>
      <c r="BF112" s="1" t="s">
        <v>2642</v>
      </c>
      <c r="BG112" s="1" t="s">
        <v>68</v>
      </c>
      <c r="BH112" s="1" t="s">
        <v>512</v>
      </c>
      <c r="BI112" s="1" t="s">
        <v>68</v>
      </c>
      <c r="BJ112" s="1" t="s">
        <v>68</v>
      </c>
      <c r="BK112" s="1" t="s">
        <v>95</v>
      </c>
      <c r="BL112" s="1" t="s">
        <v>2643</v>
      </c>
      <c r="BM112" s="1" t="str">
        <f>HYPERLINK("https%3A%2F%2Fwww.webofscience.com%2Fwos%2Fwoscc%2Ffull-record%2FWOS:000410077600009","View Full Record in Web of Science")</f>
        <v>View Full Record in Web of Science</v>
      </c>
    </row>
    <row r="113" ht="12.75" customHeight="1">
      <c r="A113" s="1" t="s">
        <v>65</v>
      </c>
      <c r="B113" s="1" t="s">
        <v>2644</v>
      </c>
      <c r="C113" s="1" t="s">
        <v>2645</v>
      </c>
      <c r="D113" s="1" t="s">
        <v>68</v>
      </c>
      <c r="E113" s="1" t="s">
        <v>2646</v>
      </c>
      <c r="F113" s="1" t="s">
        <v>2647</v>
      </c>
      <c r="G113" s="1" t="s">
        <v>68</v>
      </c>
      <c r="H113" s="1" t="s">
        <v>71</v>
      </c>
      <c r="I113" s="1" t="s">
        <v>45</v>
      </c>
      <c r="J113" s="1" t="s">
        <v>68</v>
      </c>
      <c r="K113" s="1" t="s">
        <v>68</v>
      </c>
      <c r="L113" s="1" t="s">
        <v>68</v>
      </c>
      <c r="M113" s="1" t="s">
        <v>68</v>
      </c>
      <c r="N113" s="1" t="s">
        <v>68</v>
      </c>
      <c r="O113" s="1" t="s">
        <v>68</v>
      </c>
      <c r="P113" s="1" t="s">
        <v>68</v>
      </c>
      <c r="Q113" s="1" t="s">
        <v>2648</v>
      </c>
      <c r="R113" s="1" t="s">
        <v>68</v>
      </c>
      <c r="S113" s="1" t="s">
        <v>68</v>
      </c>
      <c r="T113" s="1" t="s">
        <v>2649</v>
      </c>
      <c r="U113" s="1" t="s">
        <v>68</v>
      </c>
      <c r="V113" s="1" t="s">
        <v>68</v>
      </c>
      <c r="W113" s="1" t="s">
        <v>68</v>
      </c>
      <c r="X113" s="1" t="s">
        <v>68</v>
      </c>
      <c r="Y113" s="1" t="s">
        <v>68</v>
      </c>
      <c r="Z113" s="1">
        <v>0.0</v>
      </c>
      <c r="AA113" s="1">
        <v>0.0</v>
      </c>
      <c r="AB113" s="1">
        <v>0.0</v>
      </c>
      <c r="AC113" s="1">
        <v>0.0</v>
      </c>
      <c r="AD113" s="1">
        <v>0.0</v>
      </c>
      <c r="AE113" s="1" t="s">
        <v>2650</v>
      </c>
      <c r="AF113" s="1" t="s">
        <v>2651</v>
      </c>
      <c r="AG113" s="1" t="s">
        <v>2652</v>
      </c>
      <c r="AH113" s="1" t="s">
        <v>2653</v>
      </c>
      <c r="AI113" s="1" t="s">
        <v>2654</v>
      </c>
      <c r="AJ113" s="1" t="s">
        <v>68</v>
      </c>
      <c r="AK113" s="1" t="s">
        <v>2655</v>
      </c>
      <c r="AL113" s="1" t="s">
        <v>2656</v>
      </c>
      <c r="AM113" s="1" t="s">
        <v>1789</v>
      </c>
      <c r="AN113" s="1">
        <v>2025.0</v>
      </c>
      <c r="AO113" s="1">
        <v>101.0</v>
      </c>
      <c r="AP113" s="1">
        <v>1.0</v>
      </c>
      <c r="AQ113" s="1" t="s">
        <v>68</v>
      </c>
      <c r="AR113" s="1" t="s">
        <v>68</v>
      </c>
      <c r="AS113" s="1" t="s">
        <v>68</v>
      </c>
      <c r="AT113" s="1" t="s">
        <v>68</v>
      </c>
      <c r="AU113" s="1" t="s">
        <v>68</v>
      </c>
      <c r="AV113" s="1" t="s">
        <v>68</v>
      </c>
      <c r="AW113" s="1" t="s">
        <v>68</v>
      </c>
      <c r="AX113" s="1" t="s">
        <v>68</v>
      </c>
      <c r="AY113" s="1" t="s">
        <v>68</v>
      </c>
      <c r="AZ113" s="1" t="s">
        <v>68</v>
      </c>
      <c r="BA113" s="1" t="s">
        <v>68</v>
      </c>
      <c r="BB113" s="1">
        <v>1.0</v>
      </c>
      <c r="BC113" s="1" t="s">
        <v>2657</v>
      </c>
      <c r="BD113" s="1" t="s">
        <v>92</v>
      </c>
      <c r="BE113" s="1" t="s">
        <v>2657</v>
      </c>
      <c r="BF113" s="1" t="s">
        <v>2658</v>
      </c>
      <c r="BG113" s="1" t="s">
        <v>68</v>
      </c>
      <c r="BH113" s="1" t="s">
        <v>68</v>
      </c>
      <c r="BI113" s="1" t="s">
        <v>68</v>
      </c>
      <c r="BJ113" s="1" t="s">
        <v>68</v>
      </c>
      <c r="BK113" s="1" t="s">
        <v>95</v>
      </c>
      <c r="BL113" s="1" t="s">
        <v>2659</v>
      </c>
      <c r="BM113" s="1" t="str">
        <f>HYPERLINK("https%3A%2F%2Fwww.webofscience.com%2Fwos%2Fwoscc%2Ffull-record%2FWOS:001500625400130","View Full Record in Web of Science")</f>
        <v>View Full Record in Web of Science</v>
      </c>
    </row>
    <row r="114" ht="12.75" customHeight="1">
      <c r="A114" s="1" t="s">
        <v>65</v>
      </c>
      <c r="B114" s="1" t="s">
        <v>2660</v>
      </c>
      <c r="C114" s="1" t="s">
        <v>2661</v>
      </c>
      <c r="D114" s="1" t="s">
        <v>68</v>
      </c>
      <c r="E114" s="1" t="s">
        <v>2662</v>
      </c>
      <c r="F114" s="1" t="s">
        <v>1630</v>
      </c>
      <c r="G114" s="1" t="s">
        <v>68</v>
      </c>
      <c r="H114" s="1" t="s">
        <v>71</v>
      </c>
      <c r="I114" s="1" t="s">
        <v>101</v>
      </c>
      <c r="J114" s="1" t="s">
        <v>68</v>
      </c>
      <c r="K114" s="1" t="s">
        <v>68</v>
      </c>
      <c r="L114" s="1" t="s">
        <v>68</v>
      </c>
      <c r="M114" s="1" t="s">
        <v>68</v>
      </c>
      <c r="N114" s="1" t="s">
        <v>68</v>
      </c>
      <c r="O114" s="1" t="s">
        <v>2663</v>
      </c>
      <c r="P114" s="1" t="s">
        <v>2664</v>
      </c>
      <c r="Q114" s="1" t="s">
        <v>2665</v>
      </c>
      <c r="R114" s="1" t="s">
        <v>1591</v>
      </c>
      <c r="S114" s="1" t="s">
        <v>2666</v>
      </c>
      <c r="T114" s="1" t="s">
        <v>2667</v>
      </c>
      <c r="U114" s="1" t="s">
        <v>2668</v>
      </c>
      <c r="V114" s="1" t="s">
        <v>2669</v>
      </c>
      <c r="W114" s="1" t="s">
        <v>68</v>
      </c>
      <c r="X114" s="1" t="s">
        <v>68</v>
      </c>
      <c r="Y114" s="1" t="s">
        <v>68</v>
      </c>
      <c r="Z114" s="1">
        <v>71.0</v>
      </c>
      <c r="AA114" s="1">
        <v>19.0</v>
      </c>
      <c r="AB114" s="1">
        <v>22.0</v>
      </c>
      <c r="AC114" s="1">
        <v>1.0</v>
      </c>
      <c r="AD114" s="1">
        <v>14.0</v>
      </c>
      <c r="AE114" s="1" t="s">
        <v>503</v>
      </c>
      <c r="AF114" s="1" t="s">
        <v>504</v>
      </c>
      <c r="AG114" s="1" t="s">
        <v>505</v>
      </c>
      <c r="AH114" s="1" t="s">
        <v>1642</v>
      </c>
      <c r="AI114" s="1" t="s">
        <v>1643</v>
      </c>
      <c r="AJ114" s="1" t="s">
        <v>68</v>
      </c>
      <c r="AK114" s="1" t="s">
        <v>1630</v>
      </c>
      <c r="AL114" s="1" t="s">
        <v>1644</v>
      </c>
      <c r="AM114" s="1" t="s">
        <v>252</v>
      </c>
      <c r="AN114" s="1">
        <v>2023.0</v>
      </c>
      <c r="AO114" s="1">
        <v>61.0</v>
      </c>
      <c r="AP114" s="1">
        <v>4.0</v>
      </c>
      <c r="AQ114" s="1" t="s">
        <v>68</v>
      </c>
      <c r="AR114" s="1" t="s">
        <v>68</v>
      </c>
      <c r="AS114" s="1" t="s">
        <v>68</v>
      </c>
      <c r="AT114" s="1" t="s">
        <v>68</v>
      </c>
      <c r="AU114" s="1">
        <v>481.0</v>
      </c>
      <c r="AV114" s="1">
        <v>493.0</v>
      </c>
      <c r="AW114" s="1" t="s">
        <v>68</v>
      </c>
      <c r="AX114" s="1" t="s">
        <v>2670</v>
      </c>
      <c r="AY114" s="3" t="str">
        <f>HYPERLINK("http://dx.doi.org/10.1111/gwat.13298","http://dx.doi.org/10.1111/gwat.13298")</f>
        <v>http://dx.doi.org/10.1111/gwat.13298</v>
      </c>
      <c r="AZ114" s="1" t="s">
        <v>68</v>
      </c>
      <c r="BA114" s="1" t="s">
        <v>2671</v>
      </c>
      <c r="BB114" s="1">
        <v>13.0</v>
      </c>
      <c r="BC114" s="1" t="s">
        <v>1646</v>
      </c>
      <c r="BD114" s="1" t="s">
        <v>92</v>
      </c>
      <c r="BE114" s="1" t="s">
        <v>1647</v>
      </c>
      <c r="BF114" s="1" t="s">
        <v>2672</v>
      </c>
      <c r="BG114" s="1">
        <v>3.6786423E7</v>
      </c>
      <c r="BH114" s="1" t="s">
        <v>867</v>
      </c>
      <c r="BI114" s="1" t="s">
        <v>68</v>
      </c>
      <c r="BJ114" s="1" t="s">
        <v>68</v>
      </c>
      <c r="BK114" s="1" t="s">
        <v>95</v>
      </c>
      <c r="BL114" s="1" t="s">
        <v>2673</v>
      </c>
      <c r="BM114" s="1" t="str">
        <f>HYPERLINK("https%3A%2F%2Fwww.webofscience.com%2Fwos%2Fwoscc%2Ffull-record%2FWOS:000939611700001","View Full Record in Web of Science")</f>
        <v>View Full Record in Web of Science</v>
      </c>
    </row>
    <row r="115" ht="12.75" customHeight="1">
      <c r="A115" s="1" t="s">
        <v>65</v>
      </c>
      <c r="B115" s="1" t="s">
        <v>2674</v>
      </c>
      <c r="C115" s="1" t="s">
        <v>2675</v>
      </c>
      <c r="D115" s="1" t="s">
        <v>68</v>
      </c>
      <c r="E115" s="1" t="s">
        <v>2676</v>
      </c>
      <c r="F115" s="1" t="s">
        <v>2677</v>
      </c>
      <c r="G115" s="1" t="s">
        <v>68</v>
      </c>
      <c r="H115" s="1" t="s">
        <v>71</v>
      </c>
      <c r="I115" s="1" t="s">
        <v>72</v>
      </c>
      <c r="J115" s="1" t="s">
        <v>68</v>
      </c>
      <c r="K115" s="1" t="s">
        <v>68</v>
      </c>
      <c r="L115" s="1" t="s">
        <v>68</v>
      </c>
      <c r="M115" s="1" t="s">
        <v>68</v>
      </c>
      <c r="N115" s="1" t="s">
        <v>2678</v>
      </c>
      <c r="O115" s="1" t="s">
        <v>2679</v>
      </c>
      <c r="P115" s="1" t="s">
        <v>2680</v>
      </c>
      <c r="Q115" s="1" t="s">
        <v>2681</v>
      </c>
      <c r="R115" s="1" t="s">
        <v>2682</v>
      </c>
      <c r="S115" s="1" t="s">
        <v>2683</v>
      </c>
      <c r="T115" s="1" t="s">
        <v>2684</v>
      </c>
      <c r="U115" s="1" t="s">
        <v>2685</v>
      </c>
      <c r="V115" s="1" t="s">
        <v>2686</v>
      </c>
      <c r="W115" s="1" t="s">
        <v>68</v>
      </c>
      <c r="X115" s="1" t="s">
        <v>68</v>
      </c>
      <c r="Y115" s="1" t="s">
        <v>68</v>
      </c>
      <c r="Z115" s="1">
        <v>80.0</v>
      </c>
      <c r="AA115" s="1">
        <v>31.0</v>
      </c>
      <c r="AB115" s="1">
        <v>33.0</v>
      </c>
      <c r="AC115" s="1">
        <v>2.0</v>
      </c>
      <c r="AD115" s="1">
        <v>20.0</v>
      </c>
      <c r="AE115" s="1" t="s">
        <v>503</v>
      </c>
      <c r="AF115" s="1" t="s">
        <v>504</v>
      </c>
      <c r="AG115" s="1" t="s">
        <v>505</v>
      </c>
      <c r="AH115" s="1" t="s">
        <v>2687</v>
      </c>
      <c r="AI115" s="1" t="s">
        <v>2688</v>
      </c>
      <c r="AJ115" s="1" t="s">
        <v>68</v>
      </c>
      <c r="AK115" s="1" t="s">
        <v>2689</v>
      </c>
      <c r="AL115" s="1" t="s">
        <v>2690</v>
      </c>
      <c r="AM115" s="1" t="s">
        <v>120</v>
      </c>
      <c r="AN115" s="1">
        <v>2021.0</v>
      </c>
      <c r="AO115" s="1">
        <v>31.0</v>
      </c>
      <c r="AP115" s="1">
        <v>12.0</v>
      </c>
      <c r="AQ115" s="1" t="s">
        <v>68</v>
      </c>
      <c r="AR115" s="1" t="s">
        <v>68</v>
      </c>
      <c r="AS115" s="1" t="s">
        <v>68</v>
      </c>
      <c r="AT115" s="1" t="s">
        <v>68</v>
      </c>
      <c r="AU115" s="1">
        <v>3580.0</v>
      </c>
      <c r="AV115" s="1">
        <v>3593.0</v>
      </c>
      <c r="AW115" s="1" t="s">
        <v>68</v>
      </c>
      <c r="AX115" s="1" t="s">
        <v>2691</v>
      </c>
      <c r="AY115" s="3" t="str">
        <f>HYPERLINK("http://dx.doi.org/10.1002/aqc.3726","http://dx.doi.org/10.1002/aqc.3726")</f>
        <v>http://dx.doi.org/10.1002/aqc.3726</v>
      </c>
      <c r="AZ115" s="1" t="s">
        <v>68</v>
      </c>
      <c r="BA115" s="1" t="s">
        <v>2692</v>
      </c>
      <c r="BB115" s="1">
        <v>14.0</v>
      </c>
      <c r="BC115" s="1" t="s">
        <v>2693</v>
      </c>
      <c r="BD115" s="1" t="s">
        <v>92</v>
      </c>
      <c r="BE115" s="1" t="s">
        <v>2694</v>
      </c>
      <c r="BF115" s="1" t="s">
        <v>2695</v>
      </c>
      <c r="BG115" s="1" t="s">
        <v>68</v>
      </c>
      <c r="BH115" s="1" t="s">
        <v>68</v>
      </c>
      <c r="BI115" s="1" t="s">
        <v>68</v>
      </c>
      <c r="BJ115" s="1" t="s">
        <v>68</v>
      </c>
      <c r="BK115" s="1" t="s">
        <v>95</v>
      </c>
      <c r="BL115" s="1" t="s">
        <v>2696</v>
      </c>
      <c r="BM115" s="1" t="str">
        <f>HYPERLINK("https%3A%2F%2Fwww.webofscience.com%2Fwos%2Fwoscc%2Ffull-record%2FWOS:000706832800001","View Full Record in Web of Science")</f>
        <v>View Full Record in Web of Science</v>
      </c>
    </row>
    <row r="116" ht="12.75" customHeight="1">
      <c r="A116" s="1" t="s">
        <v>65</v>
      </c>
      <c r="B116" s="1" t="s">
        <v>2697</v>
      </c>
      <c r="C116" s="1" t="s">
        <v>2698</v>
      </c>
      <c r="D116" s="1" t="s">
        <v>68</v>
      </c>
      <c r="E116" s="1" t="s">
        <v>2699</v>
      </c>
      <c r="F116" s="1" t="s">
        <v>826</v>
      </c>
      <c r="G116" s="1" t="s">
        <v>68</v>
      </c>
      <c r="H116" s="1" t="s">
        <v>71</v>
      </c>
      <c r="I116" s="1" t="s">
        <v>72</v>
      </c>
      <c r="J116" s="1" t="s">
        <v>68</v>
      </c>
      <c r="K116" s="1" t="s">
        <v>68</v>
      </c>
      <c r="L116" s="1" t="s">
        <v>68</v>
      </c>
      <c r="M116" s="1" t="s">
        <v>68</v>
      </c>
      <c r="N116" s="1" t="s">
        <v>68</v>
      </c>
      <c r="O116" s="1" t="s">
        <v>2700</v>
      </c>
      <c r="P116" s="1" t="s">
        <v>2701</v>
      </c>
      <c r="Q116" s="1" t="s">
        <v>2702</v>
      </c>
      <c r="R116" s="1" t="s">
        <v>2703</v>
      </c>
      <c r="S116" s="1" t="s">
        <v>2704</v>
      </c>
      <c r="T116" s="1" t="s">
        <v>2705</v>
      </c>
      <c r="U116" s="1" t="s">
        <v>2706</v>
      </c>
      <c r="V116" s="1" t="s">
        <v>2707</v>
      </c>
      <c r="W116" s="1" t="s">
        <v>68</v>
      </c>
      <c r="X116" s="1" t="s">
        <v>68</v>
      </c>
      <c r="Y116" s="1" t="s">
        <v>68</v>
      </c>
      <c r="Z116" s="1">
        <v>49.0</v>
      </c>
      <c r="AA116" s="1">
        <v>16.0</v>
      </c>
      <c r="AB116" s="1">
        <v>20.0</v>
      </c>
      <c r="AC116" s="1">
        <v>0.0</v>
      </c>
      <c r="AD116" s="1">
        <v>19.0</v>
      </c>
      <c r="AE116" s="1" t="s">
        <v>838</v>
      </c>
      <c r="AF116" s="1" t="s">
        <v>839</v>
      </c>
      <c r="AG116" s="1" t="s">
        <v>840</v>
      </c>
      <c r="AH116" s="1" t="s">
        <v>841</v>
      </c>
      <c r="AI116" s="1" t="s">
        <v>68</v>
      </c>
      <c r="AJ116" s="1" t="s">
        <v>68</v>
      </c>
      <c r="AK116" s="1" t="s">
        <v>842</v>
      </c>
      <c r="AL116" s="1" t="s">
        <v>843</v>
      </c>
      <c r="AM116" s="1" t="s">
        <v>2708</v>
      </c>
      <c r="AN116" s="1">
        <v>2019.0</v>
      </c>
      <c r="AO116" s="1">
        <v>9.0</v>
      </c>
      <c r="AP116" s="1" t="s">
        <v>68</v>
      </c>
      <c r="AQ116" s="1" t="s">
        <v>68</v>
      </c>
      <c r="AR116" s="1" t="s">
        <v>68</v>
      </c>
      <c r="AS116" s="1" t="s">
        <v>68</v>
      </c>
      <c r="AT116" s="1" t="s">
        <v>68</v>
      </c>
      <c r="AU116" s="1" t="s">
        <v>68</v>
      </c>
      <c r="AV116" s="1" t="s">
        <v>68</v>
      </c>
      <c r="AW116" s="1">
        <v>10037.0</v>
      </c>
      <c r="AX116" s="1" t="s">
        <v>2709</v>
      </c>
      <c r="AY116" s="3" t="str">
        <f>HYPERLINK("http://dx.doi.org/10.1038/s41598-019-46376-5","http://dx.doi.org/10.1038/s41598-019-46376-5")</f>
        <v>http://dx.doi.org/10.1038/s41598-019-46376-5</v>
      </c>
      <c r="AZ116" s="1" t="s">
        <v>68</v>
      </c>
      <c r="BA116" s="1" t="s">
        <v>68</v>
      </c>
      <c r="BB116" s="1">
        <v>12.0</v>
      </c>
      <c r="BC116" s="1" t="s">
        <v>742</v>
      </c>
      <c r="BD116" s="1" t="s">
        <v>92</v>
      </c>
      <c r="BE116" s="1" t="s">
        <v>743</v>
      </c>
      <c r="BF116" s="1" t="s">
        <v>2710</v>
      </c>
      <c r="BG116" s="1">
        <v>3.1296892E7</v>
      </c>
      <c r="BH116" s="1" t="s">
        <v>94</v>
      </c>
      <c r="BI116" s="1" t="s">
        <v>68</v>
      </c>
      <c r="BJ116" s="1" t="s">
        <v>68</v>
      </c>
      <c r="BK116" s="1" t="s">
        <v>95</v>
      </c>
      <c r="BL116" s="1" t="s">
        <v>2711</v>
      </c>
      <c r="BM116" s="1" t="str">
        <f>HYPERLINK("https%3A%2F%2Fwww.webofscience.com%2Fwos%2Fwoscc%2Ffull-record%2FWOS:000474820900016","View Full Record in Web of Science")</f>
        <v>View Full Record in Web of Science</v>
      </c>
    </row>
    <row r="117" ht="12.75" customHeight="1">
      <c r="A117" s="1" t="s">
        <v>65</v>
      </c>
      <c r="B117" s="1" t="s">
        <v>2712</v>
      </c>
      <c r="C117" s="1" t="s">
        <v>2713</v>
      </c>
      <c r="D117" s="1" t="s">
        <v>68</v>
      </c>
      <c r="E117" s="1" t="s">
        <v>2714</v>
      </c>
      <c r="F117" s="1" t="s">
        <v>467</v>
      </c>
      <c r="G117" s="1" t="s">
        <v>68</v>
      </c>
      <c r="H117" s="1" t="s">
        <v>71</v>
      </c>
      <c r="I117" s="1" t="s">
        <v>72</v>
      </c>
      <c r="J117" s="1" t="s">
        <v>68</v>
      </c>
      <c r="K117" s="1" t="s">
        <v>68</v>
      </c>
      <c r="L117" s="1" t="s">
        <v>68</v>
      </c>
      <c r="M117" s="1" t="s">
        <v>68</v>
      </c>
      <c r="N117" s="1" t="s">
        <v>2715</v>
      </c>
      <c r="O117" s="1" t="s">
        <v>2716</v>
      </c>
      <c r="P117" s="1" t="s">
        <v>2717</v>
      </c>
      <c r="Q117" s="1" t="s">
        <v>2718</v>
      </c>
      <c r="R117" s="1" t="s">
        <v>2719</v>
      </c>
      <c r="S117" s="1" t="s">
        <v>2720</v>
      </c>
      <c r="T117" s="1" t="s">
        <v>2721</v>
      </c>
      <c r="U117" s="1" t="s">
        <v>2722</v>
      </c>
      <c r="V117" s="1" t="s">
        <v>2723</v>
      </c>
      <c r="W117" s="1" t="s">
        <v>2724</v>
      </c>
      <c r="X117" s="1" t="s">
        <v>2724</v>
      </c>
      <c r="Y117" s="1" t="s">
        <v>2725</v>
      </c>
      <c r="Z117" s="1">
        <v>92.0</v>
      </c>
      <c r="AA117" s="1">
        <v>7.0</v>
      </c>
      <c r="AB117" s="1">
        <v>7.0</v>
      </c>
      <c r="AC117" s="1">
        <v>2.0</v>
      </c>
      <c r="AD117" s="1">
        <v>10.0</v>
      </c>
      <c r="AE117" s="1" t="s">
        <v>83</v>
      </c>
      <c r="AF117" s="1" t="s">
        <v>84</v>
      </c>
      <c r="AG117" s="1" t="s">
        <v>85</v>
      </c>
      <c r="AH117" s="1" t="s">
        <v>68</v>
      </c>
      <c r="AI117" s="1" t="s">
        <v>479</v>
      </c>
      <c r="AJ117" s="1" t="s">
        <v>68</v>
      </c>
      <c r="AK117" s="1" t="s">
        <v>480</v>
      </c>
      <c r="AL117" s="1" t="s">
        <v>481</v>
      </c>
      <c r="AM117" s="1" t="s">
        <v>2726</v>
      </c>
      <c r="AN117" s="1">
        <v>2023.0</v>
      </c>
      <c r="AO117" s="1">
        <v>11.0</v>
      </c>
      <c r="AP117" s="1" t="s">
        <v>68</v>
      </c>
      <c r="AQ117" s="1" t="s">
        <v>68</v>
      </c>
      <c r="AR117" s="1" t="s">
        <v>68</v>
      </c>
      <c r="AS117" s="1" t="s">
        <v>68</v>
      </c>
      <c r="AT117" s="1" t="s">
        <v>68</v>
      </c>
      <c r="AU117" s="1" t="s">
        <v>68</v>
      </c>
      <c r="AV117" s="1" t="s">
        <v>68</v>
      </c>
      <c r="AW117" s="1">
        <v>1186238.0</v>
      </c>
      <c r="AX117" s="1" t="s">
        <v>2727</v>
      </c>
      <c r="AY117" s="3" t="str">
        <f>HYPERLINK("http://dx.doi.org/10.3389/fenvs.2023.1186238","http://dx.doi.org/10.3389/fenvs.2023.1186238")</f>
        <v>http://dx.doi.org/10.3389/fenvs.2023.1186238</v>
      </c>
      <c r="AZ117" s="1" t="s">
        <v>68</v>
      </c>
      <c r="BA117" s="1" t="s">
        <v>68</v>
      </c>
      <c r="BB117" s="1">
        <v>14.0</v>
      </c>
      <c r="BC117" s="1" t="s">
        <v>484</v>
      </c>
      <c r="BD117" s="1" t="s">
        <v>92</v>
      </c>
      <c r="BE117" s="1" t="s">
        <v>333</v>
      </c>
      <c r="BF117" s="1" t="s">
        <v>2728</v>
      </c>
      <c r="BG117" s="1" t="s">
        <v>68</v>
      </c>
      <c r="BH117" s="1" t="s">
        <v>94</v>
      </c>
      <c r="BI117" s="1" t="s">
        <v>68</v>
      </c>
      <c r="BJ117" s="1" t="s">
        <v>68</v>
      </c>
      <c r="BK117" s="1" t="s">
        <v>95</v>
      </c>
      <c r="BL117" s="1" t="s">
        <v>2729</v>
      </c>
      <c r="BM117" s="1" t="str">
        <f>HYPERLINK("https%3A%2F%2Fwww.webofscience.com%2Fwos%2Fwoscc%2Ffull-record%2FWOS:001088132900001","View Full Record in Web of Science")</f>
        <v>View Full Record in Web of Science</v>
      </c>
    </row>
    <row r="118" ht="12.75" customHeight="1">
      <c r="A118" s="1" t="s">
        <v>65</v>
      </c>
      <c r="B118" s="1" t="s">
        <v>2730</v>
      </c>
      <c r="C118" s="1" t="s">
        <v>2731</v>
      </c>
      <c r="D118" s="1" t="s">
        <v>68</v>
      </c>
      <c r="E118" s="1" t="s">
        <v>2732</v>
      </c>
      <c r="F118" s="1" t="s">
        <v>2733</v>
      </c>
      <c r="G118" s="1" t="s">
        <v>68</v>
      </c>
      <c r="H118" s="1" t="s">
        <v>71</v>
      </c>
      <c r="I118" s="1" t="s">
        <v>72</v>
      </c>
      <c r="J118" s="1" t="s">
        <v>68</v>
      </c>
      <c r="K118" s="1" t="s">
        <v>68</v>
      </c>
      <c r="L118" s="1" t="s">
        <v>68</v>
      </c>
      <c r="M118" s="1" t="s">
        <v>68</v>
      </c>
      <c r="N118" s="1" t="s">
        <v>2734</v>
      </c>
      <c r="O118" s="1" t="s">
        <v>2735</v>
      </c>
      <c r="P118" s="1" t="s">
        <v>2736</v>
      </c>
      <c r="Q118" s="1" t="s">
        <v>2737</v>
      </c>
      <c r="R118" s="1" t="s">
        <v>2738</v>
      </c>
      <c r="S118" s="1" t="s">
        <v>2739</v>
      </c>
      <c r="T118" s="1" t="s">
        <v>2740</v>
      </c>
      <c r="U118" s="1" t="s">
        <v>2741</v>
      </c>
      <c r="V118" s="1" t="s">
        <v>2742</v>
      </c>
      <c r="W118" s="1" t="s">
        <v>2743</v>
      </c>
      <c r="X118" s="1" t="s">
        <v>2744</v>
      </c>
      <c r="Y118" s="1" t="s">
        <v>2745</v>
      </c>
      <c r="Z118" s="1">
        <v>59.0</v>
      </c>
      <c r="AA118" s="1">
        <v>44.0</v>
      </c>
      <c r="AB118" s="1">
        <v>50.0</v>
      </c>
      <c r="AC118" s="1">
        <v>0.0</v>
      </c>
      <c r="AD118" s="1">
        <v>83.0</v>
      </c>
      <c r="AE118" s="1" t="s">
        <v>2746</v>
      </c>
      <c r="AF118" s="1" t="s">
        <v>2747</v>
      </c>
      <c r="AG118" s="1" t="s">
        <v>2748</v>
      </c>
      <c r="AH118" s="1" t="s">
        <v>2749</v>
      </c>
      <c r="AI118" s="1" t="s">
        <v>2750</v>
      </c>
      <c r="AJ118" s="1" t="s">
        <v>68</v>
      </c>
      <c r="AK118" s="1" t="s">
        <v>2751</v>
      </c>
      <c r="AL118" s="1" t="s">
        <v>2752</v>
      </c>
      <c r="AM118" s="1" t="s">
        <v>428</v>
      </c>
      <c r="AN118" s="1">
        <v>2014.0</v>
      </c>
      <c r="AO118" s="1">
        <v>19.0</v>
      </c>
      <c r="AP118" s="1">
        <v>5.0</v>
      </c>
      <c r="AQ118" s="1" t="s">
        <v>68</v>
      </c>
      <c r="AR118" s="1" t="s">
        <v>68</v>
      </c>
      <c r="AS118" s="1" t="s">
        <v>68</v>
      </c>
      <c r="AT118" s="1" t="s">
        <v>68</v>
      </c>
      <c r="AU118" s="1">
        <v>1541.0</v>
      </c>
      <c r="AV118" s="1">
        <v>1551.0</v>
      </c>
      <c r="AW118" s="1" t="s">
        <v>68</v>
      </c>
      <c r="AX118" s="1" t="s">
        <v>2753</v>
      </c>
      <c r="AY118" s="3" t="str">
        <f>HYPERLINK("http://dx.doi.org/10.1109/TMECH.2013.2287705","http://dx.doi.org/10.1109/TMECH.2013.2287705")</f>
        <v>http://dx.doi.org/10.1109/TMECH.2013.2287705</v>
      </c>
      <c r="AZ118" s="1" t="s">
        <v>68</v>
      </c>
      <c r="BA118" s="1" t="s">
        <v>68</v>
      </c>
      <c r="BB118" s="1">
        <v>11.0</v>
      </c>
      <c r="BC118" s="1" t="s">
        <v>2754</v>
      </c>
      <c r="BD118" s="1" t="s">
        <v>92</v>
      </c>
      <c r="BE118" s="1" t="s">
        <v>2755</v>
      </c>
      <c r="BF118" s="1" t="s">
        <v>2756</v>
      </c>
      <c r="BG118" s="1" t="s">
        <v>68</v>
      </c>
      <c r="BH118" s="1" t="s">
        <v>68</v>
      </c>
      <c r="BI118" s="1" t="s">
        <v>68</v>
      </c>
      <c r="BJ118" s="1" t="s">
        <v>68</v>
      </c>
      <c r="BK118" s="1" t="s">
        <v>95</v>
      </c>
      <c r="BL118" s="1" t="s">
        <v>2757</v>
      </c>
      <c r="BM118" s="1" t="str">
        <f>HYPERLINK("https%3A%2F%2Fwww.webofscience.com%2Fwos%2Fwoscc%2Ffull-record%2FWOS:000338107600007","View Full Record in Web of Science")</f>
        <v>View Full Record in Web of Science</v>
      </c>
    </row>
    <row r="119" ht="12.75" customHeight="1">
      <c r="A119" s="1" t="s">
        <v>65</v>
      </c>
      <c r="B119" s="1" t="s">
        <v>2758</v>
      </c>
      <c r="C119" s="1" t="s">
        <v>2759</v>
      </c>
      <c r="D119" s="1" t="s">
        <v>68</v>
      </c>
      <c r="E119" s="1" t="s">
        <v>2760</v>
      </c>
      <c r="F119" s="1" t="s">
        <v>2761</v>
      </c>
      <c r="G119" s="1" t="s">
        <v>68</v>
      </c>
      <c r="H119" s="1" t="s">
        <v>71</v>
      </c>
      <c r="I119" s="1" t="s">
        <v>72</v>
      </c>
      <c r="J119" s="1" t="s">
        <v>68</v>
      </c>
      <c r="K119" s="1" t="s">
        <v>68</v>
      </c>
      <c r="L119" s="1" t="s">
        <v>68</v>
      </c>
      <c r="M119" s="1" t="s">
        <v>68</v>
      </c>
      <c r="N119" s="1" t="s">
        <v>2762</v>
      </c>
      <c r="O119" s="1" t="s">
        <v>2763</v>
      </c>
      <c r="P119" s="1" t="s">
        <v>2764</v>
      </c>
      <c r="Q119" s="1" t="s">
        <v>2765</v>
      </c>
      <c r="R119" s="1" t="s">
        <v>2766</v>
      </c>
      <c r="S119" s="1" t="s">
        <v>2767</v>
      </c>
      <c r="T119" s="1" t="s">
        <v>2768</v>
      </c>
      <c r="U119" s="1" t="s">
        <v>2769</v>
      </c>
      <c r="V119" s="1" t="s">
        <v>2770</v>
      </c>
      <c r="W119" s="1" t="s">
        <v>2771</v>
      </c>
      <c r="X119" s="1" t="s">
        <v>2772</v>
      </c>
      <c r="Y119" s="1" t="s">
        <v>2773</v>
      </c>
      <c r="Z119" s="1">
        <v>41.0</v>
      </c>
      <c r="AA119" s="1">
        <v>1.0</v>
      </c>
      <c r="AB119" s="1">
        <v>1.0</v>
      </c>
      <c r="AC119" s="1">
        <v>6.0</v>
      </c>
      <c r="AD119" s="1">
        <v>9.0</v>
      </c>
      <c r="AE119" s="1" t="s">
        <v>2774</v>
      </c>
      <c r="AF119" s="1" t="s">
        <v>2775</v>
      </c>
      <c r="AG119" s="1" t="s">
        <v>2776</v>
      </c>
      <c r="AH119" s="1" t="s">
        <v>2777</v>
      </c>
      <c r="AI119" s="1" t="s">
        <v>2778</v>
      </c>
      <c r="AJ119" s="1" t="s">
        <v>68</v>
      </c>
      <c r="AK119" s="1" t="s">
        <v>2779</v>
      </c>
      <c r="AL119" s="1" t="s">
        <v>2780</v>
      </c>
      <c r="AM119" s="1" t="s">
        <v>1399</v>
      </c>
      <c r="AN119" s="1">
        <v>2024.0</v>
      </c>
      <c r="AO119" s="1">
        <v>120.0</v>
      </c>
      <c r="AP119" s="1" t="s">
        <v>2781</v>
      </c>
      <c r="AQ119" s="1" t="s">
        <v>68</v>
      </c>
      <c r="AR119" s="1" t="s">
        <v>68</v>
      </c>
      <c r="AS119" s="1" t="s">
        <v>68</v>
      </c>
      <c r="AT119" s="1" t="s">
        <v>68</v>
      </c>
      <c r="AU119" s="1" t="s">
        <v>68</v>
      </c>
      <c r="AV119" s="1" t="s">
        <v>68</v>
      </c>
      <c r="AW119" s="1">
        <v>18145.0</v>
      </c>
      <c r="AX119" s="1" t="s">
        <v>2782</v>
      </c>
      <c r="AY119" s="3" t="str">
        <f>HYPERLINK("http://dx.doi.org/10.17159/sajs.2024/18145","http://dx.doi.org/10.17159/sajs.2024/18145")</f>
        <v>http://dx.doi.org/10.17159/sajs.2024/18145</v>
      </c>
      <c r="AZ119" s="1" t="s">
        <v>68</v>
      </c>
      <c r="BA119" s="1" t="s">
        <v>68</v>
      </c>
      <c r="BB119" s="1">
        <v>9.0</v>
      </c>
      <c r="BC119" s="1" t="s">
        <v>742</v>
      </c>
      <c r="BD119" s="1" t="s">
        <v>92</v>
      </c>
      <c r="BE119" s="1" t="s">
        <v>743</v>
      </c>
      <c r="BF119" s="1" t="s">
        <v>2783</v>
      </c>
      <c r="BG119" s="1" t="s">
        <v>68</v>
      </c>
      <c r="BH119" s="1" t="s">
        <v>94</v>
      </c>
      <c r="BI119" s="1" t="s">
        <v>68</v>
      </c>
      <c r="BJ119" s="1" t="s">
        <v>68</v>
      </c>
      <c r="BK119" s="1" t="s">
        <v>95</v>
      </c>
      <c r="BL119" s="1" t="s">
        <v>2784</v>
      </c>
      <c r="BM119" s="1" t="str">
        <f>HYPERLINK("https%3A%2F%2Fwww.webofscience.com%2Fwos%2Fwoscc%2Ffull-record%2FWOS:001322811600006","View Full Record in Web of Science")</f>
        <v>View Full Record in Web of Science</v>
      </c>
    </row>
    <row r="120" ht="12.75" customHeight="1">
      <c r="A120" s="1" t="s">
        <v>65</v>
      </c>
      <c r="B120" s="1" t="s">
        <v>2785</v>
      </c>
      <c r="C120" s="1" t="s">
        <v>2786</v>
      </c>
      <c r="D120" s="1" t="s">
        <v>68</v>
      </c>
      <c r="E120" s="1" t="s">
        <v>2787</v>
      </c>
      <c r="F120" s="1" t="s">
        <v>1895</v>
      </c>
      <c r="G120" s="1" t="s">
        <v>68</v>
      </c>
      <c r="H120" s="1" t="s">
        <v>71</v>
      </c>
      <c r="I120" s="1" t="s">
        <v>72</v>
      </c>
      <c r="J120" s="1" t="s">
        <v>68</v>
      </c>
      <c r="K120" s="1" t="s">
        <v>68</v>
      </c>
      <c r="L120" s="1" t="s">
        <v>68</v>
      </c>
      <c r="M120" s="1" t="s">
        <v>68</v>
      </c>
      <c r="N120" s="1" t="s">
        <v>68</v>
      </c>
      <c r="O120" s="1" t="s">
        <v>2788</v>
      </c>
      <c r="P120" s="1" t="s">
        <v>2789</v>
      </c>
      <c r="Q120" s="1" t="s">
        <v>2790</v>
      </c>
      <c r="R120" s="1" t="s">
        <v>2791</v>
      </c>
      <c r="S120" s="1" t="s">
        <v>2792</v>
      </c>
      <c r="T120" s="1" t="s">
        <v>2793</v>
      </c>
      <c r="U120" s="1" t="s">
        <v>2794</v>
      </c>
      <c r="V120" s="1" t="s">
        <v>2795</v>
      </c>
      <c r="W120" s="1" t="s">
        <v>68</v>
      </c>
      <c r="X120" s="1" t="s">
        <v>68</v>
      </c>
      <c r="Y120" s="1" t="s">
        <v>68</v>
      </c>
      <c r="Z120" s="1">
        <v>55.0</v>
      </c>
      <c r="AA120" s="1">
        <v>0.0</v>
      </c>
      <c r="AB120" s="1">
        <v>0.0</v>
      </c>
      <c r="AC120" s="1">
        <v>3.0</v>
      </c>
      <c r="AD120" s="1">
        <v>21.0</v>
      </c>
      <c r="AE120" s="1" t="s">
        <v>1906</v>
      </c>
      <c r="AF120" s="1" t="s">
        <v>1907</v>
      </c>
      <c r="AG120" s="1" t="s">
        <v>1908</v>
      </c>
      <c r="AH120" s="1" t="s">
        <v>1909</v>
      </c>
      <c r="AI120" s="1" t="s">
        <v>68</v>
      </c>
      <c r="AJ120" s="1" t="s">
        <v>68</v>
      </c>
      <c r="AK120" s="1" t="s">
        <v>1895</v>
      </c>
      <c r="AL120" s="1" t="s">
        <v>1910</v>
      </c>
      <c r="AM120" s="1" t="s">
        <v>2796</v>
      </c>
      <c r="AN120" s="1">
        <v>2022.0</v>
      </c>
      <c r="AO120" s="1">
        <v>17.0</v>
      </c>
      <c r="AP120" s="1">
        <v>7.0</v>
      </c>
      <c r="AQ120" s="1" t="s">
        <v>68</v>
      </c>
      <c r="AR120" s="1" t="s">
        <v>68</v>
      </c>
      <c r="AS120" s="1" t="s">
        <v>68</v>
      </c>
      <c r="AT120" s="1" t="s">
        <v>68</v>
      </c>
      <c r="AU120" s="1" t="s">
        <v>68</v>
      </c>
      <c r="AV120" s="1" t="s">
        <v>68</v>
      </c>
      <c r="AW120" s="1" t="s">
        <v>2797</v>
      </c>
      <c r="AX120" s="1" t="s">
        <v>2798</v>
      </c>
      <c r="AY120" s="3" t="str">
        <f>HYPERLINK("http://dx.doi.org/10.1371/journal.pone.0270625","http://dx.doi.org/10.1371/journal.pone.0270625")</f>
        <v>http://dx.doi.org/10.1371/journal.pone.0270625</v>
      </c>
      <c r="AZ120" s="1" t="s">
        <v>68</v>
      </c>
      <c r="BA120" s="1" t="s">
        <v>68</v>
      </c>
      <c r="BB120" s="1">
        <v>21.0</v>
      </c>
      <c r="BC120" s="1" t="s">
        <v>742</v>
      </c>
      <c r="BD120" s="1" t="s">
        <v>92</v>
      </c>
      <c r="BE120" s="1" t="s">
        <v>743</v>
      </c>
      <c r="BF120" s="1" t="s">
        <v>2799</v>
      </c>
      <c r="BG120" s="1">
        <v>3.5895741E7</v>
      </c>
      <c r="BH120" s="1" t="s">
        <v>94</v>
      </c>
      <c r="BI120" s="1" t="s">
        <v>68</v>
      </c>
      <c r="BJ120" s="1" t="s">
        <v>68</v>
      </c>
      <c r="BK120" s="1" t="s">
        <v>95</v>
      </c>
      <c r="BL120" s="1" t="s">
        <v>2800</v>
      </c>
      <c r="BM120" s="1" t="str">
        <f>HYPERLINK("https%3A%2F%2Fwww.webofscience.com%2Fwos%2Fwoscc%2Ffull-record%2FWOS:000880183400036","View Full Record in Web of Science")</f>
        <v>View Full Record in Web of Science</v>
      </c>
    </row>
    <row r="121" ht="12.75" customHeight="1">
      <c r="A121" s="1" t="s">
        <v>65</v>
      </c>
      <c r="B121" s="1" t="s">
        <v>2801</v>
      </c>
      <c r="C121" s="1" t="s">
        <v>2802</v>
      </c>
      <c r="D121" s="1" t="s">
        <v>68</v>
      </c>
      <c r="E121" s="1" t="s">
        <v>2803</v>
      </c>
      <c r="F121" s="1" t="s">
        <v>2804</v>
      </c>
      <c r="G121" s="1" t="s">
        <v>68</v>
      </c>
      <c r="H121" s="1" t="s">
        <v>71</v>
      </c>
      <c r="I121" s="1" t="s">
        <v>72</v>
      </c>
      <c r="J121" s="1" t="s">
        <v>68</v>
      </c>
      <c r="K121" s="1" t="s">
        <v>68</v>
      </c>
      <c r="L121" s="1" t="s">
        <v>68</v>
      </c>
      <c r="M121" s="1" t="s">
        <v>68</v>
      </c>
      <c r="N121" s="1" t="s">
        <v>2805</v>
      </c>
      <c r="O121" s="1" t="s">
        <v>2806</v>
      </c>
      <c r="P121" s="1" t="s">
        <v>2807</v>
      </c>
      <c r="Q121" s="1" t="s">
        <v>2808</v>
      </c>
      <c r="R121" s="1" t="s">
        <v>2809</v>
      </c>
      <c r="S121" s="1" t="s">
        <v>2810</v>
      </c>
      <c r="T121" s="1" t="s">
        <v>2811</v>
      </c>
      <c r="U121" s="1" t="s">
        <v>2812</v>
      </c>
      <c r="V121" s="1" t="s">
        <v>2813</v>
      </c>
      <c r="W121" s="1" t="s">
        <v>2814</v>
      </c>
      <c r="X121" s="1" t="s">
        <v>2814</v>
      </c>
      <c r="Y121" s="1" t="s">
        <v>2815</v>
      </c>
      <c r="Z121" s="1">
        <v>54.0</v>
      </c>
      <c r="AA121" s="1">
        <v>12.0</v>
      </c>
      <c r="AB121" s="1">
        <v>16.0</v>
      </c>
      <c r="AC121" s="1">
        <v>1.0</v>
      </c>
      <c r="AD121" s="1">
        <v>13.0</v>
      </c>
      <c r="AE121" s="1" t="s">
        <v>1430</v>
      </c>
      <c r="AF121" s="1" t="s">
        <v>663</v>
      </c>
      <c r="AG121" s="1" t="s">
        <v>1431</v>
      </c>
      <c r="AH121" s="1" t="s">
        <v>2816</v>
      </c>
      <c r="AI121" s="1" t="s">
        <v>2817</v>
      </c>
      <c r="AJ121" s="1" t="s">
        <v>68</v>
      </c>
      <c r="AK121" s="1" t="s">
        <v>2818</v>
      </c>
      <c r="AL121" s="1" t="s">
        <v>2819</v>
      </c>
      <c r="AM121" s="1" t="s">
        <v>120</v>
      </c>
      <c r="AN121" s="1">
        <v>2019.0</v>
      </c>
      <c r="AO121" s="1">
        <v>3.0</v>
      </c>
      <c r="AP121" s="1">
        <v>4.0</v>
      </c>
      <c r="AQ121" s="1" t="s">
        <v>68</v>
      </c>
      <c r="AR121" s="1" t="s">
        <v>68</v>
      </c>
      <c r="AS121" s="1" t="s">
        <v>68</v>
      </c>
      <c r="AT121" s="1" t="s">
        <v>68</v>
      </c>
      <c r="AU121" s="1">
        <v>414.0</v>
      </c>
      <c r="AV121" s="1">
        <v>440.0</v>
      </c>
      <c r="AW121" s="1" t="s">
        <v>68</v>
      </c>
      <c r="AX121" s="1" t="s">
        <v>2820</v>
      </c>
      <c r="AY121" s="3" t="str">
        <f>HYPERLINK("http://dx.doi.org/10.1007/s41666-019-00055-2","http://dx.doi.org/10.1007/s41666-019-00055-2")</f>
        <v>http://dx.doi.org/10.1007/s41666-019-00055-2</v>
      </c>
      <c r="AZ121" s="1" t="s">
        <v>68</v>
      </c>
      <c r="BA121" s="1" t="s">
        <v>68</v>
      </c>
      <c r="BB121" s="1">
        <v>27.0</v>
      </c>
      <c r="BC121" s="1" t="s">
        <v>2821</v>
      </c>
      <c r="BD121" s="1" t="s">
        <v>197</v>
      </c>
      <c r="BE121" s="1" t="s">
        <v>2822</v>
      </c>
      <c r="BF121" s="1" t="s">
        <v>2823</v>
      </c>
      <c r="BG121" s="1">
        <v>3.5415433E7</v>
      </c>
      <c r="BH121" s="1" t="s">
        <v>591</v>
      </c>
      <c r="BI121" s="1" t="s">
        <v>68</v>
      </c>
      <c r="BJ121" s="1" t="s">
        <v>68</v>
      </c>
      <c r="BK121" s="1" t="s">
        <v>95</v>
      </c>
      <c r="BL121" s="1" t="s">
        <v>2824</v>
      </c>
      <c r="BM121" s="1" t="str">
        <f>HYPERLINK("https%3A%2F%2Fwww.webofscience.com%2Fwos%2Fwoscc%2Ffull-record%2FWOS:000705500200003","View Full Record in Web of Science")</f>
        <v>View Full Record in Web of Science</v>
      </c>
    </row>
    <row r="122" ht="12.75" customHeight="1">
      <c r="A122" s="1" t="s">
        <v>65</v>
      </c>
      <c r="B122" s="1" t="s">
        <v>2825</v>
      </c>
      <c r="C122" s="1" t="s">
        <v>2826</v>
      </c>
      <c r="D122" s="1" t="s">
        <v>68</v>
      </c>
      <c r="E122" s="1" t="s">
        <v>2827</v>
      </c>
      <c r="F122" s="1" t="s">
        <v>2203</v>
      </c>
      <c r="G122" s="1" t="s">
        <v>68</v>
      </c>
      <c r="H122" s="1" t="s">
        <v>71</v>
      </c>
      <c r="I122" s="1" t="s">
        <v>72</v>
      </c>
      <c r="J122" s="1" t="s">
        <v>68</v>
      </c>
      <c r="K122" s="1" t="s">
        <v>68</v>
      </c>
      <c r="L122" s="1" t="s">
        <v>68</v>
      </c>
      <c r="M122" s="1" t="s">
        <v>68</v>
      </c>
      <c r="N122" s="1" t="s">
        <v>2828</v>
      </c>
      <c r="O122" s="1" t="s">
        <v>2829</v>
      </c>
      <c r="P122" s="1" t="s">
        <v>2830</v>
      </c>
      <c r="Q122" s="1" t="s">
        <v>2831</v>
      </c>
      <c r="R122" s="1" t="s">
        <v>2832</v>
      </c>
      <c r="S122" s="1" t="s">
        <v>2833</v>
      </c>
      <c r="T122" s="1" t="s">
        <v>2834</v>
      </c>
      <c r="U122" s="1" t="s">
        <v>2835</v>
      </c>
      <c r="V122" s="1" t="s">
        <v>2836</v>
      </c>
      <c r="W122" s="1" t="s">
        <v>2837</v>
      </c>
      <c r="X122" s="1" t="s">
        <v>2838</v>
      </c>
      <c r="Y122" s="1" t="s">
        <v>2839</v>
      </c>
      <c r="Z122" s="1">
        <v>93.0</v>
      </c>
      <c r="AA122" s="1">
        <v>6.0</v>
      </c>
      <c r="AB122" s="1">
        <v>9.0</v>
      </c>
      <c r="AC122" s="1">
        <v>0.0</v>
      </c>
      <c r="AD122" s="1">
        <v>13.0</v>
      </c>
      <c r="AE122" s="1" t="s">
        <v>83</v>
      </c>
      <c r="AF122" s="1" t="s">
        <v>84</v>
      </c>
      <c r="AG122" s="1" t="s">
        <v>85</v>
      </c>
      <c r="AH122" s="1" t="s">
        <v>68</v>
      </c>
      <c r="AI122" s="1" t="s">
        <v>2216</v>
      </c>
      <c r="AJ122" s="1" t="s">
        <v>68</v>
      </c>
      <c r="AK122" s="1" t="s">
        <v>2217</v>
      </c>
      <c r="AL122" s="1" t="s">
        <v>2218</v>
      </c>
      <c r="AM122" s="1" t="s">
        <v>2840</v>
      </c>
      <c r="AN122" s="1">
        <v>2021.0</v>
      </c>
      <c r="AO122" s="1">
        <v>3.0</v>
      </c>
      <c r="AP122" s="1" t="s">
        <v>68</v>
      </c>
      <c r="AQ122" s="1" t="s">
        <v>68</v>
      </c>
      <c r="AR122" s="1" t="s">
        <v>68</v>
      </c>
      <c r="AS122" s="1" t="s">
        <v>68</v>
      </c>
      <c r="AT122" s="1" t="s">
        <v>68</v>
      </c>
      <c r="AU122" s="1" t="s">
        <v>68</v>
      </c>
      <c r="AV122" s="1" t="s">
        <v>68</v>
      </c>
      <c r="AW122" s="1">
        <v>656770.0</v>
      </c>
      <c r="AX122" s="1" t="s">
        <v>2841</v>
      </c>
      <c r="AY122" s="3" t="str">
        <f>HYPERLINK("http://dx.doi.org/10.3389/frwa.2021.656770","http://dx.doi.org/10.3389/frwa.2021.656770")</f>
        <v>http://dx.doi.org/10.3389/frwa.2021.656770</v>
      </c>
      <c r="AZ122" s="1" t="s">
        <v>68</v>
      </c>
      <c r="BA122" s="1" t="s">
        <v>68</v>
      </c>
      <c r="BB122" s="1">
        <v>17.0</v>
      </c>
      <c r="BC122" s="1" t="s">
        <v>2221</v>
      </c>
      <c r="BD122" s="1" t="s">
        <v>197</v>
      </c>
      <c r="BE122" s="1" t="s">
        <v>2221</v>
      </c>
      <c r="BF122" s="1" t="s">
        <v>2842</v>
      </c>
      <c r="BG122" s="1" t="s">
        <v>68</v>
      </c>
      <c r="BH122" s="1" t="s">
        <v>94</v>
      </c>
      <c r="BI122" s="1" t="s">
        <v>68</v>
      </c>
      <c r="BJ122" s="1" t="s">
        <v>68</v>
      </c>
      <c r="BK122" s="1" t="s">
        <v>95</v>
      </c>
      <c r="BL122" s="1" t="s">
        <v>2843</v>
      </c>
      <c r="BM122" s="1" t="str">
        <f>HYPERLINK("https%3A%2F%2Fwww.webofscience.com%2Fwos%2Fwoscc%2Ffull-record%2FWOS:000668152800001","View Full Record in Web of Science")</f>
        <v>View Full Record in Web of Science</v>
      </c>
    </row>
    <row r="123" ht="12.75" customHeight="1">
      <c r="A123" s="1" t="s">
        <v>65</v>
      </c>
      <c r="B123" s="1" t="s">
        <v>2844</v>
      </c>
      <c r="C123" s="1" t="s">
        <v>2845</v>
      </c>
      <c r="D123" s="1" t="s">
        <v>68</v>
      </c>
      <c r="E123" s="1" t="s">
        <v>2846</v>
      </c>
      <c r="F123" s="1" t="s">
        <v>2847</v>
      </c>
      <c r="G123" s="1" t="s">
        <v>68</v>
      </c>
      <c r="H123" s="1" t="s">
        <v>71</v>
      </c>
      <c r="I123" s="1" t="s">
        <v>72</v>
      </c>
      <c r="J123" s="1" t="s">
        <v>68</v>
      </c>
      <c r="K123" s="1" t="s">
        <v>68</v>
      </c>
      <c r="L123" s="1" t="s">
        <v>68</v>
      </c>
      <c r="M123" s="1" t="s">
        <v>68</v>
      </c>
      <c r="N123" s="1" t="s">
        <v>2848</v>
      </c>
      <c r="O123" s="1" t="s">
        <v>2849</v>
      </c>
      <c r="P123" s="1" t="s">
        <v>2850</v>
      </c>
      <c r="Q123" s="1" t="s">
        <v>2851</v>
      </c>
      <c r="R123" s="1" t="s">
        <v>2852</v>
      </c>
      <c r="S123" s="1" t="s">
        <v>2853</v>
      </c>
      <c r="T123" s="1" t="s">
        <v>2854</v>
      </c>
      <c r="U123" s="1" t="s">
        <v>2855</v>
      </c>
      <c r="V123" s="1" t="s">
        <v>2856</v>
      </c>
      <c r="W123" s="1" t="s">
        <v>2857</v>
      </c>
      <c r="X123" s="1" t="s">
        <v>2858</v>
      </c>
      <c r="Y123" s="1" t="s">
        <v>2859</v>
      </c>
      <c r="Z123" s="1">
        <v>81.0</v>
      </c>
      <c r="AA123" s="1">
        <v>40.0</v>
      </c>
      <c r="AB123" s="1">
        <v>44.0</v>
      </c>
      <c r="AC123" s="1">
        <v>1.0</v>
      </c>
      <c r="AD123" s="1">
        <v>41.0</v>
      </c>
      <c r="AE123" s="1" t="s">
        <v>2282</v>
      </c>
      <c r="AF123" s="1" t="s">
        <v>1933</v>
      </c>
      <c r="AG123" s="1" t="s">
        <v>2283</v>
      </c>
      <c r="AH123" s="1" t="s">
        <v>2860</v>
      </c>
      <c r="AI123" s="1" t="s">
        <v>2861</v>
      </c>
      <c r="AJ123" s="1" t="s">
        <v>68</v>
      </c>
      <c r="AK123" s="1" t="s">
        <v>2862</v>
      </c>
      <c r="AL123" s="1" t="s">
        <v>2863</v>
      </c>
      <c r="AM123" s="1" t="s">
        <v>2864</v>
      </c>
      <c r="AN123" s="1">
        <v>2019.0</v>
      </c>
      <c r="AO123" s="1">
        <v>33.0</v>
      </c>
      <c r="AP123" s="1">
        <v>8.0</v>
      </c>
      <c r="AQ123" s="1" t="s">
        <v>68</v>
      </c>
      <c r="AR123" s="1" t="s">
        <v>68</v>
      </c>
      <c r="AS123" s="1" t="s">
        <v>68</v>
      </c>
      <c r="AT123" s="1" t="s">
        <v>68</v>
      </c>
      <c r="AU123" s="1">
        <v>1612.0</v>
      </c>
      <c r="AV123" s="1">
        <v>1632.0</v>
      </c>
      <c r="AW123" s="1" t="s">
        <v>68</v>
      </c>
      <c r="AX123" s="1" t="s">
        <v>2865</v>
      </c>
      <c r="AY123" s="3" t="str">
        <f>HYPERLINK("http://dx.doi.org/10.1080/13658816.2018.1423686","http://dx.doi.org/10.1080/13658816.2018.1423686")</f>
        <v>http://dx.doi.org/10.1080/13658816.2018.1423686</v>
      </c>
      <c r="AZ123" s="1" t="s">
        <v>68</v>
      </c>
      <c r="BA123" s="1" t="s">
        <v>68</v>
      </c>
      <c r="BB123" s="1">
        <v>21.0</v>
      </c>
      <c r="BC123" s="1" t="s">
        <v>2866</v>
      </c>
      <c r="BD123" s="1" t="s">
        <v>279</v>
      </c>
      <c r="BE123" s="1" t="s">
        <v>2867</v>
      </c>
      <c r="BF123" s="1" t="s">
        <v>2868</v>
      </c>
      <c r="BG123" s="1" t="s">
        <v>68</v>
      </c>
      <c r="BH123" s="1" t="s">
        <v>68</v>
      </c>
      <c r="BI123" s="1" t="s">
        <v>68</v>
      </c>
      <c r="BJ123" s="1" t="s">
        <v>68</v>
      </c>
      <c r="BK123" s="1" t="s">
        <v>95</v>
      </c>
      <c r="BL123" s="1" t="s">
        <v>2869</v>
      </c>
      <c r="BM123" s="1" t="str">
        <f>HYPERLINK("https%3A%2F%2Fwww.webofscience.com%2Fwos%2Fwoscc%2Ffull-record%2FWOS:000471937900007","View Full Record in Web of Science")</f>
        <v>View Full Record in Web of Science</v>
      </c>
    </row>
    <row r="124" ht="12.75" customHeight="1">
      <c r="A124" s="1" t="s">
        <v>65</v>
      </c>
      <c r="B124" s="1" t="s">
        <v>2870</v>
      </c>
      <c r="C124" s="1" t="s">
        <v>2871</v>
      </c>
      <c r="D124" s="1" t="s">
        <v>68</v>
      </c>
      <c r="E124" s="1" t="s">
        <v>2872</v>
      </c>
      <c r="F124" s="1" t="s">
        <v>315</v>
      </c>
      <c r="G124" s="1" t="s">
        <v>68</v>
      </c>
      <c r="H124" s="1" t="s">
        <v>71</v>
      </c>
      <c r="I124" s="1" t="s">
        <v>72</v>
      </c>
      <c r="J124" s="1" t="s">
        <v>68</v>
      </c>
      <c r="K124" s="1" t="s">
        <v>68</v>
      </c>
      <c r="L124" s="1" t="s">
        <v>68</v>
      </c>
      <c r="M124" s="1" t="s">
        <v>68</v>
      </c>
      <c r="N124" s="1" t="s">
        <v>2873</v>
      </c>
      <c r="O124" s="1" t="s">
        <v>2874</v>
      </c>
      <c r="P124" s="1" t="s">
        <v>2875</v>
      </c>
      <c r="Q124" s="1" t="s">
        <v>2876</v>
      </c>
      <c r="R124" s="1" t="s">
        <v>2877</v>
      </c>
      <c r="S124" s="1" t="s">
        <v>2878</v>
      </c>
      <c r="T124" s="1" t="s">
        <v>2879</v>
      </c>
      <c r="U124" s="1" t="s">
        <v>68</v>
      </c>
      <c r="V124" s="1" t="s">
        <v>2880</v>
      </c>
      <c r="W124" s="1" t="s">
        <v>2881</v>
      </c>
      <c r="X124" s="1" t="s">
        <v>2881</v>
      </c>
      <c r="Y124" s="1" t="s">
        <v>2882</v>
      </c>
      <c r="Z124" s="1">
        <v>68.0</v>
      </c>
      <c r="AA124" s="1">
        <v>9.0</v>
      </c>
      <c r="AB124" s="1">
        <v>10.0</v>
      </c>
      <c r="AC124" s="1">
        <v>3.0</v>
      </c>
      <c r="AD124" s="1">
        <v>28.0</v>
      </c>
      <c r="AE124" s="1" t="s">
        <v>83</v>
      </c>
      <c r="AF124" s="1" t="s">
        <v>84</v>
      </c>
      <c r="AG124" s="1" t="s">
        <v>85</v>
      </c>
      <c r="AH124" s="1" t="s">
        <v>327</v>
      </c>
      <c r="AI124" s="1" t="s">
        <v>68</v>
      </c>
      <c r="AJ124" s="1" t="s">
        <v>68</v>
      </c>
      <c r="AK124" s="1" t="s">
        <v>328</v>
      </c>
      <c r="AL124" s="1" t="s">
        <v>329</v>
      </c>
      <c r="AM124" s="1" t="s">
        <v>2883</v>
      </c>
      <c r="AN124" s="1">
        <v>2021.0</v>
      </c>
      <c r="AO124" s="1">
        <v>9.0</v>
      </c>
      <c r="AP124" s="1" t="s">
        <v>68</v>
      </c>
      <c r="AQ124" s="1" t="s">
        <v>68</v>
      </c>
      <c r="AR124" s="1" t="s">
        <v>68</v>
      </c>
      <c r="AS124" s="1" t="s">
        <v>68</v>
      </c>
      <c r="AT124" s="1" t="s">
        <v>68</v>
      </c>
      <c r="AU124" s="1" t="s">
        <v>68</v>
      </c>
      <c r="AV124" s="1" t="s">
        <v>68</v>
      </c>
      <c r="AW124" s="1">
        <v>620850.0</v>
      </c>
      <c r="AX124" s="1" t="s">
        <v>2884</v>
      </c>
      <c r="AY124" s="3" t="str">
        <f>HYPERLINK("http://dx.doi.org/10.3389/fevo.2021.620850","http://dx.doi.org/10.3389/fevo.2021.620850")</f>
        <v>http://dx.doi.org/10.3389/fevo.2021.620850</v>
      </c>
      <c r="AZ124" s="1" t="s">
        <v>68</v>
      </c>
      <c r="BA124" s="1" t="s">
        <v>68</v>
      </c>
      <c r="BB124" s="1">
        <v>14.0</v>
      </c>
      <c r="BC124" s="1" t="s">
        <v>332</v>
      </c>
      <c r="BD124" s="1" t="s">
        <v>279</v>
      </c>
      <c r="BE124" s="1" t="s">
        <v>333</v>
      </c>
      <c r="BF124" s="1" t="s">
        <v>2885</v>
      </c>
      <c r="BG124" s="1" t="s">
        <v>68</v>
      </c>
      <c r="BH124" s="1" t="s">
        <v>94</v>
      </c>
      <c r="BI124" s="1" t="s">
        <v>68</v>
      </c>
      <c r="BJ124" s="1" t="s">
        <v>68</v>
      </c>
      <c r="BK124" s="1" t="s">
        <v>95</v>
      </c>
      <c r="BL124" s="1" t="s">
        <v>2886</v>
      </c>
      <c r="BM124" s="1" t="str">
        <f>HYPERLINK("https%3A%2F%2Fwww.webofscience.com%2Fwos%2Fwoscc%2Ffull-record%2FWOS:000726144800001","View Full Record in Web of Science")</f>
        <v>View Full Record in Web of Science</v>
      </c>
    </row>
    <row r="125" ht="12.75" customHeight="1">
      <c r="A125" s="1" t="s">
        <v>65</v>
      </c>
      <c r="B125" s="1" t="s">
        <v>2887</v>
      </c>
      <c r="C125" s="1" t="s">
        <v>2888</v>
      </c>
      <c r="D125" s="1" t="s">
        <v>68</v>
      </c>
      <c r="E125" s="1" t="s">
        <v>2889</v>
      </c>
      <c r="F125" s="1" t="s">
        <v>1194</v>
      </c>
      <c r="G125" s="1" t="s">
        <v>68</v>
      </c>
      <c r="H125" s="1" t="s">
        <v>71</v>
      </c>
      <c r="I125" s="1" t="s">
        <v>72</v>
      </c>
      <c r="J125" s="1" t="s">
        <v>68</v>
      </c>
      <c r="K125" s="1" t="s">
        <v>68</v>
      </c>
      <c r="L125" s="1" t="s">
        <v>68</v>
      </c>
      <c r="M125" s="1" t="s">
        <v>68</v>
      </c>
      <c r="N125" s="1" t="s">
        <v>2890</v>
      </c>
      <c r="O125" s="1" t="s">
        <v>2891</v>
      </c>
      <c r="P125" s="1" t="s">
        <v>2892</v>
      </c>
      <c r="Q125" s="1" t="s">
        <v>2893</v>
      </c>
      <c r="R125" s="1" t="s">
        <v>2894</v>
      </c>
      <c r="S125" s="1" t="s">
        <v>2895</v>
      </c>
      <c r="T125" s="1" t="s">
        <v>2896</v>
      </c>
      <c r="U125" s="1" t="s">
        <v>2897</v>
      </c>
      <c r="V125" s="1" t="s">
        <v>2898</v>
      </c>
      <c r="W125" s="1" t="s">
        <v>2899</v>
      </c>
      <c r="X125" s="1" t="s">
        <v>2900</v>
      </c>
      <c r="Y125" s="1" t="s">
        <v>2899</v>
      </c>
      <c r="Z125" s="1">
        <v>115.0</v>
      </c>
      <c r="AA125" s="1">
        <v>5.0</v>
      </c>
      <c r="AB125" s="1">
        <v>5.0</v>
      </c>
      <c r="AC125" s="1">
        <v>4.0</v>
      </c>
      <c r="AD125" s="1">
        <v>16.0</v>
      </c>
      <c r="AE125" s="1" t="s">
        <v>503</v>
      </c>
      <c r="AF125" s="1" t="s">
        <v>504</v>
      </c>
      <c r="AG125" s="1" t="s">
        <v>505</v>
      </c>
      <c r="AH125" s="1" t="s">
        <v>1203</v>
      </c>
      <c r="AI125" s="1" t="s">
        <v>68</v>
      </c>
      <c r="AJ125" s="1" t="s">
        <v>68</v>
      </c>
      <c r="AK125" s="1" t="s">
        <v>1204</v>
      </c>
      <c r="AL125" s="1" t="s">
        <v>1205</v>
      </c>
      <c r="AM125" s="1" t="s">
        <v>404</v>
      </c>
      <c r="AN125" s="1">
        <v>2023.0</v>
      </c>
      <c r="AO125" s="1">
        <v>13.0</v>
      </c>
      <c r="AP125" s="1">
        <v>9.0</v>
      </c>
      <c r="AQ125" s="1" t="s">
        <v>68</v>
      </c>
      <c r="AR125" s="1" t="s">
        <v>68</v>
      </c>
      <c r="AS125" s="1" t="s">
        <v>68</v>
      </c>
      <c r="AT125" s="1" t="s">
        <v>68</v>
      </c>
      <c r="AU125" s="1" t="s">
        <v>68</v>
      </c>
      <c r="AV125" s="1" t="s">
        <v>68</v>
      </c>
      <c r="AW125" s="1" t="s">
        <v>2901</v>
      </c>
      <c r="AX125" s="1" t="s">
        <v>2902</v>
      </c>
      <c r="AY125" s="3" t="str">
        <f>HYPERLINK("http://dx.doi.org/10.1002/ece3.10484","http://dx.doi.org/10.1002/ece3.10484")</f>
        <v>http://dx.doi.org/10.1002/ece3.10484</v>
      </c>
      <c r="AZ125" s="1" t="s">
        <v>68</v>
      </c>
      <c r="BA125" s="1" t="s">
        <v>68</v>
      </c>
      <c r="BB125" s="1">
        <v>17.0</v>
      </c>
      <c r="BC125" s="1" t="s">
        <v>1209</v>
      </c>
      <c r="BD125" s="1" t="s">
        <v>92</v>
      </c>
      <c r="BE125" s="1" t="s">
        <v>1210</v>
      </c>
      <c r="BF125" s="1" t="s">
        <v>2903</v>
      </c>
      <c r="BG125" s="1">
        <v>3.7664516E7</v>
      </c>
      <c r="BH125" s="1" t="s">
        <v>94</v>
      </c>
      <c r="BI125" s="1" t="s">
        <v>68</v>
      </c>
      <c r="BJ125" s="1" t="s">
        <v>68</v>
      </c>
      <c r="BK125" s="1" t="s">
        <v>95</v>
      </c>
      <c r="BL125" s="1" t="s">
        <v>2904</v>
      </c>
      <c r="BM125" s="1" t="str">
        <f>HYPERLINK("https%3A%2F%2Fwww.webofscience.com%2Fwos%2Fwoscc%2Ffull-record%2FWOS:001060711600001","View Full Record in Web of Science")</f>
        <v>View Full Record in Web of Science</v>
      </c>
    </row>
    <row r="126" ht="12.75" customHeight="1">
      <c r="A126" s="1" t="s">
        <v>65</v>
      </c>
      <c r="B126" s="1" t="s">
        <v>2905</v>
      </c>
      <c r="C126" s="1" t="s">
        <v>2906</v>
      </c>
      <c r="D126" s="1" t="s">
        <v>68</v>
      </c>
      <c r="E126" s="1" t="s">
        <v>2907</v>
      </c>
      <c r="F126" s="1" t="s">
        <v>2908</v>
      </c>
      <c r="G126" s="1" t="s">
        <v>68</v>
      </c>
      <c r="H126" s="1" t="s">
        <v>71</v>
      </c>
      <c r="I126" s="1" t="s">
        <v>72</v>
      </c>
      <c r="J126" s="1" t="s">
        <v>68</v>
      </c>
      <c r="K126" s="1" t="s">
        <v>68</v>
      </c>
      <c r="L126" s="1" t="s">
        <v>68</v>
      </c>
      <c r="M126" s="1" t="s">
        <v>68</v>
      </c>
      <c r="N126" s="1" t="s">
        <v>2909</v>
      </c>
      <c r="O126" s="1" t="s">
        <v>2910</v>
      </c>
      <c r="P126" s="1" t="s">
        <v>2911</v>
      </c>
      <c r="Q126" s="1" t="s">
        <v>2912</v>
      </c>
      <c r="R126" s="1" t="s">
        <v>2913</v>
      </c>
      <c r="S126" s="1" t="s">
        <v>2914</v>
      </c>
      <c r="T126" s="1" t="s">
        <v>2915</v>
      </c>
      <c r="U126" s="1" t="s">
        <v>2916</v>
      </c>
      <c r="V126" s="1" t="s">
        <v>2917</v>
      </c>
      <c r="W126" s="1" t="s">
        <v>2918</v>
      </c>
      <c r="X126" s="1" t="s">
        <v>2919</v>
      </c>
      <c r="Y126" s="1" t="s">
        <v>2920</v>
      </c>
      <c r="Z126" s="1">
        <v>78.0</v>
      </c>
      <c r="AA126" s="1">
        <v>4.0</v>
      </c>
      <c r="AB126" s="1">
        <v>5.0</v>
      </c>
      <c r="AC126" s="1">
        <v>5.0</v>
      </c>
      <c r="AD126" s="1">
        <v>8.0</v>
      </c>
      <c r="AE126" s="1" t="s">
        <v>503</v>
      </c>
      <c r="AF126" s="1" t="s">
        <v>504</v>
      </c>
      <c r="AG126" s="1" t="s">
        <v>505</v>
      </c>
      <c r="AH126" s="1" t="s">
        <v>68</v>
      </c>
      <c r="AI126" s="1" t="s">
        <v>2921</v>
      </c>
      <c r="AJ126" s="1" t="s">
        <v>68</v>
      </c>
      <c r="AK126" s="1" t="s">
        <v>2922</v>
      </c>
      <c r="AL126" s="1" t="s">
        <v>2923</v>
      </c>
      <c r="AM126" s="1" t="s">
        <v>2924</v>
      </c>
      <c r="AN126" s="1">
        <v>2025.0</v>
      </c>
      <c r="AO126" s="1">
        <v>6.0</v>
      </c>
      <c r="AP126" s="1">
        <v>2.0</v>
      </c>
      <c r="AQ126" s="1" t="s">
        <v>68</v>
      </c>
      <c r="AR126" s="1" t="s">
        <v>68</v>
      </c>
      <c r="AS126" s="1" t="s">
        <v>68</v>
      </c>
      <c r="AT126" s="1" t="s">
        <v>68</v>
      </c>
      <c r="AU126" s="1" t="s">
        <v>68</v>
      </c>
      <c r="AV126" s="1" t="s">
        <v>68</v>
      </c>
      <c r="AW126" s="1" t="s">
        <v>2925</v>
      </c>
      <c r="AX126" s="1" t="s">
        <v>2926</v>
      </c>
      <c r="AY126" s="3" t="str">
        <f>HYPERLINK("http://dx.doi.org/10.1002/2688-8319.70040","http://dx.doi.org/10.1002/2688-8319.70040")</f>
        <v>http://dx.doi.org/10.1002/2688-8319.70040</v>
      </c>
      <c r="AZ126" s="1" t="s">
        <v>68</v>
      </c>
      <c r="BA126" s="1" t="s">
        <v>68</v>
      </c>
      <c r="BB126" s="1">
        <v>9.0</v>
      </c>
      <c r="BC126" s="1" t="s">
        <v>332</v>
      </c>
      <c r="BD126" s="1" t="s">
        <v>197</v>
      </c>
      <c r="BE126" s="1" t="s">
        <v>333</v>
      </c>
      <c r="BF126" s="1" t="s">
        <v>2927</v>
      </c>
      <c r="BG126" s="1" t="s">
        <v>68</v>
      </c>
      <c r="BH126" s="1" t="s">
        <v>94</v>
      </c>
      <c r="BI126" s="1" t="s">
        <v>68</v>
      </c>
      <c r="BJ126" s="1" t="s">
        <v>68</v>
      </c>
      <c r="BK126" s="1" t="s">
        <v>95</v>
      </c>
      <c r="BL126" s="1" t="s">
        <v>2928</v>
      </c>
      <c r="BM126" s="1" t="str">
        <f>HYPERLINK("https%3A%2F%2Fwww.webofscience.com%2Fwos%2Fwoscc%2Ffull-record%2FWOS:001488282400001","View Full Record in Web of Science")</f>
        <v>View Full Record in Web of Science</v>
      </c>
    </row>
    <row r="127" ht="12.75" customHeight="1">
      <c r="A127" s="1" t="s">
        <v>65</v>
      </c>
      <c r="B127" s="1" t="s">
        <v>2929</v>
      </c>
      <c r="C127" s="1" t="s">
        <v>2930</v>
      </c>
      <c r="D127" s="1" t="s">
        <v>68</v>
      </c>
      <c r="E127" s="1" t="s">
        <v>2931</v>
      </c>
      <c r="F127" s="1" t="s">
        <v>2932</v>
      </c>
      <c r="G127" s="1" t="s">
        <v>68</v>
      </c>
      <c r="H127" s="1" t="s">
        <v>71</v>
      </c>
      <c r="I127" s="1" t="s">
        <v>72</v>
      </c>
      <c r="J127" s="1" t="s">
        <v>68</v>
      </c>
      <c r="K127" s="1" t="s">
        <v>68</v>
      </c>
      <c r="L127" s="1" t="s">
        <v>68</v>
      </c>
      <c r="M127" s="1" t="s">
        <v>68</v>
      </c>
      <c r="N127" s="1" t="s">
        <v>2933</v>
      </c>
      <c r="O127" s="1" t="s">
        <v>2934</v>
      </c>
      <c r="P127" s="1" t="s">
        <v>2935</v>
      </c>
      <c r="Q127" s="1" t="s">
        <v>2936</v>
      </c>
      <c r="R127" s="1" t="s">
        <v>2937</v>
      </c>
      <c r="S127" s="1" t="s">
        <v>2938</v>
      </c>
      <c r="T127" s="1" t="s">
        <v>2939</v>
      </c>
      <c r="U127" s="1" t="s">
        <v>2940</v>
      </c>
      <c r="V127" s="1" t="s">
        <v>2941</v>
      </c>
      <c r="W127" s="1" t="s">
        <v>2942</v>
      </c>
      <c r="X127" s="1" t="s">
        <v>245</v>
      </c>
      <c r="Y127" s="1" t="s">
        <v>2943</v>
      </c>
      <c r="Z127" s="1">
        <v>16.0</v>
      </c>
      <c r="AA127" s="1">
        <v>0.0</v>
      </c>
      <c r="AB127" s="1">
        <v>1.0</v>
      </c>
      <c r="AC127" s="1">
        <v>0.0</v>
      </c>
      <c r="AD127" s="1">
        <v>38.0</v>
      </c>
      <c r="AE127" s="1" t="s">
        <v>2944</v>
      </c>
      <c r="AF127" s="1" t="s">
        <v>839</v>
      </c>
      <c r="AG127" s="1" t="s">
        <v>2945</v>
      </c>
      <c r="AH127" s="1" t="s">
        <v>2946</v>
      </c>
      <c r="AI127" s="1" t="s">
        <v>2947</v>
      </c>
      <c r="AJ127" s="1" t="s">
        <v>68</v>
      </c>
      <c r="AK127" s="1" t="s">
        <v>2948</v>
      </c>
      <c r="AL127" s="1" t="s">
        <v>2949</v>
      </c>
      <c r="AM127" s="1" t="s">
        <v>224</v>
      </c>
      <c r="AN127" s="1">
        <v>2017.0</v>
      </c>
      <c r="AO127" s="1">
        <v>89.0</v>
      </c>
      <c r="AP127" s="1">
        <v>2.0</v>
      </c>
      <c r="AQ127" s="1" t="s">
        <v>68</v>
      </c>
      <c r="AR127" s="1" t="s">
        <v>68</v>
      </c>
      <c r="AS127" s="1" t="s">
        <v>68</v>
      </c>
      <c r="AT127" s="1" t="s">
        <v>68</v>
      </c>
      <c r="AU127" s="1">
        <v>221.0</v>
      </c>
      <c r="AV127" s="1">
        <v>229.0</v>
      </c>
      <c r="AW127" s="1" t="s">
        <v>68</v>
      </c>
      <c r="AX127" s="1" t="s">
        <v>2950</v>
      </c>
      <c r="AY127" s="3" t="str">
        <f>HYPERLINK("http://dx.doi.org/10.1515/pac-2016-0710","http://dx.doi.org/10.1515/pac-2016-0710")</f>
        <v>http://dx.doi.org/10.1515/pac-2016-0710</v>
      </c>
      <c r="AZ127" s="1" t="s">
        <v>68</v>
      </c>
      <c r="BA127" s="1" t="s">
        <v>68</v>
      </c>
      <c r="BB127" s="1">
        <v>9.0</v>
      </c>
      <c r="BC127" s="1" t="s">
        <v>1146</v>
      </c>
      <c r="BD127" s="1" t="s">
        <v>92</v>
      </c>
      <c r="BE127" s="1" t="s">
        <v>1147</v>
      </c>
      <c r="BF127" s="1" t="s">
        <v>2951</v>
      </c>
      <c r="BG127" s="1" t="s">
        <v>68</v>
      </c>
      <c r="BH127" s="1" t="s">
        <v>867</v>
      </c>
      <c r="BI127" s="1" t="s">
        <v>68</v>
      </c>
      <c r="BJ127" s="1" t="s">
        <v>68</v>
      </c>
      <c r="BK127" s="1" t="s">
        <v>95</v>
      </c>
      <c r="BL127" s="1" t="s">
        <v>2952</v>
      </c>
      <c r="BM127" s="1" t="str">
        <f>HYPERLINK("https%3A%2F%2Fwww.webofscience.com%2Fwos%2Fwoscc%2Ffull-record%2FWOS:000398003700006","View Full Record in Web of Science")</f>
        <v>View Full Record in Web of Science</v>
      </c>
    </row>
    <row r="128" ht="12.75" customHeight="1">
      <c r="A128" s="1" t="s">
        <v>65</v>
      </c>
      <c r="B128" s="1" t="s">
        <v>2953</v>
      </c>
      <c r="C128" s="1" t="s">
        <v>2954</v>
      </c>
      <c r="D128" s="1" t="s">
        <v>68</v>
      </c>
      <c r="E128" s="1" t="s">
        <v>2955</v>
      </c>
      <c r="F128" s="1" t="s">
        <v>2956</v>
      </c>
      <c r="G128" s="1" t="s">
        <v>68</v>
      </c>
      <c r="H128" s="1" t="s">
        <v>71</v>
      </c>
      <c r="I128" s="1" t="s">
        <v>72</v>
      </c>
      <c r="J128" s="1" t="s">
        <v>68</v>
      </c>
      <c r="K128" s="1" t="s">
        <v>68</v>
      </c>
      <c r="L128" s="1" t="s">
        <v>68</v>
      </c>
      <c r="M128" s="1" t="s">
        <v>68</v>
      </c>
      <c r="N128" s="1" t="s">
        <v>2957</v>
      </c>
      <c r="O128" s="1" t="s">
        <v>2958</v>
      </c>
      <c r="P128" s="1" t="s">
        <v>2959</v>
      </c>
      <c r="Q128" s="1" t="s">
        <v>2960</v>
      </c>
      <c r="R128" s="1" t="s">
        <v>2961</v>
      </c>
      <c r="S128" s="1" t="s">
        <v>2962</v>
      </c>
      <c r="T128" s="1" t="s">
        <v>2963</v>
      </c>
      <c r="U128" s="1" t="s">
        <v>2964</v>
      </c>
      <c r="V128" s="1" t="s">
        <v>2965</v>
      </c>
      <c r="W128" s="1" t="s">
        <v>2966</v>
      </c>
      <c r="X128" s="1" t="s">
        <v>2967</v>
      </c>
      <c r="Y128" s="1" t="s">
        <v>2968</v>
      </c>
      <c r="Z128" s="1">
        <v>54.0</v>
      </c>
      <c r="AA128" s="1">
        <v>13.0</v>
      </c>
      <c r="AB128" s="1">
        <v>14.0</v>
      </c>
      <c r="AC128" s="1">
        <v>1.0</v>
      </c>
      <c r="AD128" s="1">
        <v>18.0</v>
      </c>
      <c r="AE128" s="1" t="s">
        <v>247</v>
      </c>
      <c r="AF128" s="1" t="s">
        <v>248</v>
      </c>
      <c r="AG128" s="1" t="s">
        <v>249</v>
      </c>
      <c r="AH128" s="1" t="s">
        <v>68</v>
      </c>
      <c r="AI128" s="1" t="s">
        <v>2969</v>
      </c>
      <c r="AJ128" s="1" t="s">
        <v>68</v>
      </c>
      <c r="AK128" s="1" t="s">
        <v>2970</v>
      </c>
      <c r="AL128" s="1" t="s">
        <v>2971</v>
      </c>
      <c r="AM128" s="1" t="s">
        <v>2194</v>
      </c>
      <c r="AN128" s="1">
        <v>2021.0</v>
      </c>
      <c r="AO128" s="1">
        <v>13.0</v>
      </c>
      <c r="AP128" s="1">
        <v>7.0</v>
      </c>
      <c r="AQ128" s="1" t="s">
        <v>68</v>
      </c>
      <c r="AR128" s="1" t="s">
        <v>68</v>
      </c>
      <c r="AS128" s="1" t="s">
        <v>68</v>
      </c>
      <c r="AT128" s="1" t="s">
        <v>68</v>
      </c>
      <c r="AU128" s="1" t="s">
        <v>68</v>
      </c>
      <c r="AV128" s="1" t="s">
        <v>68</v>
      </c>
      <c r="AW128" s="1">
        <v>949.0</v>
      </c>
      <c r="AX128" s="1" t="s">
        <v>2972</v>
      </c>
      <c r="AY128" s="3" t="str">
        <f>HYPERLINK("http://dx.doi.org/10.3390/w13070949","http://dx.doi.org/10.3390/w13070949")</f>
        <v>http://dx.doi.org/10.3390/w13070949</v>
      </c>
      <c r="AZ128" s="1" t="s">
        <v>68</v>
      </c>
      <c r="BA128" s="1" t="s">
        <v>68</v>
      </c>
      <c r="BB128" s="1">
        <v>22.0</v>
      </c>
      <c r="BC128" s="1" t="s">
        <v>2973</v>
      </c>
      <c r="BD128" s="1" t="s">
        <v>92</v>
      </c>
      <c r="BE128" s="1" t="s">
        <v>2974</v>
      </c>
      <c r="BF128" s="1" t="s">
        <v>2975</v>
      </c>
      <c r="BG128" s="1" t="s">
        <v>68</v>
      </c>
      <c r="BH128" s="1" t="s">
        <v>94</v>
      </c>
      <c r="BI128" s="1" t="s">
        <v>68</v>
      </c>
      <c r="BJ128" s="1" t="s">
        <v>68</v>
      </c>
      <c r="BK128" s="1" t="s">
        <v>95</v>
      </c>
      <c r="BL128" s="1" t="s">
        <v>2976</v>
      </c>
      <c r="BM128" s="1" t="str">
        <f>HYPERLINK("https%3A%2F%2Fwww.webofscience.com%2Fwos%2Fwoscc%2Ffull-record%2FWOS:000638940800001","View Full Record in Web of Science")</f>
        <v>View Full Record in Web of Science</v>
      </c>
    </row>
    <row r="129" ht="12.75" customHeight="1">
      <c r="A129" s="1" t="s">
        <v>65</v>
      </c>
      <c r="B129" s="1" t="s">
        <v>2977</v>
      </c>
      <c r="C129" s="1" t="s">
        <v>2978</v>
      </c>
      <c r="D129" s="1" t="s">
        <v>68</v>
      </c>
      <c r="E129" s="1" t="s">
        <v>2979</v>
      </c>
      <c r="F129" s="1" t="s">
        <v>2980</v>
      </c>
      <c r="G129" s="1" t="s">
        <v>68</v>
      </c>
      <c r="H129" s="1" t="s">
        <v>71</v>
      </c>
      <c r="I129" s="1" t="s">
        <v>72</v>
      </c>
      <c r="J129" s="1" t="s">
        <v>68</v>
      </c>
      <c r="K129" s="1" t="s">
        <v>68</v>
      </c>
      <c r="L129" s="1" t="s">
        <v>68</v>
      </c>
      <c r="M129" s="1" t="s">
        <v>68</v>
      </c>
      <c r="N129" s="1" t="s">
        <v>2981</v>
      </c>
      <c r="O129" s="1" t="s">
        <v>2982</v>
      </c>
      <c r="P129" s="1" t="s">
        <v>2983</v>
      </c>
      <c r="Q129" s="1" t="s">
        <v>2984</v>
      </c>
      <c r="R129" s="1" t="s">
        <v>2985</v>
      </c>
      <c r="S129" s="1" t="s">
        <v>2986</v>
      </c>
      <c r="T129" s="1" t="s">
        <v>2987</v>
      </c>
      <c r="U129" s="1" t="s">
        <v>2988</v>
      </c>
      <c r="V129" s="1" t="s">
        <v>2989</v>
      </c>
      <c r="W129" s="1" t="s">
        <v>2990</v>
      </c>
      <c r="X129" s="1" t="s">
        <v>2991</v>
      </c>
      <c r="Y129" s="1" t="s">
        <v>2992</v>
      </c>
      <c r="Z129" s="1">
        <v>41.0</v>
      </c>
      <c r="AA129" s="1">
        <v>15.0</v>
      </c>
      <c r="AB129" s="1">
        <v>15.0</v>
      </c>
      <c r="AC129" s="1">
        <v>0.0</v>
      </c>
      <c r="AD129" s="1">
        <v>30.0</v>
      </c>
      <c r="AE129" s="1" t="s">
        <v>114</v>
      </c>
      <c r="AF129" s="1" t="s">
        <v>115</v>
      </c>
      <c r="AG129" s="1" t="s">
        <v>2993</v>
      </c>
      <c r="AH129" s="1" t="s">
        <v>2994</v>
      </c>
      <c r="AI129" s="1" t="s">
        <v>2995</v>
      </c>
      <c r="AJ129" s="1" t="s">
        <v>68</v>
      </c>
      <c r="AK129" s="1" t="s">
        <v>2996</v>
      </c>
      <c r="AL129" s="1" t="s">
        <v>2997</v>
      </c>
      <c r="AM129" s="1" t="s">
        <v>2998</v>
      </c>
      <c r="AN129" s="1">
        <v>2020.0</v>
      </c>
      <c r="AO129" s="1">
        <v>66.0</v>
      </c>
      <c r="AP129" s="1">
        <v>3.0</v>
      </c>
      <c r="AQ129" s="1" t="s">
        <v>68</v>
      </c>
      <c r="AR129" s="1" t="s">
        <v>68</v>
      </c>
      <c r="AS129" s="1" t="s">
        <v>68</v>
      </c>
      <c r="AT129" s="1" t="s">
        <v>68</v>
      </c>
      <c r="AU129" s="1" t="s">
        <v>68</v>
      </c>
      <c r="AV129" s="1" t="s">
        <v>68</v>
      </c>
      <c r="AW129" s="1">
        <v>46.0</v>
      </c>
      <c r="AX129" s="1" t="s">
        <v>2999</v>
      </c>
      <c r="AY129" s="3" t="str">
        <f>HYPERLINK("http://dx.doi.org/10.1007/s10344-020-01383-0","http://dx.doi.org/10.1007/s10344-020-01383-0")</f>
        <v>http://dx.doi.org/10.1007/s10344-020-01383-0</v>
      </c>
      <c r="AZ129" s="1" t="s">
        <v>68</v>
      </c>
      <c r="BA129" s="1" t="s">
        <v>68</v>
      </c>
      <c r="BB129" s="1">
        <v>9.0</v>
      </c>
      <c r="BC129" s="1" t="s">
        <v>766</v>
      </c>
      <c r="BD129" s="1" t="s">
        <v>92</v>
      </c>
      <c r="BE129" s="1" t="s">
        <v>767</v>
      </c>
      <c r="BF129" s="1" t="s">
        <v>3000</v>
      </c>
      <c r="BG129" s="1" t="s">
        <v>68</v>
      </c>
      <c r="BH129" s="1" t="s">
        <v>68</v>
      </c>
      <c r="BI129" s="1" t="s">
        <v>68</v>
      </c>
      <c r="BJ129" s="1" t="s">
        <v>68</v>
      </c>
      <c r="BK129" s="1" t="s">
        <v>95</v>
      </c>
      <c r="BL129" s="1" t="s">
        <v>3001</v>
      </c>
      <c r="BM129" s="1" t="str">
        <f>HYPERLINK("https%3A%2F%2Fwww.webofscience.com%2Fwos%2Fwoscc%2Ffull-record%2FWOS:000537725400001","View Full Record in Web of Science")</f>
        <v>View Full Record in Web of Science</v>
      </c>
    </row>
    <row r="130" ht="12.75" customHeight="1">
      <c r="A130" s="1" t="s">
        <v>65</v>
      </c>
      <c r="B130" s="1" t="s">
        <v>3002</v>
      </c>
      <c r="C130" s="1" t="s">
        <v>3003</v>
      </c>
      <c r="D130" s="1" t="s">
        <v>68</v>
      </c>
      <c r="E130" s="1" t="s">
        <v>3004</v>
      </c>
      <c r="F130" s="1" t="s">
        <v>3005</v>
      </c>
      <c r="G130" s="1" t="s">
        <v>68</v>
      </c>
      <c r="H130" s="1" t="s">
        <v>71</v>
      </c>
      <c r="I130" s="1" t="s">
        <v>72</v>
      </c>
      <c r="J130" s="1" t="s">
        <v>68</v>
      </c>
      <c r="K130" s="1" t="s">
        <v>68</v>
      </c>
      <c r="L130" s="1" t="s">
        <v>68</v>
      </c>
      <c r="M130" s="1" t="s">
        <v>68</v>
      </c>
      <c r="N130" s="1" t="s">
        <v>3006</v>
      </c>
      <c r="O130" s="1" t="s">
        <v>3007</v>
      </c>
      <c r="P130" s="1" t="s">
        <v>3008</v>
      </c>
      <c r="Q130" s="1" t="s">
        <v>3009</v>
      </c>
      <c r="R130" s="1" t="s">
        <v>3010</v>
      </c>
      <c r="S130" s="1" t="s">
        <v>3011</v>
      </c>
      <c r="T130" s="1" t="s">
        <v>3012</v>
      </c>
      <c r="U130" s="1" t="s">
        <v>3013</v>
      </c>
      <c r="V130" s="1" t="s">
        <v>3014</v>
      </c>
      <c r="W130" s="1" t="s">
        <v>3015</v>
      </c>
      <c r="X130" s="1" t="s">
        <v>3015</v>
      </c>
      <c r="Y130" s="1" t="s">
        <v>3016</v>
      </c>
      <c r="Z130" s="1">
        <v>49.0</v>
      </c>
      <c r="AA130" s="1">
        <v>3.0</v>
      </c>
      <c r="AB130" s="1">
        <v>4.0</v>
      </c>
      <c r="AC130" s="1">
        <v>2.0</v>
      </c>
      <c r="AD130" s="1">
        <v>6.0</v>
      </c>
      <c r="AE130" s="1" t="s">
        <v>503</v>
      </c>
      <c r="AF130" s="1" t="s">
        <v>504</v>
      </c>
      <c r="AG130" s="1" t="s">
        <v>505</v>
      </c>
      <c r="AH130" s="1" t="s">
        <v>3017</v>
      </c>
      <c r="AI130" s="1" t="s">
        <v>3018</v>
      </c>
      <c r="AJ130" s="1" t="s">
        <v>68</v>
      </c>
      <c r="AK130" s="1" t="s">
        <v>3005</v>
      </c>
      <c r="AL130" s="1" t="s">
        <v>3019</v>
      </c>
      <c r="AM130" s="1" t="s">
        <v>428</v>
      </c>
      <c r="AN130" s="1">
        <v>2023.0</v>
      </c>
      <c r="AO130" s="1">
        <v>165.0</v>
      </c>
      <c r="AP130" s="1">
        <v>4.0</v>
      </c>
      <c r="AQ130" s="1" t="s">
        <v>68</v>
      </c>
      <c r="AR130" s="1" t="s">
        <v>68</v>
      </c>
      <c r="AS130" s="1" t="s">
        <v>68</v>
      </c>
      <c r="AT130" s="1" t="s">
        <v>68</v>
      </c>
      <c r="AU130" s="1">
        <v>1423.0</v>
      </c>
      <c r="AV130" s="1">
        <v>1431.0</v>
      </c>
      <c r="AW130" s="1" t="s">
        <v>68</v>
      </c>
      <c r="AX130" s="1" t="s">
        <v>3020</v>
      </c>
      <c r="AY130" s="3" t="str">
        <f>HYPERLINK("http://dx.doi.org/10.1111/ibi.13201","http://dx.doi.org/10.1111/ibi.13201")</f>
        <v>http://dx.doi.org/10.1111/ibi.13201</v>
      </c>
      <c r="AZ130" s="1" t="s">
        <v>68</v>
      </c>
      <c r="BA130" s="1" t="s">
        <v>459</v>
      </c>
      <c r="BB130" s="1">
        <v>9.0</v>
      </c>
      <c r="BC130" s="1" t="s">
        <v>3021</v>
      </c>
      <c r="BD130" s="1" t="s">
        <v>92</v>
      </c>
      <c r="BE130" s="1" t="s">
        <v>933</v>
      </c>
      <c r="BF130" s="1" t="s">
        <v>3022</v>
      </c>
      <c r="BG130" s="1" t="s">
        <v>68</v>
      </c>
      <c r="BH130" s="1" t="s">
        <v>867</v>
      </c>
      <c r="BI130" s="1" t="s">
        <v>68</v>
      </c>
      <c r="BJ130" s="1" t="s">
        <v>68</v>
      </c>
      <c r="BK130" s="1" t="s">
        <v>95</v>
      </c>
      <c r="BL130" s="1" t="s">
        <v>3023</v>
      </c>
      <c r="BM130" s="1" t="str">
        <f>HYPERLINK("https%3A%2F%2Fwww.webofscience.com%2Fwos%2Fwoscc%2Ffull-record%2FWOS:000947131700001","View Full Record in Web of Science")</f>
        <v>View Full Record in Web of Science</v>
      </c>
    </row>
    <row r="131" ht="12.75" customHeight="1">
      <c r="A131" s="1" t="s">
        <v>65</v>
      </c>
      <c r="B131" s="1" t="s">
        <v>3024</v>
      </c>
      <c r="C131" s="1" t="s">
        <v>3025</v>
      </c>
      <c r="D131" s="1" t="s">
        <v>68</v>
      </c>
      <c r="E131" s="1" t="s">
        <v>3026</v>
      </c>
      <c r="F131" s="1" t="s">
        <v>3027</v>
      </c>
      <c r="G131" s="1" t="s">
        <v>68</v>
      </c>
      <c r="H131" s="1" t="s">
        <v>71</v>
      </c>
      <c r="I131" s="1" t="s">
        <v>72</v>
      </c>
      <c r="J131" s="1" t="s">
        <v>68</v>
      </c>
      <c r="K131" s="1" t="s">
        <v>68</v>
      </c>
      <c r="L131" s="1" t="s">
        <v>68</v>
      </c>
      <c r="M131" s="1" t="s">
        <v>68</v>
      </c>
      <c r="N131" s="1" t="s">
        <v>3028</v>
      </c>
      <c r="O131" s="1" t="s">
        <v>3029</v>
      </c>
      <c r="P131" s="1" t="s">
        <v>3030</v>
      </c>
      <c r="Q131" s="1" t="s">
        <v>3031</v>
      </c>
      <c r="R131" s="1" t="s">
        <v>3032</v>
      </c>
      <c r="S131" s="1" t="s">
        <v>3033</v>
      </c>
      <c r="T131" s="1" t="s">
        <v>3034</v>
      </c>
      <c r="U131" s="1" t="s">
        <v>3035</v>
      </c>
      <c r="V131" s="1" t="s">
        <v>3036</v>
      </c>
      <c r="W131" s="1" t="s">
        <v>3037</v>
      </c>
      <c r="X131" s="1" t="s">
        <v>3037</v>
      </c>
      <c r="Y131" s="1" t="s">
        <v>3038</v>
      </c>
      <c r="Z131" s="1">
        <v>38.0</v>
      </c>
      <c r="AA131" s="1">
        <v>32.0</v>
      </c>
      <c r="AB131" s="1">
        <v>37.0</v>
      </c>
      <c r="AC131" s="1">
        <v>2.0</v>
      </c>
      <c r="AD131" s="1">
        <v>98.0</v>
      </c>
      <c r="AE131" s="1" t="s">
        <v>450</v>
      </c>
      <c r="AF131" s="1" t="s">
        <v>451</v>
      </c>
      <c r="AG131" s="1" t="s">
        <v>452</v>
      </c>
      <c r="AH131" s="1" t="s">
        <v>3039</v>
      </c>
      <c r="AI131" s="1" t="s">
        <v>3040</v>
      </c>
      <c r="AJ131" s="1" t="s">
        <v>68</v>
      </c>
      <c r="AK131" s="1" t="s">
        <v>3041</v>
      </c>
      <c r="AL131" s="1" t="s">
        <v>3042</v>
      </c>
      <c r="AM131" s="1" t="s">
        <v>252</v>
      </c>
      <c r="AN131" s="1">
        <v>2015.0</v>
      </c>
      <c r="AO131" s="1">
        <v>26.0</v>
      </c>
      <c r="AP131" s="1" t="s">
        <v>68</v>
      </c>
      <c r="AQ131" s="1" t="s">
        <v>68</v>
      </c>
      <c r="AR131" s="1" t="s">
        <v>68</v>
      </c>
      <c r="AS131" s="1" t="s">
        <v>68</v>
      </c>
      <c r="AT131" s="1" t="s">
        <v>68</v>
      </c>
      <c r="AU131" s="1">
        <v>45.0</v>
      </c>
      <c r="AV131" s="1">
        <v>48.0</v>
      </c>
      <c r="AW131" s="1" t="s">
        <v>68</v>
      </c>
      <c r="AX131" s="1" t="s">
        <v>3043</v>
      </c>
      <c r="AY131" s="3" t="str">
        <f>HYPERLINK("http://dx.doi.org/10.1016/j.jnc.2015.05.001","http://dx.doi.org/10.1016/j.jnc.2015.05.001")</f>
        <v>http://dx.doi.org/10.1016/j.jnc.2015.05.001</v>
      </c>
      <c r="AZ131" s="1" t="s">
        <v>68</v>
      </c>
      <c r="BA131" s="1" t="s">
        <v>68</v>
      </c>
      <c r="BB131" s="1">
        <v>4.0</v>
      </c>
      <c r="BC131" s="1" t="s">
        <v>1011</v>
      </c>
      <c r="BD131" s="1" t="s">
        <v>279</v>
      </c>
      <c r="BE131" s="1" t="s">
        <v>123</v>
      </c>
      <c r="BF131" s="1" t="s">
        <v>3044</v>
      </c>
      <c r="BG131" s="1" t="s">
        <v>68</v>
      </c>
      <c r="BH131" s="1" t="s">
        <v>68</v>
      </c>
      <c r="BI131" s="1" t="s">
        <v>68</v>
      </c>
      <c r="BJ131" s="1" t="s">
        <v>68</v>
      </c>
      <c r="BK131" s="1" t="s">
        <v>95</v>
      </c>
      <c r="BL131" s="1" t="s">
        <v>3045</v>
      </c>
      <c r="BM131" s="1" t="str">
        <f>HYPERLINK("https%3A%2F%2Fwww.webofscience.com%2Fwos%2Fwoscc%2Ffull-record%2FWOS:000358100200006","View Full Record in Web of Science")</f>
        <v>View Full Record in Web of Science</v>
      </c>
    </row>
    <row r="132" ht="12.75" customHeight="1">
      <c r="A132" s="1" t="s">
        <v>65</v>
      </c>
      <c r="B132" s="1" t="s">
        <v>3046</v>
      </c>
      <c r="C132" s="1" t="s">
        <v>3047</v>
      </c>
      <c r="D132" s="1" t="s">
        <v>68</v>
      </c>
      <c r="E132" s="1" t="s">
        <v>3048</v>
      </c>
      <c r="F132" s="1" t="s">
        <v>826</v>
      </c>
      <c r="G132" s="1" t="s">
        <v>68</v>
      </c>
      <c r="H132" s="1" t="s">
        <v>71</v>
      </c>
      <c r="I132" s="1" t="s">
        <v>72</v>
      </c>
      <c r="J132" s="1" t="s">
        <v>68</v>
      </c>
      <c r="K132" s="1" t="s">
        <v>68</v>
      </c>
      <c r="L132" s="1" t="s">
        <v>68</v>
      </c>
      <c r="M132" s="1" t="s">
        <v>68</v>
      </c>
      <c r="N132" s="1" t="s">
        <v>3049</v>
      </c>
      <c r="O132" s="1" t="s">
        <v>3050</v>
      </c>
      <c r="P132" s="1" t="s">
        <v>3051</v>
      </c>
      <c r="Q132" s="1" t="s">
        <v>3052</v>
      </c>
      <c r="R132" s="1" t="s">
        <v>3053</v>
      </c>
      <c r="S132" s="1" t="s">
        <v>3054</v>
      </c>
      <c r="T132" s="1" t="s">
        <v>3055</v>
      </c>
      <c r="U132" s="1" t="s">
        <v>3056</v>
      </c>
      <c r="V132" s="1" t="s">
        <v>3057</v>
      </c>
      <c r="W132" s="1" t="s">
        <v>3058</v>
      </c>
      <c r="X132" s="1" t="s">
        <v>3059</v>
      </c>
      <c r="Y132" s="1" t="s">
        <v>3060</v>
      </c>
      <c r="Z132" s="1">
        <v>62.0</v>
      </c>
      <c r="AA132" s="1">
        <v>2.0</v>
      </c>
      <c r="AB132" s="1">
        <v>2.0</v>
      </c>
      <c r="AC132" s="1">
        <v>1.0</v>
      </c>
      <c r="AD132" s="1">
        <v>11.0</v>
      </c>
      <c r="AE132" s="1" t="s">
        <v>838</v>
      </c>
      <c r="AF132" s="1" t="s">
        <v>839</v>
      </c>
      <c r="AG132" s="1" t="s">
        <v>840</v>
      </c>
      <c r="AH132" s="1" t="s">
        <v>841</v>
      </c>
      <c r="AI132" s="1" t="s">
        <v>68</v>
      </c>
      <c r="AJ132" s="1" t="s">
        <v>68</v>
      </c>
      <c r="AK132" s="1" t="s">
        <v>842</v>
      </c>
      <c r="AL132" s="1" t="s">
        <v>843</v>
      </c>
      <c r="AM132" s="1" t="s">
        <v>3061</v>
      </c>
      <c r="AN132" s="1">
        <v>2024.0</v>
      </c>
      <c r="AO132" s="1">
        <v>14.0</v>
      </c>
      <c r="AP132" s="1">
        <v>1.0</v>
      </c>
      <c r="AQ132" s="1" t="s">
        <v>68</v>
      </c>
      <c r="AR132" s="1" t="s">
        <v>68</v>
      </c>
      <c r="AS132" s="1" t="s">
        <v>68</v>
      </c>
      <c r="AT132" s="1" t="s">
        <v>68</v>
      </c>
      <c r="AU132" s="1" t="s">
        <v>68</v>
      </c>
      <c r="AV132" s="1" t="s">
        <v>68</v>
      </c>
      <c r="AW132" s="1">
        <v>20307.0</v>
      </c>
      <c r="AX132" s="1" t="s">
        <v>3062</v>
      </c>
      <c r="AY132" s="3" t="str">
        <f>HYPERLINK("http://dx.doi.org/10.1038/s41598-024-70827-3","http://dx.doi.org/10.1038/s41598-024-70827-3")</f>
        <v>http://dx.doi.org/10.1038/s41598-024-70827-3</v>
      </c>
      <c r="AZ132" s="1" t="s">
        <v>68</v>
      </c>
      <c r="BA132" s="1" t="s">
        <v>68</v>
      </c>
      <c r="BB132" s="1">
        <v>17.0</v>
      </c>
      <c r="BC132" s="1" t="s">
        <v>742</v>
      </c>
      <c r="BD132" s="1" t="s">
        <v>92</v>
      </c>
      <c r="BE132" s="1" t="s">
        <v>743</v>
      </c>
      <c r="BF132" s="1" t="s">
        <v>3063</v>
      </c>
      <c r="BG132" s="1">
        <v>3.9218966E7</v>
      </c>
      <c r="BH132" s="1" t="s">
        <v>94</v>
      </c>
      <c r="BI132" s="1" t="s">
        <v>68</v>
      </c>
      <c r="BJ132" s="1" t="s">
        <v>68</v>
      </c>
      <c r="BK132" s="1" t="s">
        <v>95</v>
      </c>
      <c r="BL132" s="1" t="s">
        <v>3064</v>
      </c>
      <c r="BM132" s="1" t="str">
        <f>HYPERLINK("https%3A%2F%2Fwww.webofscience.com%2Fwos%2Fwoscc%2Ffull-record%2FWOS:001302626200007","View Full Record in Web of Science")</f>
        <v>View Full Record in Web of Science</v>
      </c>
    </row>
    <row r="133" ht="12.75" customHeight="1">
      <c r="A133" s="1" t="s">
        <v>65</v>
      </c>
      <c r="B133" s="1" t="s">
        <v>3065</v>
      </c>
      <c r="C133" s="1" t="s">
        <v>3066</v>
      </c>
      <c r="D133" s="1" t="s">
        <v>68</v>
      </c>
      <c r="E133" s="1" t="s">
        <v>3067</v>
      </c>
      <c r="F133" s="1" t="s">
        <v>3068</v>
      </c>
      <c r="G133" s="1" t="s">
        <v>68</v>
      </c>
      <c r="H133" s="1" t="s">
        <v>71</v>
      </c>
      <c r="I133" s="1" t="s">
        <v>101</v>
      </c>
      <c r="J133" s="1" t="s">
        <v>68</v>
      </c>
      <c r="K133" s="1" t="s">
        <v>68</v>
      </c>
      <c r="L133" s="1" t="s">
        <v>68</v>
      </c>
      <c r="M133" s="1" t="s">
        <v>68</v>
      </c>
      <c r="N133" s="1" t="s">
        <v>3069</v>
      </c>
      <c r="O133" s="1" t="s">
        <v>3070</v>
      </c>
      <c r="P133" s="1" t="s">
        <v>3071</v>
      </c>
      <c r="Q133" s="1" t="s">
        <v>3072</v>
      </c>
      <c r="R133" s="1" t="s">
        <v>3073</v>
      </c>
      <c r="S133" s="1" t="s">
        <v>3074</v>
      </c>
      <c r="T133" s="1" t="s">
        <v>3075</v>
      </c>
      <c r="U133" s="1" t="s">
        <v>3076</v>
      </c>
      <c r="V133" s="1" t="s">
        <v>3077</v>
      </c>
      <c r="W133" s="1" t="s">
        <v>3078</v>
      </c>
      <c r="X133" s="1" t="s">
        <v>3078</v>
      </c>
      <c r="Y133" s="1" t="s">
        <v>3079</v>
      </c>
      <c r="Z133" s="1">
        <v>98.0</v>
      </c>
      <c r="AA133" s="1">
        <v>1.0</v>
      </c>
      <c r="AB133" s="1">
        <v>1.0</v>
      </c>
      <c r="AC133" s="1">
        <v>12.0</v>
      </c>
      <c r="AD133" s="1">
        <v>12.0</v>
      </c>
      <c r="AE133" s="1" t="s">
        <v>114</v>
      </c>
      <c r="AF133" s="1" t="s">
        <v>1505</v>
      </c>
      <c r="AG133" s="1" t="s">
        <v>1506</v>
      </c>
      <c r="AH133" s="1" t="s">
        <v>3080</v>
      </c>
      <c r="AI133" s="1" t="s">
        <v>3081</v>
      </c>
      <c r="AJ133" s="1" t="s">
        <v>68</v>
      </c>
      <c r="AK133" s="1" t="s">
        <v>3082</v>
      </c>
      <c r="AL133" s="1" t="s">
        <v>3083</v>
      </c>
      <c r="AM133" s="1" t="s">
        <v>3084</v>
      </c>
      <c r="AN133" s="1">
        <v>2025.0</v>
      </c>
      <c r="AO133" s="1">
        <v>40.0</v>
      </c>
      <c r="AP133" s="1">
        <v>9.0</v>
      </c>
      <c r="AQ133" s="1" t="s">
        <v>68</v>
      </c>
      <c r="AR133" s="1" t="s">
        <v>68</v>
      </c>
      <c r="AS133" s="1" t="s">
        <v>68</v>
      </c>
      <c r="AT133" s="1" t="s">
        <v>68</v>
      </c>
      <c r="AU133" s="1" t="s">
        <v>68</v>
      </c>
      <c r="AV133" s="1" t="s">
        <v>68</v>
      </c>
      <c r="AW133" s="1">
        <v>181.0</v>
      </c>
      <c r="AX133" s="1" t="s">
        <v>3085</v>
      </c>
      <c r="AY133" s="3" t="str">
        <f>HYPERLINK("http://dx.doi.org/10.1007/s10980-025-02155-4","http://dx.doi.org/10.1007/s10980-025-02155-4")</f>
        <v>http://dx.doi.org/10.1007/s10980-025-02155-4</v>
      </c>
      <c r="AZ133" s="1" t="s">
        <v>68</v>
      </c>
      <c r="BA133" s="1" t="s">
        <v>68</v>
      </c>
      <c r="BB133" s="1">
        <v>14.0</v>
      </c>
      <c r="BC133" s="1" t="s">
        <v>3086</v>
      </c>
      <c r="BD133" s="1" t="s">
        <v>92</v>
      </c>
      <c r="BE133" s="1" t="s">
        <v>724</v>
      </c>
      <c r="BF133" s="1" t="s">
        <v>3087</v>
      </c>
      <c r="BG133" s="1">
        <v>4.0881163E7</v>
      </c>
      <c r="BH133" s="1" t="s">
        <v>644</v>
      </c>
      <c r="BI133" s="1" t="s">
        <v>68</v>
      </c>
      <c r="BJ133" s="1" t="s">
        <v>68</v>
      </c>
      <c r="BK133" s="1" t="s">
        <v>95</v>
      </c>
      <c r="BL133" s="1" t="s">
        <v>3088</v>
      </c>
      <c r="BM133" s="1" t="str">
        <f>HYPERLINK("https%3A%2F%2Fwww.webofscience.com%2Fwos%2Fwoscc%2Ffull-record%2FWOS:001557031700001","View Full Record in Web of Science")</f>
        <v>View Full Record in Web of Science</v>
      </c>
    </row>
    <row r="134" ht="12.75" customHeight="1">
      <c r="A134" s="1" t="s">
        <v>65</v>
      </c>
      <c r="B134" s="1" t="s">
        <v>3089</v>
      </c>
      <c r="C134" s="1" t="s">
        <v>3090</v>
      </c>
      <c r="D134" s="1" t="s">
        <v>68</v>
      </c>
      <c r="E134" s="1" t="s">
        <v>3091</v>
      </c>
      <c r="F134" s="1" t="s">
        <v>2956</v>
      </c>
      <c r="G134" s="1" t="s">
        <v>68</v>
      </c>
      <c r="H134" s="1" t="s">
        <v>71</v>
      </c>
      <c r="I134" s="1" t="s">
        <v>72</v>
      </c>
      <c r="J134" s="1" t="s">
        <v>68</v>
      </c>
      <c r="K134" s="1" t="s">
        <v>68</v>
      </c>
      <c r="L134" s="1" t="s">
        <v>68</v>
      </c>
      <c r="M134" s="1" t="s">
        <v>68</v>
      </c>
      <c r="N134" s="1" t="s">
        <v>3092</v>
      </c>
      <c r="O134" s="1" t="s">
        <v>3093</v>
      </c>
      <c r="P134" s="1" t="s">
        <v>3094</v>
      </c>
      <c r="Q134" s="1" t="s">
        <v>3095</v>
      </c>
      <c r="R134" s="1" t="s">
        <v>3096</v>
      </c>
      <c r="S134" s="1" t="s">
        <v>3097</v>
      </c>
      <c r="T134" s="1" t="s">
        <v>3098</v>
      </c>
      <c r="U134" s="1" t="s">
        <v>3099</v>
      </c>
      <c r="V134" s="1" t="s">
        <v>3100</v>
      </c>
      <c r="W134" s="1" t="s">
        <v>68</v>
      </c>
      <c r="X134" s="1" t="s">
        <v>68</v>
      </c>
      <c r="Y134" s="1" t="s">
        <v>68</v>
      </c>
      <c r="Z134" s="1">
        <v>72.0</v>
      </c>
      <c r="AA134" s="1">
        <v>27.0</v>
      </c>
      <c r="AB134" s="1">
        <v>30.0</v>
      </c>
      <c r="AC134" s="1">
        <v>1.0</v>
      </c>
      <c r="AD134" s="1">
        <v>35.0</v>
      </c>
      <c r="AE134" s="1" t="s">
        <v>247</v>
      </c>
      <c r="AF134" s="1" t="s">
        <v>248</v>
      </c>
      <c r="AG134" s="1" t="s">
        <v>351</v>
      </c>
      <c r="AH134" s="1" t="s">
        <v>68</v>
      </c>
      <c r="AI134" s="1" t="s">
        <v>2969</v>
      </c>
      <c r="AJ134" s="1" t="s">
        <v>68</v>
      </c>
      <c r="AK134" s="1" t="s">
        <v>2970</v>
      </c>
      <c r="AL134" s="1" t="s">
        <v>2971</v>
      </c>
      <c r="AM134" s="1" t="s">
        <v>252</v>
      </c>
      <c r="AN134" s="1">
        <v>2018.0</v>
      </c>
      <c r="AO134" s="1">
        <v>10.0</v>
      </c>
      <c r="AP134" s="1">
        <v>7.0</v>
      </c>
      <c r="AQ134" s="1" t="s">
        <v>68</v>
      </c>
      <c r="AR134" s="1" t="s">
        <v>68</v>
      </c>
      <c r="AS134" s="1" t="s">
        <v>68</v>
      </c>
      <c r="AT134" s="1" t="s">
        <v>68</v>
      </c>
      <c r="AU134" s="1" t="s">
        <v>68</v>
      </c>
      <c r="AV134" s="1" t="s">
        <v>68</v>
      </c>
      <c r="AW134" s="1">
        <v>839.0</v>
      </c>
      <c r="AX134" s="1" t="s">
        <v>3101</v>
      </c>
      <c r="AY134" s="3" t="str">
        <f>HYPERLINK("http://dx.doi.org/10.3390/w10070839","http://dx.doi.org/10.3390/w10070839")</f>
        <v>http://dx.doi.org/10.3390/w10070839</v>
      </c>
      <c r="AZ134" s="1" t="s">
        <v>68</v>
      </c>
      <c r="BA134" s="1" t="s">
        <v>68</v>
      </c>
      <c r="BB134" s="1">
        <v>15.0</v>
      </c>
      <c r="BC134" s="1" t="s">
        <v>2973</v>
      </c>
      <c r="BD134" s="1" t="s">
        <v>92</v>
      </c>
      <c r="BE134" s="1" t="s">
        <v>2974</v>
      </c>
      <c r="BF134" s="1" t="s">
        <v>3102</v>
      </c>
      <c r="BG134" s="1" t="s">
        <v>68</v>
      </c>
      <c r="BH134" s="1" t="s">
        <v>672</v>
      </c>
      <c r="BI134" s="1" t="s">
        <v>68</v>
      </c>
      <c r="BJ134" s="1" t="s">
        <v>68</v>
      </c>
      <c r="BK134" s="1" t="s">
        <v>95</v>
      </c>
      <c r="BL134" s="1" t="s">
        <v>3103</v>
      </c>
      <c r="BM134" s="1" t="str">
        <f>HYPERLINK("https%3A%2F%2Fwww.webofscience.com%2Fwos%2Fwoscc%2Ffull-record%2FWOS:000442579700022","View Full Record in Web of Science")</f>
        <v>View Full Record in Web of Science</v>
      </c>
    </row>
    <row r="135" ht="12.75" customHeight="1">
      <c r="A135" s="1" t="s">
        <v>65</v>
      </c>
      <c r="B135" s="1" t="s">
        <v>3104</v>
      </c>
      <c r="C135" s="1" t="s">
        <v>3105</v>
      </c>
      <c r="D135" s="1" t="s">
        <v>68</v>
      </c>
      <c r="E135" s="1" t="s">
        <v>3106</v>
      </c>
      <c r="F135" s="1" t="s">
        <v>1468</v>
      </c>
      <c r="G135" s="1" t="s">
        <v>68</v>
      </c>
      <c r="H135" s="1" t="s">
        <v>71</v>
      </c>
      <c r="I135" s="1" t="s">
        <v>72</v>
      </c>
      <c r="J135" s="1" t="s">
        <v>68</v>
      </c>
      <c r="K135" s="1" t="s">
        <v>68</v>
      </c>
      <c r="L135" s="1" t="s">
        <v>68</v>
      </c>
      <c r="M135" s="1" t="s">
        <v>68</v>
      </c>
      <c r="N135" s="1" t="s">
        <v>3107</v>
      </c>
      <c r="O135" s="1" t="s">
        <v>3108</v>
      </c>
      <c r="P135" s="1" t="s">
        <v>3109</v>
      </c>
      <c r="Q135" s="1" t="s">
        <v>3110</v>
      </c>
      <c r="R135" s="1" t="s">
        <v>3111</v>
      </c>
      <c r="S135" s="1" t="s">
        <v>3112</v>
      </c>
      <c r="T135" s="1" t="s">
        <v>3113</v>
      </c>
      <c r="U135" s="1" t="s">
        <v>3114</v>
      </c>
      <c r="V135" s="1" t="s">
        <v>3115</v>
      </c>
      <c r="W135" s="1" t="s">
        <v>3116</v>
      </c>
      <c r="X135" s="1" t="s">
        <v>3117</v>
      </c>
      <c r="Y135" s="1" t="s">
        <v>3118</v>
      </c>
      <c r="Z135" s="1">
        <v>40.0</v>
      </c>
      <c r="AA135" s="1">
        <v>13.0</v>
      </c>
      <c r="AB135" s="1">
        <v>15.0</v>
      </c>
      <c r="AC135" s="1">
        <v>0.0</v>
      </c>
      <c r="AD135" s="1">
        <v>23.0</v>
      </c>
      <c r="AE135" s="1" t="s">
        <v>1481</v>
      </c>
      <c r="AF135" s="1" t="s">
        <v>663</v>
      </c>
      <c r="AG135" s="1" t="s">
        <v>1482</v>
      </c>
      <c r="AH135" s="1" t="s">
        <v>1483</v>
      </c>
      <c r="AI135" s="1" t="s">
        <v>68</v>
      </c>
      <c r="AJ135" s="1" t="s">
        <v>68</v>
      </c>
      <c r="AK135" s="1" t="s">
        <v>1468</v>
      </c>
      <c r="AL135" s="1" t="s">
        <v>1484</v>
      </c>
      <c r="AM135" s="1" t="s">
        <v>3119</v>
      </c>
      <c r="AN135" s="1">
        <v>2016.0</v>
      </c>
      <c r="AO135" s="1">
        <v>4.0</v>
      </c>
      <c r="AP135" s="1" t="s">
        <v>68</v>
      </c>
      <c r="AQ135" s="1" t="s">
        <v>68</v>
      </c>
      <c r="AR135" s="1" t="s">
        <v>68</v>
      </c>
      <c r="AS135" s="1" t="s">
        <v>68</v>
      </c>
      <c r="AT135" s="1" t="s">
        <v>68</v>
      </c>
      <c r="AU135" s="1" t="s">
        <v>68</v>
      </c>
      <c r="AV135" s="1" t="s">
        <v>68</v>
      </c>
      <c r="AW135" s="1" t="s">
        <v>3120</v>
      </c>
      <c r="AX135" s="1" t="s">
        <v>3121</v>
      </c>
      <c r="AY135" s="3" t="str">
        <f>HYPERLINK("http://dx.doi.org/10.7717/peerj.1815","http://dx.doi.org/10.7717/peerj.1815")</f>
        <v>http://dx.doi.org/10.7717/peerj.1815</v>
      </c>
      <c r="AZ135" s="1" t="s">
        <v>68</v>
      </c>
      <c r="BA135" s="1" t="s">
        <v>68</v>
      </c>
      <c r="BB135" s="1">
        <v>14.0</v>
      </c>
      <c r="BC135" s="1" t="s">
        <v>742</v>
      </c>
      <c r="BD135" s="1" t="s">
        <v>92</v>
      </c>
      <c r="BE135" s="1" t="s">
        <v>743</v>
      </c>
      <c r="BF135" s="1" t="s">
        <v>3122</v>
      </c>
      <c r="BG135" s="1">
        <v>2.7069784E7</v>
      </c>
      <c r="BH135" s="1" t="s">
        <v>94</v>
      </c>
      <c r="BI135" s="1" t="s">
        <v>68</v>
      </c>
      <c r="BJ135" s="1" t="s">
        <v>68</v>
      </c>
      <c r="BK135" s="1" t="s">
        <v>95</v>
      </c>
      <c r="BL135" s="1" t="s">
        <v>3123</v>
      </c>
      <c r="BM135" s="1" t="str">
        <f>HYPERLINK("https%3A%2F%2Fwww.webofscience.com%2Fwos%2Fwoscc%2Ffull-record%2FWOS:000374159200003","View Full Record in Web of Science")</f>
        <v>View Full Record in Web of Science</v>
      </c>
    </row>
    <row r="136" ht="12.75" customHeight="1">
      <c r="A136" s="1" t="s">
        <v>65</v>
      </c>
      <c r="B136" s="1" t="s">
        <v>3124</v>
      </c>
      <c r="C136" s="1" t="s">
        <v>3125</v>
      </c>
      <c r="D136" s="1" t="s">
        <v>68</v>
      </c>
      <c r="E136" s="1" t="s">
        <v>3126</v>
      </c>
      <c r="F136" s="1" t="s">
        <v>3127</v>
      </c>
      <c r="G136" s="1" t="s">
        <v>68</v>
      </c>
      <c r="H136" s="1" t="s">
        <v>71</v>
      </c>
      <c r="I136" s="1" t="s">
        <v>72</v>
      </c>
      <c r="J136" s="1" t="s">
        <v>68</v>
      </c>
      <c r="K136" s="1" t="s">
        <v>68</v>
      </c>
      <c r="L136" s="1" t="s">
        <v>68</v>
      </c>
      <c r="M136" s="1" t="s">
        <v>68</v>
      </c>
      <c r="N136" s="1" t="s">
        <v>3128</v>
      </c>
      <c r="O136" s="1" t="s">
        <v>3129</v>
      </c>
      <c r="P136" s="1" t="s">
        <v>3130</v>
      </c>
      <c r="Q136" s="1" t="s">
        <v>3131</v>
      </c>
      <c r="R136" s="1" t="s">
        <v>3132</v>
      </c>
      <c r="S136" s="1" t="s">
        <v>3133</v>
      </c>
      <c r="T136" s="1" t="s">
        <v>3134</v>
      </c>
      <c r="U136" s="1" t="s">
        <v>3135</v>
      </c>
      <c r="V136" s="1" t="s">
        <v>3136</v>
      </c>
      <c r="W136" s="1" t="s">
        <v>3137</v>
      </c>
      <c r="X136" s="1" t="s">
        <v>3137</v>
      </c>
      <c r="Y136" s="1" t="s">
        <v>3138</v>
      </c>
      <c r="Z136" s="1">
        <v>23.0</v>
      </c>
      <c r="AA136" s="1">
        <v>25.0</v>
      </c>
      <c r="AB136" s="1">
        <v>26.0</v>
      </c>
      <c r="AC136" s="1">
        <v>1.0</v>
      </c>
      <c r="AD136" s="1">
        <v>23.0</v>
      </c>
      <c r="AE136" s="1" t="s">
        <v>503</v>
      </c>
      <c r="AF136" s="1" t="s">
        <v>504</v>
      </c>
      <c r="AG136" s="1" t="s">
        <v>505</v>
      </c>
      <c r="AH136" s="1" t="s">
        <v>3139</v>
      </c>
      <c r="AI136" s="1" t="s">
        <v>3140</v>
      </c>
      <c r="AJ136" s="1" t="s">
        <v>68</v>
      </c>
      <c r="AK136" s="1" t="s">
        <v>3127</v>
      </c>
      <c r="AL136" s="1" t="s">
        <v>3141</v>
      </c>
      <c r="AM136" s="1" t="s">
        <v>790</v>
      </c>
      <c r="AN136" s="1">
        <v>2014.0</v>
      </c>
      <c r="AO136" s="1">
        <v>69.0</v>
      </c>
      <c r="AP136" s="1">
        <v>8.0</v>
      </c>
      <c r="AQ136" s="1" t="s">
        <v>68</v>
      </c>
      <c r="AR136" s="1" t="s">
        <v>68</v>
      </c>
      <c r="AS136" s="1" t="s">
        <v>68</v>
      </c>
      <c r="AT136" s="1" t="s">
        <v>68</v>
      </c>
      <c r="AU136" s="1">
        <v>1085.0</v>
      </c>
      <c r="AV136" s="1">
        <v>1091.0</v>
      </c>
      <c r="AW136" s="1" t="s">
        <v>68</v>
      </c>
      <c r="AX136" s="1" t="s">
        <v>3142</v>
      </c>
      <c r="AY136" s="3" t="str">
        <f>HYPERLINK("http://dx.doi.org/10.1111/all.12433","http://dx.doi.org/10.1111/all.12433")</f>
        <v>http://dx.doi.org/10.1111/all.12433</v>
      </c>
      <c r="AZ136" s="1" t="s">
        <v>68</v>
      </c>
      <c r="BA136" s="1" t="s">
        <v>68</v>
      </c>
      <c r="BB136" s="1">
        <v>7.0</v>
      </c>
      <c r="BC136" s="1" t="s">
        <v>3143</v>
      </c>
      <c r="BD136" s="1" t="s">
        <v>92</v>
      </c>
      <c r="BE136" s="1" t="s">
        <v>3143</v>
      </c>
      <c r="BF136" s="1" t="s">
        <v>3144</v>
      </c>
      <c r="BG136" s="1">
        <v>2.4888457E7</v>
      </c>
      <c r="BH136" s="1" t="s">
        <v>68</v>
      </c>
      <c r="BI136" s="1" t="s">
        <v>68</v>
      </c>
      <c r="BJ136" s="1" t="s">
        <v>68</v>
      </c>
      <c r="BK136" s="1" t="s">
        <v>95</v>
      </c>
      <c r="BL136" s="1" t="s">
        <v>3145</v>
      </c>
      <c r="BM136" s="1" t="str">
        <f>HYPERLINK("https%3A%2F%2Fwww.webofscience.com%2Fwos%2Fwoscc%2Ffull-record%2FWOS:000339436200011","View Full Record in Web of Science")</f>
        <v>View Full Record in Web of Science</v>
      </c>
    </row>
    <row r="137" ht="12.75" customHeight="1">
      <c r="A137" s="1" t="s">
        <v>65</v>
      </c>
      <c r="B137" s="1" t="s">
        <v>3146</v>
      </c>
      <c r="C137" s="1" t="s">
        <v>3147</v>
      </c>
      <c r="D137" s="1" t="s">
        <v>68</v>
      </c>
      <c r="E137" s="1" t="s">
        <v>3148</v>
      </c>
      <c r="F137" s="1" t="s">
        <v>3149</v>
      </c>
      <c r="G137" s="1" t="s">
        <v>68</v>
      </c>
      <c r="H137" s="1" t="s">
        <v>71</v>
      </c>
      <c r="I137" s="1" t="s">
        <v>72</v>
      </c>
      <c r="J137" s="1" t="s">
        <v>68</v>
      </c>
      <c r="K137" s="1" t="s">
        <v>68</v>
      </c>
      <c r="L137" s="1" t="s">
        <v>68</v>
      </c>
      <c r="M137" s="1" t="s">
        <v>68</v>
      </c>
      <c r="N137" s="1" t="s">
        <v>3150</v>
      </c>
      <c r="O137" s="1" t="s">
        <v>3151</v>
      </c>
      <c r="P137" s="1" t="s">
        <v>3152</v>
      </c>
      <c r="Q137" s="1" t="s">
        <v>3153</v>
      </c>
      <c r="R137" s="1" t="s">
        <v>3154</v>
      </c>
      <c r="S137" s="1" t="s">
        <v>3155</v>
      </c>
      <c r="T137" s="1" t="s">
        <v>3156</v>
      </c>
      <c r="U137" s="1" t="s">
        <v>68</v>
      </c>
      <c r="V137" s="1" t="s">
        <v>3157</v>
      </c>
      <c r="W137" s="1" t="s">
        <v>3158</v>
      </c>
      <c r="X137" s="1" t="s">
        <v>3159</v>
      </c>
      <c r="Y137" s="1" t="s">
        <v>3160</v>
      </c>
      <c r="Z137" s="1">
        <v>46.0</v>
      </c>
      <c r="AA137" s="1">
        <v>42.0</v>
      </c>
      <c r="AB137" s="1">
        <v>53.0</v>
      </c>
      <c r="AC137" s="1">
        <v>0.0</v>
      </c>
      <c r="AD137" s="1">
        <v>64.0</v>
      </c>
      <c r="AE137" s="1" t="s">
        <v>1932</v>
      </c>
      <c r="AF137" s="1" t="s">
        <v>1933</v>
      </c>
      <c r="AG137" s="1" t="s">
        <v>1934</v>
      </c>
      <c r="AH137" s="1" t="s">
        <v>3161</v>
      </c>
      <c r="AI137" s="1" t="s">
        <v>3162</v>
      </c>
      <c r="AJ137" s="1" t="s">
        <v>68</v>
      </c>
      <c r="AK137" s="1" t="s">
        <v>3163</v>
      </c>
      <c r="AL137" s="1" t="s">
        <v>3164</v>
      </c>
      <c r="AM137" s="1" t="s">
        <v>252</v>
      </c>
      <c r="AN137" s="1">
        <v>2016.0</v>
      </c>
      <c r="AO137" s="1">
        <v>18.0</v>
      </c>
      <c r="AP137" s="1">
        <v>3.0</v>
      </c>
      <c r="AQ137" s="1" t="s">
        <v>68</v>
      </c>
      <c r="AR137" s="1" t="s">
        <v>68</v>
      </c>
      <c r="AS137" s="1" t="s">
        <v>68</v>
      </c>
      <c r="AT137" s="1" t="s">
        <v>68</v>
      </c>
      <c r="AU137" s="1">
        <v>379.0</v>
      </c>
      <c r="AV137" s="1">
        <v>397.0</v>
      </c>
      <c r="AW137" s="1" t="s">
        <v>68</v>
      </c>
      <c r="AX137" s="1" t="s">
        <v>3165</v>
      </c>
      <c r="AY137" s="3" t="str">
        <f>HYPERLINK("http://dx.doi.org/10.1080/1523908X.2015.1100985","http://dx.doi.org/10.1080/1523908X.2015.1100985")</f>
        <v>http://dx.doi.org/10.1080/1523908X.2015.1100985</v>
      </c>
      <c r="AZ137" s="1" t="s">
        <v>68</v>
      </c>
      <c r="BA137" s="1" t="s">
        <v>68</v>
      </c>
      <c r="BB137" s="1">
        <v>19.0</v>
      </c>
      <c r="BC137" s="1" t="s">
        <v>3166</v>
      </c>
      <c r="BD137" s="1" t="s">
        <v>1438</v>
      </c>
      <c r="BE137" s="1" t="s">
        <v>3167</v>
      </c>
      <c r="BF137" s="1" t="s">
        <v>3168</v>
      </c>
      <c r="BG137" s="1" t="s">
        <v>68</v>
      </c>
      <c r="BH137" s="1" t="s">
        <v>68</v>
      </c>
      <c r="BI137" s="1" t="s">
        <v>68</v>
      </c>
      <c r="BJ137" s="1" t="s">
        <v>68</v>
      </c>
      <c r="BK137" s="1" t="s">
        <v>95</v>
      </c>
      <c r="BL137" s="1" t="s">
        <v>3169</v>
      </c>
      <c r="BM137" s="1" t="str">
        <f>HYPERLINK("https%3A%2F%2Fwww.webofscience.com%2Fwos%2Fwoscc%2Ffull-record%2FWOS:000377275300008","View Full Record in Web of Science")</f>
        <v>View Full Record in Web of Science</v>
      </c>
    </row>
    <row r="138" ht="12.75" customHeight="1">
      <c r="A138" s="1" t="s">
        <v>65</v>
      </c>
      <c r="B138" s="1" t="s">
        <v>3170</v>
      </c>
      <c r="C138" s="1" t="s">
        <v>3171</v>
      </c>
      <c r="D138" s="1" t="s">
        <v>68</v>
      </c>
      <c r="E138" s="1" t="s">
        <v>3172</v>
      </c>
      <c r="F138" s="1" t="s">
        <v>3173</v>
      </c>
      <c r="G138" s="1" t="s">
        <v>68</v>
      </c>
      <c r="H138" s="1" t="s">
        <v>71</v>
      </c>
      <c r="I138" s="1" t="s">
        <v>72</v>
      </c>
      <c r="J138" s="1" t="s">
        <v>68</v>
      </c>
      <c r="K138" s="1" t="s">
        <v>68</v>
      </c>
      <c r="L138" s="1" t="s">
        <v>68</v>
      </c>
      <c r="M138" s="1" t="s">
        <v>68</v>
      </c>
      <c r="N138" s="1" t="s">
        <v>3174</v>
      </c>
      <c r="O138" s="1" t="s">
        <v>3175</v>
      </c>
      <c r="P138" s="1" t="s">
        <v>3176</v>
      </c>
      <c r="Q138" s="1" t="s">
        <v>3177</v>
      </c>
      <c r="R138" s="1" t="s">
        <v>3178</v>
      </c>
      <c r="S138" s="1" t="s">
        <v>3179</v>
      </c>
      <c r="T138" s="1" t="s">
        <v>3180</v>
      </c>
      <c r="U138" s="1" t="s">
        <v>3181</v>
      </c>
      <c r="V138" s="1" t="s">
        <v>3182</v>
      </c>
      <c r="W138" s="1" t="s">
        <v>3183</v>
      </c>
      <c r="X138" s="1" t="s">
        <v>3184</v>
      </c>
      <c r="Y138" s="1" t="s">
        <v>3185</v>
      </c>
      <c r="Z138" s="1">
        <v>169.0</v>
      </c>
      <c r="AA138" s="1">
        <v>170.0</v>
      </c>
      <c r="AB138" s="1">
        <v>194.0</v>
      </c>
      <c r="AC138" s="1">
        <v>17.0</v>
      </c>
      <c r="AD138" s="1">
        <v>111.0</v>
      </c>
      <c r="AE138" s="1" t="s">
        <v>503</v>
      </c>
      <c r="AF138" s="1" t="s">
        <v>504</v>
      </c>
      <c r="AG138" s="1" t="s">
        <v>505</v>
      </c>
      <c r="AH138" s="1" t="s">
        <v>3186</v>
      </c>
      <c r="AI138" s="1" t="s">
        <v>3187</v>
      </c>
      <c r="AJ138" s="1" t="s">
        <v>68</v>
      </c>
      <c r="AK138" s="1" t="s">
        <v>3188</v>
      </c>
      <c r="AL138" s="1" t="s">
        <v>3189</v>
      </c>
      <c r="AM138" s="1" t="s">
        <v>1789</v>
      </c>
      <c r="AN138" s="1">
        <v>2023.0</v>
      </c>
      <c r="AO138" s="1">
        <v>14.0</v>
      </c>
      <c r="AP138" s="1">
        <v>1.0</v>
      </c>
      <c r="AQ138" s="1" t="s">
        <v>68</v>
      </c>
      <c r="AR138" s="1" t="s">
        <v>68</v>
      </c>
      <c r="AS138" s="1" t="s">
        <v>68</v>
      </c>
      <c r="AT138" s="1" t="s">
        <v>68</v>
      </c>
      <c r="AU138" s="1">
        <v>103.0</v>
      </c>
      <c r="AV138" s="1">
        <v>116.0</v>
      </c>
      <c r="AW138" s="1" t="s">
        <v>68</v>
      </c>
      <c r="AX138" s="1" t="s">
        <v>3190</v>
      </c>
      <c r="AY138" s="3" t="str">
        <f>HYPERLINK("http://dx.doi.org/10.1111/2041-210X.13834","http://dx.doi.org/10.1111/2041-210X.13834")</f>
        <v>http://dx.doi.org/10.1111/2041-210X.13834</v>
      </c>
      <c r="AZ138" s="1" t="s">
        <v>68</v>
      </c>
      <c r="BA138" s="1" t="s">
        <v>3191</v>
      </c>
      <c r="BB138" s="1">
        <v>14.0</v>
      </c>
      <c r="BC138" s="1" t="s">
        <v>332</v>
      </c>
      <c r="BD138" s="1" t="s">
        <v>92</v>
      </c>
      <c r="BE138" s="1" t="s">
        <v>333</v>
      </c>
      <c r="BF138" s="1" t="s">
        <v>3192</v>
      </c>
      <c r="BG138" s="1" t="s">
        <v>68</v>
      </c>
      <c r="BH138" s="1" t="s">
        <v>644</v>
      </c>
      <c r="BI138" s="1" t="s">
        <v>820</v>
      </c>
      <c r="BJ138" s="1" t="s">
        <v>821</v>
      </c>
      <c r="BK138" s="1" t="s">
        <v>95</v>
      </c>
      <c r="BL138" s="1" t="s">
        <v>3193</v>
      </c>
      <c r="BM138" s="1" t="str">
        <f>HYPERLINK("https%3A%2F%2Fwww.webofscience.com%2Fwos%2Fwoscc%2Ffull-record%2FWOS:000770290900001","View Full Record in Web of Science")</f>
        <v>View Full Record in Web of Science</v>
      </c>
    </row>
    <row r="139" ht="12.75" customHeight="1">
      <c r="A139" s="1" t="s">
        <v>65</v>
      </c>
      <c r="B139" s="1" t="s">
        <v>3194</v>
      </c>
      <c r="C139" s="1" t="s">
        <v>3195</v>
      </c>
      <c r="D139" s="1" t="s">
        <v>68</v>
      </c>
      <c r="E139" s="1" t="s">
        <v>3196</v>
      </c>
      <c r="F139" s="1" t="s">
        <v>3197</v>
      </c>
      <c r="G139" s="1" t="s">
        <v>68</v>
      </c>
      <c r="H139" s="1" t="s">
        <v>71</v>
      </c>
      <c r="I139" s="1" t="s">
        <v>72</v>
      </c>
      <c r="J139" s="1" t="s">
        <v>68</v>
      </c>
      <c r="K139" s="1" t="s">
        <v>68</v>
      </c>
      <c r="L139" s="1" t="s">
        <v>68</v>
      </c>
      <c r="M139" s="1" t="s">
        <v>68</v>
      </c>
      <c r="N139" s="1" t="s">
        <v>3198</v>
      </c>
      <c r="O139" s="1" t="s">
        <v>3199</v>
      </c>
      <c r="P139" s="1" t="s">
        <v>3200</v>
      </c>
      <c r="Q139" s="1" t="s">
        <v>3201</v>
      </c>
      <c r="R139" s="1" t="s">
        <v>3202</v>
      </c>
      <c r="S139" s="1" t="s">
        <v>3203</v>
      </c>
      <c r="T139" s="1" t="s">
        <v>3204</v>
      </c>
      <c r="U139" s="1" t="s">
        <v>68</v>
      </c>
      <c r="V139" s="1" t="s">
        <v>3205</v>
      </c>
      <c r="W139" s="1" t="s">
        <v>3206</v>
      </c>
      <c r="X139" s="1" t="s">
        <v>3207</v>
      </c>
      <c r="Y139" s="1" t="s">
        <v>3208</v>
      </c>
      <c r="Z139" s="1">
        <v>78.0</v>
      </c>
      <c r="AA139" s="1">
        <v>15.0</v>
      </c>
      <c r="AB139" s="1">
        <v>16.0</v>
      </c>
      <c r="AC139" s="1">
        <v>0.0</v>
      </c>
      <c r="AD139" s="1">
        <v>15.0</v>
      </c>
      <c r="AE139" s="1" t="s">
        <v>114</v>
      </c>
      <c r="AF139" s="1" t="s">
        <v>1505</v>
      </c>
      <c r="AG139" s="1" t="s">
        <v>1506</v>
      </c>
      <c r="AH139" s="1" t="s">
        <v>3209</v>
      </c>
      <c r="AI139" s="1" t="s">
        <v>3210</v>
      </c>
      <c r="AJ139" s="1" t="s">
        <v>68</v>
      </c>
      <c r="AK139" s="1" t="s">
        <v>3211</v>
      </c>
      <c r="AL139" s="1" t="s">
        <v>3212</v>
      </c>
      <c r="AM139" s="1" t="s">
        <v>1789</v>
      </c>
      <c r="AN139" s="1">
        <v>2022.0</v>
      </c>
      <c r="AO139" s="1">
        <v>24.0</v>
      </c>
      <c r="AP139" s="1">
        <v>1.0</v>
      </c>
      <c r="AQ139" s="1" t="s">
        <v>68</v>
      </c>
      <c r="AR139" s="1" t="s">
        <v>68</v>
      </c>
      <c r="AS139" s="1" t="s">
        <v>68</v>
      </c>
      <c r="AT139" s="1" t="s">
        <v>68</v>
      </c>
      <c r="AU139" s="1">
        <v>123.0</v>
      </c>
      <c r="AV139" s="1">
        <v>138.0</v>
      </c>
      <c r="AW139" s="1" t="s">
        <v>68</v>
      </c>
      <c r="AX139" s="1" t="s">
        <v>3213</v>
      </c>
      <c r="AY139" s="3" t="str">
        <f>HYPERLINK("http://dx.doi.org/10.1007/s10530-021-02631-3","http://dx.doi.org/10.1007/s10530-021-02631-3")</f>
        <v>http://dx.doi.org/10.1007/s10530-021-02631-3</v>
      </c>
      <c r="AZ139" s="1" t="s">
        <v>68</v>
      </c>
      <c r="BA139" s="1" t="s">
        <v>3214</v>
      </c>
      <c r="BB139" s="1">
        <v>16.0</v>
      </c>
      <c r="BC139" s="1" t="s">
        <v>1011</v>
      </c>
      <c r="BD139" s="1" t="s">
        <v>92</v>
      </c>
      <c r="BE139" s="1" t="s">
        <v>123</v>
      </c>
      <c r="BF139" s="1" t="s">
        <v>3215</v>
      </c>
      <c r="BG139" s="1" t="s">
        <v>68</v>
      </c>
      <c r="BH139" s="1" t="s">
        <v>867</v>
      </c>
      <c r="BI139" s="1" t="s">
        <v>68</v>
      </c>
      <c r="BJ139" s="1" t="s">
        <v>68</v>
      </c>
      <c r="BK139" s="1" t="s">
        <v>95</v>
      </c>
      <c r="BL139" s="1" t="s">
        <v>3216</v>
      </c>
      <c r="BM139" s="1" t="str">
        <f>HYPERLINK("https%3A%2F%2Fwww.webofscience.com%2Fwos%2Fwoscc%2Ffull-record%2FWOS:000698313400001","View Full Record in Web of Science")</f>
        <v>View Full Record in Web of Science</v>
      </c>
    </row>
    <row r="140" ht="12.75" customHeight="1">
      <c r="A140" s="1" t="s">
        <v>65</v>
      </c>
      <c r="B140" s="1" t="s">
        <v>3217</v>
      </c>
      <c r="C140" s="1" t="s">
        <v>3218</v>
      </c>
      <c r="D140" s="1" t="s">
        <v>68</v>
      </c>
      <c r="E140" s="1" t="s">
        <v>3219</v>
      </c>
      <c r="F140" s="1" t="s">
        <v>3220</v>
      </c>
      <c r="G140" s="1" t="s">
        <v>68</v>
      </c>
      <c r="H140" s="1" t="s">
        <v>71</v>
      </c>
      <c r="I140" s="1" t="s">
        <v>72</v>
      </c>
      <c r="J140" s="1" t="s">
        <v>68</v>
      </c>
      <c r="K140" s="1" t="s">
        <v>68</v>
      </c>
      <c r="L140" s="1" t="s">
        <v>68</v>
      </c>
      <c r="M140" s="1" t="s">
        <v>68</v>
      </c>
      <c r="N140" s="1" t="s">
        <v>3221</v>
      </c>
      <c r="O140" s="1" t="s">
        <v>3222</v>
      </c>
      <c r="P140" s="1" t="s">
        <v>3223</v>
      </c>
      <c r="Q140" s="1" t="s">
        <v>3224</v>
      </c>
      <c r="R140" s="1" t="s">
        <v>3225</v>
      </c>
      <c r="S140" s="1" t="s">
        <v>3226</v>
      </c>
      <c r="T140" s="1" t="s">
        <v>3227</v>
      </c>
      <c r="U140" s="1" t="s">
        <v>3228</v>
      </c>
      <c r="V140" s="1" t="s">
        <v>3229</v>
      </c>
      <c r="W140" s="1" t="s">
        <v>3230</v>
      </c>
      <c r="X140" s="1" t="s">
        <v>3231</v>
      </c>
      <c r="Y140" s="1" t="s">
        <v>3232</v>
      </c>
      <c r="Z140" s="1">
        <v>38.0</v>
      </c>
      <c r="AA140" s="1">
        <v>44.0</v>
      </c>
      <c r="AB140" s="1">
        <v>50.0</v>
      </c>
      <c r="AC140" s="1">
        <v>0.0</v>
      </c>
      <c r="AD140" s="1">
        <v>45.0</v>
      </c>
      <c r="AE140" s="1" t="s">
        <v>503</v>
      </c>
      <c r="AF140" s="1" t="s">
        <v>504</v>
      </c>
      <c r="AG140" s="1" t="s">
        <v>505</v>
      </c>
      <c r="AH140" s="1" t="s">
        <v>3233</v>
      </c>
      <c r="AI140" s="1" t="s">
        <v>3234</v>
      </c>
      <c r="AJ140" s="1" t="s">
        <v>68</v>
      </c>
      <c r="AK140" s="1" t="s">
        <v>3235</v>
      </c>
      <c r="AL140" s="1" t="s">
        <v>3236</v>
      </c>
      <c r="AM140" s="1" t="s">
        <v>457</v>
      </c>
      <c r="AN140" s="1">
        <v>2018.0</v>
      </c>
      <c r="AO140" s="1">
        <v>39.0</v>
      </c>
      <c r="AP140" s="1" t="s">
        <v>68</v>
      </c>
      <c r="AQ140" s="1" t="s">
        <v>68</v>
      </c>
      <c r="AR140" s="1">
        <v>1.0</v>
      </c>
      <c r="AS140" s="1" t="s">
        <v>563</v>
      </c>
      <c r="AT140" s="1" t="s">
        <v>68</v>
      </c>
      <c r="AU140" s="1" t="s">
        <v>68</v>
      </c>
      <c r="AV140" s="1" t="s">
        <v>68</v>
      </c>
      <c r="AW140" s="1" t="s">
        <v>3237</v>
      </c>
      <c r="AX140" s="1" t="s">
        <v>3238</v>
      </c>
      <c r="AY140" s="3" t="str">
        <f>HYPERLINK("http://dx.doi.org/10.1111/maec.12470","http://dx.doi.org/10.1111/maec.12470")</f>
        <v>http://dx.doi.org/10.1111/maec.12470</v>
      </c>
      <c r="AZ140" s="1" t="s">
        <v>68</v>
      </c>
      <c r="BA140" s="1" t="s">
        <v>68</v>
      </c>
      <c r="BB140" s="1">
        <v>11.0</v>
      </c>
      <c r="BC140" s="1" t="s">
        <v>3239</v>
      </c>
      <c r="BD140" s="1" t="s">
        <v>92</v>
      </c>
      <c r="BE140" s="1" t="s">
        <v>3239</v>
      </c>
      <c r="BF140" s="1" t="s">
        <v>3240</v>
      </c>
      <c r="BG140" s="1" t="s">
        <v>68</v>
      </c>
      <c r="BH140" s="1" t="s">
        <v>701</v>
      </c>
      <c r="BI140" s="1" t="s">
        <v>68</v>
      </c>
      <c r="BJ140" s="1" t="s">
        <v>68</v>
      </c>
      <c r="BK140" s="1" t="s">
        <v>95</v>
      </c>
      <c r="BL140" s="1" t="s">
        <v>3241</v>
      </c>
      <c r="BM140" s="1" t="str">
        <f>HYPERLINK("https%3A%2F%2Fwww.webofscience.com%2Fwos%2Fwoscc%2Ffull-record%2FWOS:000434150100002","View Full Record in Web of Science")</f>
        <v>View Full Record in Web of Science</v>
      </c>
    </row>
    <row r="141" ht="12.75" customHeight="1">
      <c r="A141" s="1" t="s">
        <v>65</v>
      </c>
      <c r="B141" s="1" t="s">
        <v>3242</v>
      </c>
      <c r="C141" s="1" t="s">
        <v>3243</v>
      </c>
      <c r="D141" s="1" t="s">
        <v>68</v>
      </c>
      <c r="E141" s="1" t="s">
        <v>3244</v>
      </c>
      <c r="F141" s="1" t="s">
        <v>3245</v>
      </c>
      <c r="G141" s="1" t="s">
        <v>68</v>
      </c>
      <c r="H141" s="1" t="s">
        <v>71</v>
      </c>
      <c r="I141" s="1" t="s">
        <v>72</v>
      </c>
      <c r="J141" s="1" t="s">
        <v>68</v>
      </c>
      <c r="K141" s="1" t="s">
        <v>68</v>
      </c>
      <c r="L141" s="1" t="s">
        <v>68</v>
      </c>
      <c r="M141" s="1" t="s">
        <v>68</v>
      </c>
      <c r="N141" s="1" t="s">
        <v>3246</v>
      </c>
      <c r="O141" s="1" t="s">
        <v>3247</v>
      </c>
      <c r="P141" s="1" t="s">
        <v>3248</v>
      </c>
      <c r="Q141" s="1" t="s">
        <v>3249</v>
      </c>
      <c r="R141" s="1" t="s">
        <v>3250</v>
      </c>
      <c r="S141" s="1" t="s">
        <v>3251</v>
      </c>
      <c r="T141" s="1" t="s">
        <v>3252</v>
      </c>
      <c r="U141" s="1" t="s">
        <v>68</v>
      </c>
      <c r="V141" s="1" t="s">
        <v>3253</v>
      </c>
      <c r="W141" s="1" t="s">
        <v>3254</v>
      </c>
      <c r="X141" s="1" t="s">
        <v>3254</v>
      </c>
      <c r="Y141" s="1" t="s">
        <v>3255</v>
      </c>
      <c r="Z141" s="1">
        <v>87.0</v>
      </c>
      <c r="AA141" s="1">
        <v>27.0</v>
      </c>
      <c r="AB141" s="1">
        <v>29.0</v>
      </c>
      <c r="AC141" s="1">
        <v>0.0</v>
      </c>
      <c r="AD141" s="1">
        <v>13.0</v>
      </c>
      <c r="AE141" s="1" t="s">
        <v>83</v>
      </c>
      <c r="AF141" s="1" t="s">
        <v>84</v>
      </c>
      <c r="AG141" s="1" t="s">
        <v>85</v>
      </c>
      <c r="AH141" s="1" t="s">
        <v>68</v>
      </c>
      <c r="AI141" s="1" t="s">
        <v>3256</v>
      </c>
      <c r="AJ141" s="1" t="s">
        <v>68</v>
      </c>
      <c r="AK141" s="1" t="s">
        <v>3257</v>
      </c>
      <c r="AL141" s="1" t="s">
        <v>3258</v>
      </c>
      <c r="AM141" s="1" t="s">
        <v>3259</v>
      </c>
      <c r="AN141" s="1">
        <v>2020.0</v>
      </c>
      <c r="AO141" s="1">
        <v>10.0</v>
      </c>
      <c r="AP141" s="1" t="s">
        <v>68</v>
      </c>
      <c r="AQ141" s="1" t="s">
        <v>68</v>
      </c>
      <c r="AR141" s="1" t="s">
        <v>68</v>
      </c>
      <c r="AS141" s="1" t="s">
        <v>68</v>
      </c>
      <c r="AT141" s="1" t="s">
        <v>68</v>
      </c>
      <c r="AU141" s="1" t="s">
        <v>68</v>
      </c>
      <c r="AV141" s="1" t="s">
        <v>68</v>
      </c>
      <c r="AW141" s="1">
        <v>1322.0</v>
      </c>
      <c r="AX141" s="1" t="s">
        <v>3260</v>
      </c>
      <c r="AY141" s="3" t="str">
        <f>HYPERLINK("http://dx.doi.org/10.3389/fgene.2019.01322","http://dx.doi.org/10.3389/fgene.2019.01322")</f>
        <v>http://dx.doi.org/10.3389/fgene.2019.01322</v>
      </c>
      <c r="AZ141" s="1" t="s">
        <v>68</v>
      </c>
      <c r="BA141" s="1" t="s">
        <v>68</v>
      </c>
      <c r="BB141" s="1">
        <v>12.0</v>
      </c>
      <c r="BC141" s="1" t="s">
        <v>3261</v>
      </c>
      <c r="BD141" s="1" t="s">
        <v>92</v>
      </c>
      <c r="BE141" s="1" t="s">
        <v>3261</v>
      </c>
      <c r="BF141" s="1" t="s">
        <v>3262</v>
      </c>
      <c r="BG141" s="1">
        <v>3.2038704E7</v>
      </c>
      <c r="BH141" s="1" t="s">
        <v>94</v>
      </c>
      <c r="BI141" s="1" t="s">
        <v>68</v>
      </c>
      <c r="BJ141" s="1" t="s">
        <v>68</v>
      </c>
      <c r="BK141" s="1" t="s">
        <v>95</v>
      </c>
      <c r="BL141" s="1" t="s">
        <v>3263</v>
      </c>
      <c r="BM141" s="1" t="str">
        <f>HYPERLINK("https%3A%2F%2Fwww.webofscience.com%2Fwos%2Fwoscc%2Ffull-record%2FWOS:000511201000001","View Full Record in Web of Science")</f>
        <v>View Full Record in Web of Science</v>
      </c>
    </row>
    <row r="142" ht="12.75" customHeight="1">
      <c r="A142" s="1" t="s">
        <v>65</v>
      </c>
      <c r="B142" s="1" t="s">
        <v>3264</v>
      </c>
      <c r="C142" s="1" t="s">
        <v>3265</v>
      </c>
      <c r="D142" s="1" t="s">
        <v>68</v>
      </c>
      <c r="E142" s="1" t="s">
        <v>3266</v>
      </c>
      <c r="F142" s="1" t="s">
        <v>1562</v>
      </c>
      <c r="G142" s="1" t="s">
        <v>68</v>
      </c>
      <c r="H142" s="1" t="s">
        <v>71</v>
      </c>
      <c r="I142" s="1" t="s">
        <v>72</v>
      </c>
      <c r="J142" s="1" t="s">
        <v>68</v>
      </c>
      <c r="K142" s="1" t="s">
        <v>68</v>
      </c>
      <c r="L142" s="1" t="s">
        <v>68</v>
      </c>
      <c r="M142" s="1" t="s">
        <v>68</v>
      </c>
      <c r="N142" s="1" t="s">
        <v>3267</v>
      </c>
      <c r="O142" s="1" t="s">
        <v>3268</v>
      </c>
      <c r="P142" s="1" t="s">
        <v>3269</v>
      </c>
      <c r="Q142" s="1" t="s">
        <v>3270</v>
      </c>
      <c r="R142" s="1" t="s">
        <v>3271</v>
      </c>
      <c r="S142" s="1" t="s">
        <v>3272</v>
      </c>
      <c r="T142" s="1" t="s">
        <v>3273</v>
      </c>
      <c r="U142" s="1" t="s">
        <v>3274</v>
      </c>
      <c r="V142" s="1" t="s">
        <v>3275</v>
      </c>
      <c r="W142" s="1" t="s">
        <v>3276</v>
      </c>
      <c r="X142" s="1" t="s">
        <v>3277</v>
      </c>
      <c r="Y142" s="1" t="s">
        <v>3278</v>
      </c>
      <c r="Z142" s="1">
        <v>69.0</v>
      </c>
      <c r="AA142" s="1">
        <v>0.0</v>
      </c>
      <c r="AB142" s="1">
        <v>0.0</v>
      </c>
      <c r="AC142" s="1">
        <v>5.0</v>
      </c>
      <c r="AD142" s="1">
        <v>6.0</v>
      </c>
      <c r="AE142" s="1" t="s">
        <v>503</v>
      </c>
      <c r="AF142" s="1" t="s">
        <v>504</v>
      </c>
      <c r="AG142" s="1" t="s">
        <v>505</v>
      </c>
      <c r="AH142" s="1" t="s">
        <v>1575</v>
      </c>
      <c r="AI142" s="1" t="s">
        <v>1576</v>
      </c>
      <c r="AJ142" s="1" t="s">
        <v>68</v>
      </c>
      <c r="AK142" s="1" t="s">
        <v>1577</v>
      </c>
      <c r="AL142" s="1" t="s">
        <v>1578</v>
      </c>
      <c r="AM142" s="1" t="s">
        <v>404</v>
      </c>
      <c r="AN142" s="1">
        <v>2025.0</v>
      </c>
      <c r="AO142" s="1">
        <v>62.0</v>
      </c>
      <c r="AP142" s="1">
        <v>9.0</v>
      </c>
      <c r="AQ142" s="1" t="s">
        <v>68</v>
      </c>
      <c r="AR142" s="1" t="s">
        <v>68</v>
      </c>
      <c r="AS142" s="1" t="s">
        <v>68</v>
      </c>
      <c r="AT142" s="1" t="s">
        <v>68</v>
      </c>
      <c r="AU142" s="1">
        <v>2133.0</v>
      </c>
      <c r="AV142" s="1">
        <v>2147.0</v>
      </c>
      <c r="AW142" s="1" t="s">
        <v>68</v>
      </c>
      <c r="AX142" s="1" t="s">
        <v>3279</v>
      </c>
      <c r="AY142" s="3" t="str">
        <f>HYPERLINK("http://dx.doi.org/10.1111/1365-2664.70108","http://dx.doi.org/10.1111/1365-2664.70108")</f>
        <v>http://dx.doi.org/10.1111/1365-2664.70108</v>
      </c>
      <c r="AZ142" s="1" t="s">
        <v>68</v>
      </c>
      <c r="BA142" s="1" t="s">
        <v>3280</v>
      </c>
      <c r="BB142" s="1">
        <v>15.0</v>
      </c>
      <c r="BC142" s="1" t="s">
        <v>1011</v>
      </c>
      <c r="BD142" s="1" t="s">
        <v>92</v>
      </c>
      <c r="BE142" s="1" t="s">
        <v>123</v>
      </c>
      <c r="BF142" s="1" t="s">
        <v>3281</v>
      </c>
      <c r="BG142" s="1" t="s">
        <v>68</v>
      </c>
      <c r="BH142" s="1" t="s">
        <v>867</v>
      </c>
      <c r="BI142" s="1" t="s">
        <v>68</v>
      </c>
      <c r="BJ142" s="1" t="s">
        <v>68</v>
      </c>
      <c r="BK142" s="1" t="s">
        <v>95</v>
      </c>
      <c r="BL142" s="1" t="s">
        <v>3282</v>
      </c>
      <c r="BM142" s="1" t="str">
        <f>HYPERLINK("https%3A%2F%2Fwww.webofscience.com%2Fwos%2Fwoscc%2Ffull-record%2FWOS:001526631300001","View Full Record in Web of Science")</f>
        <v>View Full Record in Web of Science</v>
      </c>
    </row>
    <row r="143" ht="12.75" customHeight="1">
      <c r="A143" s="1" t="s">
        <v>65</v>
      </c>
      <c r="B143" s="1" t="s">
        <v>3283</v>
      </c>
      <c r="C143" s="1" t="s">
        <v>3284</v>
      </c>
      <c r="D143" s="1" t="s">
        <v>68</v>
      </c>
      <c r="E143" s="1" t="s">
        <v>3285</v>
      </c>
      <c r="F143" s="1" t="s">
        <v>2586</v>
      </c>
      <c r="G143" s="1" t="s">
        <v>68</v>
      </c>
      <c r="H143" s="1" t="s">
        <v>71</v>
      </c>
      <c r="I143" s="1" t="s">
        <v>45</v>
      </c>
      <c r="J143" s="1" t="s">
        <v>2587</v>
      </c>
      <c r="K143" s="1" t="s">
        <v>2588</v>
      </c>
      <c r="L143" s="1" t="s">
        <v>2589</v>
      </c>
      <c r="M143" s="1" t="s">
        <v>2590</v>
      </c>
      <c r="N143" s="1" t="s">
        <v>68</v>
      </c>
      <c r="O143" s="1" t="s">
        <v>68</v>
      </c>
      <c r="P143" s="1" t="s">
        <v>68</v>
      </c>
      <c r="Q143" s="1" t="s">
        <v>3286</v>
      </c>
      <c r="R143" s="1" t="s">
        <v>3287</v>
      </c>
      <c r="S143" s="1" t="s">
        <v>68</v>
      </c>
      <c r="T143" s="1" t="s">
        <v>68</v>
      </c>
      <c r="U143" s="1" t="s">
        <v>3288</v>
      </c>
      <c r="V143" s="1" t="s">
        <v>3289</v>
      </c>
      <c r="W143" s="1" t="s">
        <v>68</v>
      </c>
      <c r="X143" s="1" t="s">
        <v>68</v>
      </c>
      <c r="Y143" s="1" t="s">
        <v>68</v>
      </c>
      <c r="Z143" s="1">
        <v>0.0</v>
      </c>
      <c r="AA143" s="1">
        <v>1.0</v>
      </c>
      <c r="AB143" s="1">
        <v>1.0</v>
      </c>
      <c r="AC143" s="1">
        <v>0.0</v>
      </c>
      <c r="AD143" s="1">
        <v>1.0</v>
      </c>
      <c r="AE143" s="1" t="s">
        <v>2593</v>
      </c>
      <c r="AF143" s="1" t="s">
        <v>2594</v>
      </c>
      <c r="AG143" s="1" t="s">
        <v>2595</v>
      </c>
      <c r="AH143" s="1" t="s">
        <v>2596</v>
      </c>
      <c r="AI143" s="1" t="s">
        <v>2597</v>
      </c>
      <c r="AJ143" s="1" t="s">
        <v>68</v>
      </c>
      <c r="AK143" s="1" t="s">
        <v>2598</v>
      </c>
      <c r="AL143" s="1" t="s">
        <v>2599</v>
      </c>
      <c r="AM143" s="1" t="s">
        <v>68</v>
      </c>
      <c r="AN143" s="1">
        <v>2019.0</v>
      </c>
      <c r="AO143" s="1">
        <v>101.0</v>
      </c>
      <c r="AP143" s="1" t="s">
        <v>68</v>
      </c>
      <c r="AQ143" s="1" t="s">
        <v>68</v>
      </c>
      <c r="AR143" s="1">
        <v>5.0</v>
      </c>
      <c r="AS143" s="1" t="s">
        <v>68</v>
      </c>
      <c r="AT143" s="1">
        <v>1460.0</v>
      </c>
      <c r="AU143" s="1">
        <v>448.0</v>
      </c>
      <c r="AV143" s="1">
        <v>448.0</v>
      </c>
      <c r="AW143" s="1" t="s">
        <v>68</v>
      </c>
      <c r="AX143" s="1" t="s">
        <v>68</v>
      </c>
      <c r="AY143" s="1" t="s">
        <v>68</v>
      </c>
      <c r="AZ143" s="1" t="s">
        <v>68</v>
      </c>
      <c r="BA143" s="1" t="s">
        <v>68</v>
      </c>
      <c r="BB143" s="1">
        <v>1.0</v>
      </c>
      <c r="BC143" s="1" t="s">
        <v>2600</v>
      </c>
      <c r="BD143" s="1" t="s">
        <v>934</v>
      </c>
      <c r="BE143" s="1" t="s">
        <v>2600</v>
      </c>
      <c r="BF143" s="1" t="s">
        <v>2601</v>
      </c>
      <c r="BG143" s="1" t="s">
        <v>68</v>
      </c>
      <c r="BH143" s="1" t="s">
        <v>68</v>
      </c>
      <c r="BI143" s="1" t="s">
        <v>68</v>
      </c>
      <c r="BJ143" s="1" t="s">
        <v>68</v>
      </c>
      <c r="BK143" s="1" t="s">
        <v>95</v>
      </c>
      <c r="BL143" s="1" t="s">
        <v>3290</v>
      </c>
      <c r="BM143" s="1" t="str">
        <f>HYPERLINK("https%3A%2F%2Fwww.webofscience.com%2Fwos%2Fwoscc%2Ffull-record%2FWOS:000507364504170","View Full Record in Web of Science")</f>
        <v>View Full Record in Web of Science</v>
      </c>
    </row>
    <row r="144" ht="12.75" customHeight="1">
      <c r="A144" s="1" t="s">
        <v>65</v>
      </c>
      <c r="B144" s="1" t="s">
        <v>3291</v>
      </c>
      <c r="C144" s="1" t="s">
        <v>3292</v>
      </c>
      <c r="D144" s="1" t="s">
        <v>68</v>
      </c>
      <c r="E144" s="1" t="s">
        <v>3293</v>
      </c>
      <c r="F144" s="1" t="s">
        <v>3294</v>
      </c>
      <c r="G144" s="1" t="s">
        <v>68</v>
      </c>
      <c r="H144" s="1" t="s">
        <v>71</v>
      </c>
      <c r="I144" s="1" t="s">
        <v>72</v>
      </c>
      <c r="J144" s="1" t="s">
        <v>68</v>
      </c>
      <c r="K144" s="1" t="s">
        <v>68</v>
      </c>
      <c r="L144" s="1" t="s">
        <v>68</v>
      </c>
      <c r="M144" s="1" t="s">
        <v>68</v>
      </c>
      <c r="N144" s="1" t="s">
        <v>3295</v>
      </c>
      <c r="O144" s="1" t="s">
        <v>3296</v>
      </c>
      <c r="P144" s="1" t="s">
        <v>3297</v>
      </c>
      <c r="Q144" s="1" t="s">
        <v>3298</v>
      </c>
      <c r="R144" s="1" t="s">
        <v>3299</v>
      </c>
      <c r="S144" s="1" t="s">
        <v>3300</v>
      </c>
      <c r="T144" s="1" t="s">
        <v>3301</v>
      </c>
      <c r="U144" s="1" t="s">
        <v>3302</v>
      </c>
      <c r="V144" s="1" t="s">
        <v>3303</v>
      </c>
      <c r="W144" s="1" t="s">
        <v>3304</v>
      </c>
      <c r="X144" s="1" t="s">
        <v>3305</v>
      </c>
      <c r="Y144" s="1" t="s">
        <v>3306</v>
      </c>
      <c r="Z144" s="1">
        <v>76.0</v>
      </c>
      <c r="AA144" s="1">
        <v>36.0</v>
      </c>
      <c r="AB144" s="1">
        <v>42.0</v>
      </c>
      <c r="AC144" s="1">
        <v>1.0</v>
      </c>
      <c r="AD144" s="1">
        <v>23.0</v>
      </c>
      <c r="AE144" s="1" t="s">
        <v>247</v>
      </c>
      <c r="AF144" s="1" t="s">
        <v>248</v>
      </c>
      <c r="AG144" s="1" t="s">
        <v>249</v>
      </c>
      <c r="AH144" s="1" t="s">
        <v>68</v>
      </c>
      <c r="AI144" s="1" t="s">
        <v>3307</v>
      </c>
      <c r="AJ144" s="1" t="s">
        <v>68</v>
      </c>
      <c r="AK144" s="1" t="s">
        <v>3294</v>
      </c>
      <c r="AL144" s="1" t="s">
        <v>3308</v>
      </c>
      <c r="AM144" s="1" t="s">
        <v>790</v>
      </c>
      <c r="AN144" s="1">
        <v>2022.0</v>
      </c>
      <c r="AO144" s="1">
        <v>13.0</v>
      </c>
      <c r="AP144" s="1">
        <v>8.0</v>
      </c>
      <c r="AQ144" s="1" t="s">
        <v>68</v>
      </c>
      <c r="AR144" s="1" t="s">
        <v>68</v>
      </c>
      <c r="AS144" s="1" t="s">
        <v>68</v>
      </c>
      <c r="AT144" s="1" t="s">
        <v>68</v>
      </c>
      <c r="AU144" s="1" t="s">
        <v>68</v>
      </c>
      <c r="AV144" s="1" t="s">
        <v>68</v>
      </c>
      <c r="AW144" s="1">
        <v>675.0</v>
      </c>
      <c r="AX144" s="1" t="s">
        <v>3309</v>
      </c>
      <c r="AY144" s="3" t="str">
        <f>HYPERLINK("http://dx.doi.org/10.3390/insects13080675","http://dx.doi.org/10.3390/insects13080675")</f>
        <v>http://dx.doi.org/10.3390/insects13080675</v>
      </c>
      <c r="AZ144" s="1" t="s">
        <v>68</v>
      </c>
      <c r="BA144" s="1" t="s">
        <v>68</v>
      </c>
      <c r="BB144" s="1">
        <v>24.0</v>
      </c>
      <c r="BC144" s="1" t="s">
        <v>309</v>
      </c>
      <c r="BD144" s="1" t="s">
        <v>92</v>
      </c>
      <c r="BE144" s="1" t="s">
        <v>309</v>
      </c>
      <c r="BF144" s="1" t="s">
        <v>3310</v>
      </c>
      <c r="BG144" s="1">
        <v>3.6005301E7</v>
      </c>
      <c r="BH144" s="1" t="s">
        <v>1767</v>
      </c>
      <c r="BI144" s="1" t="s">
        <v>68</v>
      </c>
      <c r="BJ144" s="1" t="s">
        <v>68</v>
      </c>
      <c r="BK144" s="1" t="s">
        <v>95</v>
      </c>
      <c r="BL144" s="1" t="s">
        <v>3311</v>
      </c>
      <c r="BM144" s="1" t="str">
        <f>HYPERLINK("https%3A%2F%2Fwww.webofscience.com%2Fwos%2Fwoscc%2Ffull-record%2FWOS:000845725100001","View Full Record in Web of Science")</f>
        <v>View Full Record in Web of Science</v>
      </c>
    </row>
    <row r="145" ht="12.75" customHeight="1">
      <c r="A145" s="1" t="s">
        <v>65</v>
      </c>
      <c r="B145" s="1" t="s">
        <v>3312</v>
      </c>
      <c r="C145" s="1" t="s">
        <v>3313</v>
      </c>
      <c r="D145" s="1" t="s">
        <v>68</v>
      </c>
      <c r="E145" s="1" t="s">
        <v>3314</v>
      </c>
      <c r="F145" s="1" t="s">
        <v>3315</v>
      </c>
      <c r="G145" s="1" t="s">
        <v>68</v>
      </c>
      <c r="H145" s="1" t="s">
        <v>71</v>
      </c>
      <c r="I145" s="1" t="s">
        <v>72</v>
      </c>
      <c r="J145" s="1" t="s">
        <v>68</v>
      </c>
      <c r="K145" s="1" t="s">
        <v>68</v>
      </c>
      <c r="L145" s="1" t="s">
        <v>68</v>
      </c>
      <c r="M145" s="1" t="s">
        <v>68</v>
      </c>
      <c r="N145" s="1" t="s">
        <v>3316</v>
      </c>
      <c r="O145" s="1" t="s">
        <v>3317</v>
      </c>
      <c r="P145" s="1" t="s">
        <v>3318</v>
      </c>
      <c r="Q145" s="1" t="s">
        <v>3319</v>
      </c>
      <c r="R145" s="1" t="s">
        <v>3320</v>
      </c>
      <c r="S145" s="1" t="s">
        <v>3321</v>
      </c>
      <c r="T145" s="1" t="s">
        <v>3322</v>
      </c>
      <c r="U145" s="1" t="s">
        <v>3323</v>
      </c>
      <c r="V145" s="1" t="s">
        <v>3324</v>
      </c>
      <c r="W145" s="1" t="s">
        <v>3325</v>
      </c>
      <c r="X145" s="1" t="s">
        <v>3326</v>
      </c>
      <c r="Y145" s="1" t="s">
        <v>3327</v>
      </c>
      <c r="Z145" s="1">
        <v>76.0</v>
      </c>
      <c r="AA145" s="1">
        <v>10.0</v>
      </c>
      <c r="AB145" s="1">
        <v>13.0</v>
      </c>
      <c r="AC145" s="1">
        <v>1.0</v>
      </c>
      <c r="AD145" s="1">
        <v>24.0</v>
      </c>
      <c r="AE145" s="1" t="s">
        <v>2125</v>
      </c>
      <c r="AF145" s="1" t="s">
        <v>2126</v>
      </c>
      <c r="AG145" s="1" t="s">
        <v>2127</v>
      </c>
      <c r="AH145" s="1" t="s">
        <v>3328</v>
      </c>
      <c r="AI145" s="1" t="s">
        <v>3329</v>
      </c>
      <c r="AJ145" s="1" t="s">
        <v>68</v>
      </c>
      <c r="AK145" s="1" t="s">
        <v>3330</v>
      </c>
      <c r="AL145" s="1" t="s">
        <v>3331</v>
      </c>
      <c r="AM145" s="1" t="s">
        <v>3332</v>
      </c>
      <c r="AN145" s="1">
        <v>2021.0</v>
      </c>
      <c r="AO145" s="1">
        <v>49.0</v>
      </c>
      <c r="AP145" s="1">
        <v>5.0</v>
      </c>
      <c r="AQ145" s="1" t="s">
        <v>68</v>
      </c>
      <c r="AR145" s="1" t="s">
        <v>68</v>
      </c>
      <c r="AS145" s="1" t="s">
        <v>563</v>
      </c>
      <c r="AT145" s="1" t="s">
        <v>68</v>
      </c>
      <c r="AU145" s="1">
        <v>510.0</v>
      </c>
      <c r="AV145" s="1">
        <v>531.0</v>
      </c>
      <c r="AW145" s="1" t="s">
        <v>68</v>
      </c>
      <c r="AX145" s="1" t="s">
        <v>3333</v>
      </c>
      <c r="AY145" s="3" t="str">
        <f>HYPERLINK("http://dx.doi.org/10.1080/08920753.2021.1947131","http://dx.doi.org/10.1080/08920753.2021.1947131")</f>
        <v>http://dx.doi.org/10.1080/08920753.2021.1947131</v>
      </c>
      <c r="AZ145" s="1" t="s">
        <v>68</v>
      </c>
      <c r="BA145" s="1" t="s">
        <v>961</v>
      </c>
      <c r="BB145" s="1">
        <v>22.0</v>
      </c>
      <c r="BC145" s="1" t="s">
        <v>1100</v>
      </c>
      <c r="BD145" s="1" t="s">
        <v>279</v>
      </c>
      <c r="BE145" s="1" t="s">
        <v>333</v>
      </c>
      <c r="BF145" s="1" t="s">
        <v>3334</v>
      </c>
      <c r="BG145" s="1">
        <v>3.6204115E7</v>
      </c>
      <c r="BH145" s="1" t="s">
        <v>591</v>
      </c>
      <c r="BI145" s="1" t="s">
        <v>68</v>
      </c>
      <c r="BJ145" s="1" t="s">
        <v>68</v>
      </c>
      <c r="BK145" s="1" t="s">
        <v>95</v>
      </c>
      <c r="BL145" s="1" t="s">
        <v>3335</v>
      </c>
      <c r="BM145" s="1" t="str">
        <f>HYPERLINK("https%3A%2F%2Fwww.webofscience.com%2Fwos%2Fwoscc%2Ffull-record%2FWOS:000677914000001","View Full Record in Web of Science")</f>
        <v>View Full Record in Web of Science</v>
      </c>
    </row>
    <row r="146" ht="12.75" customHeight="1">
      <c r="A146" s="1" t="s">
        <v>65</v>
      </c>
      <c r="B146" s="1" t="s">
        <v>3336</v>
      </c>
      <c r="C146" s="1" t="s">
        <v>3337</v>
      </c>
      <c r="D146" s="1" t="s">
        <v>68</v>
      </c>
      <c r="E146" s="1" t="s">
        <v>3338</v>
      </c>
      <c r="F146" s="1" t="s">
        <v>3294</v>
      </c>
      <c r="G146" s="1" t="s">
        <v>68</v>
      </c>
      <c r="H146" s="1" t="s">
        <v>71</v>
      </c>
      <c r="I146" s="1" t="s">
        <v>72</v>
      </c>
      <c r="J146" s="1" t="s">
        <v>68</v>
      </c>
      <c r="K146" s="1" t="s">
        <v>68</v>
      </c>
      <c r="L146" s="1" t="s">
        <v>68</v>
      </c>
      <c r="M146" s="1" t="s">
        <v>68</v>
      </c>
      <c r="N146" s="1" t="s">
        <v>3339</v>
      </c>
      <c r="O146" s="1" t="s">
        <v>3340</v>
      </c>
      <c r="P146" s="1" t="s">
        <v>3341</v>
      </c>
      <c r="Q146" s="1" t="s">
        <v>3342</v>
      </c>
      <c r="R146" s="1" t="s">
        <v>3343</v>
      </c>
      <c r="S146" s="1" t="s">
        <v>3344</v>
      </c>
      <c r="T146" s="1" t="s">
        <v>3345</v>
      </c>
      <c r="U146" s="1" t="s">
        <v>3346</v>
      </c>
      <c r="V146" s="1" t="s">
        <v>3347</v>
      </c>
      <c r="W146" s="1" t="s">
        <v>3348</v>
      </c>
      <c r="X146" s="1" t="s">
        <v>3349</v>
      </c>
      <c r="Y146" s="1" t="s">
        <v>3350</v>
      </c>
      <c r="Z146" s="1">
        <v>61.0</v>
      </c>
      <c r="AA146" s="1">
        <v>0.0</v>
      </c>
      <c r="AB146" s="1">
        <v>0.0</v>
      </c>
      <c r="AC146" s="1">
        <v>1.0</v>
      </c>
      <c r="AD146" s="1">
        <v>1.0</v>
      </c>
      <c r="AE146" s="1" t="s">
        <v>247</v>
      </c>
      <c r="AF146" s="1" t="s">
        <v>248</v>
      </c>
      <c r="AG146" s="1" t="s">
        <v>249</v>
      </c>
      <c r="AH146" s="1" t="s">
        <v>68</v>
      </c>
      <c r="AI146" s="1" t="s">
        <v>3307</v>
      </c>
      <c r="AJ146" s="1" t="s">
        <v>68</v>
      </c>
      <c r="AK146" s="1" t="s">
        <v>3294</v>
      </c>
      <c r="AL146" s="1" t="s">
        <v>3308</v>
      </c>
      <c r="AM146" s="1" t="s">
        <v>888</v>
      </c>
      <c r="AN146" s="1">
        <v>2025.0</v>
      </c>
      <c r="AO146" s="1">
        <v>16.0</v>
      </c>
      <c r="AP146" s="1">
        <v>11.0</v>
      </c>
      <c r="AQ146" s="1" t="s">
        <v>68</v>
      </c>
      <c r="AR146" s="1" t="s">
        <v>68</v>
      </c>
      <c r="AS146" s="1" t="s">
        <v>68</v>
      </c>
      <c r="AT146" s="1" t="s">
        <v>68</v>
      </c>
      <c r="AU146" s="1" t="s">
        <v>68</v>
      </c>
      <c r="AV146" s="1" t="s">
        <v>68</v>
      </c>
      <c r="AW146" s="1">
        <v>1098.0</v>
      </c>
      <c r="AX146" s="1" t="s">
        <v>3351</v>
      </c>
      <c r="AY146" s="3" t="str">
        <f>HYPERLINK("http://dx.doi.org/10.3390/insects16111098","http://dx.doi.org/10.3390/insects16111098")</f>
        <v>http://dx.doi.org/10.3390/insects16111098</v>
      </c>
      <c r="AZ146" s="1" t="s">
        <v>68</v>
      </c>
      <c r="BA146" s="1" t="s">
        <v>68</v>
      </c>
      <c r="BB146" s="1">
        <v>19.0</v>
      </c>
      <c r="BC146" s="1" t="s">
        <v>309</v>
      </c>
      <c r="BD146" s="1" t="s">
        <v>92</v>
      </c>
      <c r="BE146" s="1" t="s">
        <v>309</v>
      </c>
      <c r="BF146" s="1" t="s">
        <v>3352</v>
      </c>
      <c r="BG146" s="1">
        <v>4.1302844E7</v>
      </c>
      <c r="BH146" s="1" t="s">
        <v>94</v>
      </c>
      <c r="BI146" s="1" t="s">
        <v>68</v>
      </c>
      <c r="BJ146" s="1" t="s">
        <v>68</v>
      </c>
      <c r="BK146" s="1" t="s">
        <v>95</v>
      </c>
      <c r="BL146" s="1" t="s">
        <v>3353</v>
      </c>
      <c r="BM146" s="1" t="str">
        <f>HYPERLINK("https%3A%2F%2Fwww.webofscience.com%2Fwos%2Fwoscc%2Ffull-record%2FWOS:001625671200001","View Full Record in Web of Science")</f>
        <v>View Full Record in Web of Science</v>
      </c>
    </row>
    <row r="147" ht="12.75" customHeight="1">
      <c r="A147" s="1" t="s">
        <v>65</v>
      </c>
      <c r="B147" s="1" t="s">
        <v>3354</v>
      </c>
      <c r="C147" s="1" t="s">
        <v>3355</v>
      </c>
      <c r="D147" s="1" t="s">
        <v>68</v>
      </c>
      <c r="E147" s="1" t="s">
        <v>3356</v>
      </c>
      <c r="F147" s="1" t="s">
        <v>3357</v>
      </c>
      <c r="G147" s="1" t="s">
        <v>68</v>
      </c>
      <c r="H147" s="1" t="s">
        <v>71</v>
      </c>
      <c r="I147" s="1" t="s">
        <v>3358</v>
      </c>
      <c r="J147" s="1" t="s">
        <v>68</v>
      </c>
      <c r="K147" s="1" t="s">
        <v>68</v>
      </c>
      <c r="L147" s="1" t="s">
        <v>68</v>
      </c>
      <c r="M147" s="1" t="s">
        <v>68</v>
      </c>
      <c r="N147" s="1" t="s">
        <v>3359</v>
      </c>
      <c r="O147" s="1" t="s">
        <v>68</v>
      </c>
      <c r="P147" s="1" t="s">
        <v>3360</v>
      </c>
      <c r="Q147" s="1" t="s">
        <v>3361</v>
      </c>
      <c r="R147" s="1" t="s">
        <v>3362</v>
      </c>
      <c r="S147" s="1" t="s">
        <v>3363</v>
      </c>
      <c r="T147" s="1" t="s">
        <v>3364</v>
      </c>
      <c r="U147" s="1" t="s">
        <v>68</v>
      </c>
      <c r="V147" s="1" t="s">
        <v>3365</v>
      </c>
      <c r="W147" s="1" t="s">
        <v>68</v>
      </c>
      <c r="X147" s="1" t="s">
        <v>68</v>
      </c>
      <c r="Y147" s="1" t="s">
        <v>68</v>
      </c>
      <c r="Z147" s="1">
        <v>0.0</v>
      </c>
      <c r="AA147" s="1">
        <v>0.0</v>
      </c>
      <c r="AB147" s="1">
        <v>0.0</v>
      </c>
      <c r="AC147" s="1">
        <v>0.0</v>
      </c>
      <c r="AD147" s="1">
        <v>0.0</v>
      </c>
      <c r="AE147" s="1" t="s">
        <v>503</v>
      </c>
      <c r="AF147" s="1" t="s">
        <v>504</v>
      </c>
      <c r="AG147" s="1" t="s">
        <v>505</v>
      </c>
      <c r="AH147" s="1" t="s">
        <v>3366</v>
      </c>
      <c r="AI147" s="1" t="s">
        <v>3367</v>
      </c>
      <c r="AJ147" s="1" t="s">
        <v>68</v>
      </c>
      <c r="AK147" s="1" t="s">
        <v>3357</v>
      </c>
      <c r="AL147" s="1" t="s">
        <v>332</v>
      </c>
      <c r="AM147" s="1" t="s">
        <v>224</v>
      </c>
      <c r="AN147" s="1">
        <v>2026.0</v>
      </c>
      <c r="AO147" s="1">
        <v>107.0</v>
      </c>
      <c r="AP147" s="1">
        <v>2.0</v>
      </c>
      <c r="AQ147" s="1" t="s">
        <v>68</v>
      </c>
      <c r="AR147" s="1" t="s">
        <v>68</v>
      </c>
      <c r="AS147" s="1" t="s">
        <v>68</v>
      </c>
      <c r="AT147" s="1" t="s">
        <v>68</v>
      </c>
      <c r="AU147" s="1" t="s">
        <v>68</v>
      </c>
      <c r="AV147" s="1" t="s">
        <v>68</v>
      </c>
      <c r="AW147" s="1" t="s">
        <v>3368</v>
      </c>
      <c r="AX147" s="1" t="s">
        <v>3369</v>
      </c>
      <c r="AY147" s="3" t="str">
        <f>HYPERLINK("http://dx.doi.org/10.1002/ecy.70316","http://dx.doi.org/10.1002/ecy.70316")</f>
        <v>http://dx.doi.org/10.1002/ecy.70316</v>
      </c>
      <c r="AZ147" s="1" t="s">
        <v>68</v>
      </c>
      <c r="BA147" s="1" t="s">
        <v>68</v>
      </c>
      <c r="BB147" s="1">
        <v>2.0</v>
      </c>
      <c r="BC147" s="1" t="s">
        <v>332</v>
      </c>
      <c r="BD147" s="1" t="s">
        <v>92</v>
      </c>
      <c r="BE147" s="1" t="s">
        <v>333</v>
      </c>
      <c r="BF147" s="1" t="s">
        <v>3370</v>
      </c>
      <c r="BG147" s="1">
        <v>4.1670024E7</v>
      </c>
      <c r="BH147" s="1" t="s">
        <v>867</v>
      </c>
      <c r="BI147" s="1" t="s">
        <v>68</v>
      </c>
      <c r="BJ147" s="1" t="s">
        <v>68</v>
      </c>
      <c r="BK147" s="1" t="s">
        <v>95</v>
      </c>
      <c r="BL147" s="1" t="s">
        <v>3371</v>
      </c>
      <c r="BM147" s="1" t="str">
        <f>HYPERLINK("https%3A%2F%2Fwww.webofscience.com%2Fwos%2Fwoscc%2Ffull-record%2FWOS:001705520500024","View Full Record in Web of Science")</f>
        <v>View Full Record in Web of Science</v>
      </c>
    </row>
    <row r="148" ht="12.75" customHeight="1">
      <c r="A148" s="1" t="s">
        <v>65</v>
      </c>
      <c r="B148" s="1" t="s">
        <v>3372</v>
      </c>
      <c r="C148" s="1" t="s">
        <v>3373</v>
      </c>
      <c r="D148" s="1" t="s">
        <v>68</v>
      </c>
      <c r="E148" s="1" t="s">
        <v>3374</v>
      </c>
      <c r="F148" s="1" t="s">
        <v>2112</v>
      </c>
      <c r="G148" s="1" t="s">
        <v>68</v>
      </c>
      <c r="H148" s="1" t="s">
        <v>71</v>
      </c>
      <c r="I148" s="1" t="s">
        <v>72</v>
      </c>
      <c r="J148" s="1" t="s">
        <v>68</v>
      </c>
      <c r="K148" s="1" t="s">
        <v>68</v>
      </c>
      <c r="L148" s="1" t="s">
        <v>68</v>
      </c>
      <c r="M148" s="1" t="s">
        <v>68</v>
      </c>
      <c r="N148" s="1" t="s">
        <v>3375</v>
      </c>
      <c r="O148" s="1" t="s">
        <v>68</v>
      </c>
      <c r="P148" s="1" t="s">
        <v>3376</v>
      </c>
      <c r="Q148" s="1" t="s">
        <v>3377</v>
      </c>
      <c r="R148" s="1" t="s">
        <v>3378</v>
      </c>
      <c r="S148" s="1" t="s">
        <v>3379</v>
      </c>
      <c r="T148" s="1" t="s">
        <v>3380</v>
      </c>
      <c r="U148" s="1" t="s">
        <v>3381</v>
      </c>
      <c r="V148" s="1" t="s">
        <v>3382</v>
      </c>
      <c r="W148" s="1" t="s">
        <v>68</v>
      </c>
      <c r="X148" s="1" t="s">
        <v>68</v>
      </c>
      <c r="Y148" s="1" t="s">
        <v>68</v>
      </c>
      <c r="Z148" s="1">
        <v>53.0</v>
      </c>
      <c r="AA148" s="1">
        <v>6.0</v>
      </c>
      <c r="AB148" s="1">
        <v>6.0</v>
      </c>
      <c r="AC148" s="1">
        <v>2.0</v>
      </c>
      <c r="AD148" s="1">
        <v>18.0</v>
      </c>
      <c r="AE148" s="1" t="s">
        <v>2125</v>
      </c>
      <c r="AF148" s="1" t="s">
        <v>2126</v>
      </c>
      <c r="AG148" s="1" t="s">
        <v>2127</v>
      </c>
      <c r="AH148" s="1" t="s">
        <v>2128</v>
      </c>
      <c r="AI148" s="1" t="s">
        <v>2129</v>
      </c>
      <c r="AJ148" s="1" t="s">
        <v>68</v>
      </c>
      <c r="AK148" s="1" t="s">
        <v>2130</v>
      </c>
      <c r="AL148" s="1" t="s">
        <v>2131</v>
      </c>
      <c r="AM148" s="1" t="s">
        <v>3383</v>
      </c>
      <c r="AN148" s="1">
        <v>2022.0</v>
      </c>
      <c r="AO148" s="1">
        <v>29.0</v>
      </c>
      <c r="AP148" s="1">
        <v>3.0</v>
      </c>
      <c r="AQ148" s="1" t="s">
        <v>68</v>
      </c>
      <c r="AR148" s="1" t="s">
        <v>68</v>
      </c>
      <c r="AS148" s="1" t="s">
        <v>68</v>
      </c>
      <c r="AT148" s="1" t="s">
        <v>68</v>
      </c>
      <c r="AU148" s="1">
        <v>277.0</v>
      </c>
      <c r="AV148" s="1">
        <v>290.0</v>
      </c>
      <c r="AW148" s="1" t="s">
        <v>68</v>
      </c>
      <c r="AX148" s="1" t="s">
        <v>3384</v>
      </c>
      <c r="AY148" s="3" t="str">
        <f>HYPERLINK("http://dx.doi.org/10.1080/13504509.2021.2013973","http://dx.doi.org/10.1080/13504509.2021.2013973")</f>
        <v>http://dx.doi.org/10.1080/13504509.2021.2013973</v>
      </c>
      <c r="AZ148" s="1" t="s">
        <v>68</v>
      </c>
      <c r="BA148" s="1" t="s">
        <v>3385</v>
      </c>
      <c r="BB148" s="1">
        <v>14.0</v>
      </c>
      <c r="BC148" s="1" t="s">
        <v>2135</v>
      </c>
      <c r="BD148" s="1" t="s">
        <v>92</v>
      </c>
      <c r="BE148" s="1" t="s">
        <v>1053</v>
      </c>
      <c r="BF148" s="1" t="s">
        <v>3386</v>
      </c>
      <c r="BG148" s="1" t="s">
        <v>68</v>
      </c>
      <c r="BH148" s="1" t="s">
        <v>867</v>
      </c>
      <c r="BI148" s="1" t="s">
        <v>68</v>
      </c>
      <c r="BJ148" s="1" t="s">
        <v>68</v>
      </c>
      <c r="BK148" s="1" t="s">
        <v>95</v>
      </c>
      <c r="BL148" s="1" t="s">
        <v>3387</v>
      </c>
      <c r="BM148" s="1" t="str">
        <f>HYPERLINK("https%3A%2F%2Fwww.webofscience.com%2Fwos%2Fwoscc%2Ffull-record%2FWOS:000740888000001","View Full Record in Web of Science")</f>
        <v>View Full Record in Web of Science</v>
      </c>
    </row>
    <row r="149" ht="12.75" customHeight="1">
      <c r="A149" s="1" t="s">
        <v>65</v>
      </c>
      <c r="B149" s="1" t="s">
        <v>3388</v>
      </c>
      <c r="C149" s="1" t="s">
        <v>3389</v>
      </c>
      <c r="D149" s="1" t="s">
        <v>68</v>
      </c>
      <c r="E149" s="1" t="s">
        <v>3390</v>
      </c>
      <c r="F149" s="1" t="s">
        <v>3294</v>
      </c>
      <c r="G149" s="1" t="s">
        <v>68</v>
      </c>
      <c r="H149" s="1" t="s">
        <v>71</v>
      </c>
      <c r="I149" s="1" t="s">
        <v>72</v>
      </c>
      <c r="J149" s="1" t="s">
        <v>68</v>
      </c>
      <c r="K149" s="1" t="s">
        <v>68</v>
      </c>
      <c r="L149" s="1" t="s">
        <v>68</v>
      </c>
      <c r="M149" s="1" t="s">
        <v>68</v>
      </c>
      <c r="N149" s="1" t="s">
        <v>3391</v>
      </c>
      <c r="O149" s="1" t="s">
        <v>3392</v>
      </c>
      <c r="P149" s="1" t="s">
        <v>3393</v>
      </c>
      <c r="Q149" s="1" t="s">
        <v>3394</v>
      </c>
      <c r="R149" s="1" t="s">
        <v>3395</v>
      </c>
      <c r="S149" s="1" t="s">
        <v>3396</v>
      </c>
      <c r="T149" s="1" t="s">
        <v>3397</v>
      </c>
      <c r="U149" s="1" t="s">
        <v>3398</v>
      </c>
      <c r="V149" s="1" t="s">
        <v>3399</v>
      </c>
      <c r="W149" s="1" t="s">
        <v>3400</v>
      </c>
      <c r="X149" s="1" t="s">
        <v>3401</v>
      </c>
      <c r="Y149" s="1" t="s">
        <v>3402</v>
      </c>
      <c r="Z149" s="1">
        <v>63.0</v>
      </c>
      <c r="AA149" s="1">
        <v>6.0</v>
      </c>
      <c r="AB149" s="1">
        <v>9.0</v>
      </c>
      <c r="AC149" s="1">
        <v>0.0</v>
      </c>
      <c r="AD149" s="1">
        <v>12.0</v>
      </c>
      <c r="AE149" s="1" t="s">
        <v>247</v>
      </c>
      <c r="AF149" s="1" t="s">
        <v>248</v>
      </c>
      <c r="AG149" s="1" t="s">
        <v>351</v>
      </c>
      <c r="AH149" s="1" t="s">
        <v>68</v>
      </c>
      <c r="AI149" s="1" t="s">
        <v>3307</v>
      </c>
      <c r="AJ149" s="1" t="s">
        <v>68</v>
      </c>
      <c r="AK149" s="1" t="s">
        <v>3294</v>
      </c>
      <c r="AL149" s="1" t="s">
        <v>3308</v>
      </c>
      <c r="AM149" s="1" t="s">
        <v>404</v>
      </c>
      <c r="AN149" s="1">
        <v>2021.0</v>
      </c>
      <c r="AO149" s="1">
        <v>12.0</v>
      </c>
      <c r="AP149" s="1">
        <v>9.0</v>
      </c>
      <c r="AQ149" s="1" t="s">
        <v>68</v>
      </c>
      <c r="AR149" s="1" t="s">
        <v>68</v>
      </c>
      <c r="AS149" s="1" t="s">
        <v>68</v>
      </c>
      <c r="AT149" s="1" t="s">
        <v>68</v>
      </c>
      <c r="AU149" s="1" t="s">
        <v>68</v>
      </c>
      <c r="AV149" s="1" t="s">
        <v>68</v>
      </c>
      <c r="AW149" s="1">
        <v>766.0</v>
      </c>
      <c r="AX149" s="1" t="s">
        <v>3403</v>
      </c>
      <c r="AY149" s="3" t="str">
        <f>HYPERLINK("http://dx.doi.org/10.3390/insects12090766","http://dx.doi.org/10.3390/insects12090766")</f>
        <v>http://dx.doi.org/10.3390/insects12090766</v>
      </c>
      <c r="AZ149" s="1" t="s">
        <v>68</v>
      </c>
      <c r="BA149" s="1" t="s">
        <v>68</v>
      </c>
      <c r="BB149" s="1">
        <v>14.0</v>
      </c>
      <c r="BC149" s="1" t="s">
        <v>309</v>
      </c>
      <c r="BD149" s="1" t="s">
        <v>92</v>
      </c>
      <c r="BE149" s="1" t="s">
        <v>309</v>
      </c>
      <c r="BF149" s="1" t="s">
        <v>3404</v>
      </c>
      <c r="BG149" s="1">
        <v>3.4564206E7</v>
      </c>
      <c r="BH149" s="1" t="s">
        <v>94</v>
      </c>
      <c r="BI149" s="1" t="s">
        <v>68</v>
      </c>
      <c r="BJ149" s="1" t="s">
        <v>68</v>
      </c>
      <c r="BK149" s="1" t="s">
        <v>95</v>
      </c>
      <c r="BL149" s="1" t="s">
        <v>3405</v>
      </c>
      <c r="BM149" s="1" t="str">
        <f>HYPERLINK("https%3A%2F%2Fwww.webofscience.com%2Fwos%2Fwoscc%2Ffull-record%2FWOS:000699503000001","View Full Record in Web of Science")</f>
        <v>View Full Record in Web of Science</v>
      </c>
    </row>
    <row r="150" ht="12.75" customHeight="1">
      <c r="A150" s="1" t="s">
        <v>65</v>
      </c>
      <c r="B150" s="1" t="s">
        <v>3406</v>
      </c>
      <c r="C150" s="1" t="s">
        <v>3407</v>
      </c>
      <c r="D150" s="1" t="s">
        <v>68</v>
      </c>
      <c r="E150" s="1" t="s">
        <v>3408</v>
      </c>
      <c r="F150" s="1" t="s">
        <v>3409</v>
      </c>
      <c r="G150" s="1" t="s">
        <v>68</v>
      </c>
      <c r="H150" s="1" t="s">
        <v>71</v>
      </c>
      <c r="I150" s="1" t="s">
        <v>72</v>
      </c>
      <c r="J150" s="1" t="s">
        <v>68</v>
      </c>
      <c r="K150" s="1" t="s">
        <v>68</v>
      </c>
      <c r="L150" s="1" t="s">
        <v>68</v>
      </c>
      <c r="M150" s="1" t="s">
        <v>68</v>
      </c>
      <c r="N150" s="1" t="s">
        <v>3410</v>
      </c>
      <c r="O150" s="1" t="s">
        <v>3411</v>
      </c>
      <c r="P150" s="1" t="s">
        <v>3412</v>
      </c>
      <c r="Q150" s="1" t="s">
        <v>3413</v>
      </c>
      <c r="R150" s="1" t="s">
        <v>3414</v>
      </c>
      <c r="S150" s="1" t="s">
        <v>3415</v>
      </c>
      <c r="T150" s="1" t="s">
        <v>1425</v>
      </c>
      <c r="U150" s="1" t="s">
        <v>3416</v>
      </c>
      <c r="V150" s="1" t="s">
        <v>3417</v>
      </c>
      <c r="W150" s="1" t="s">
        <v>3418</v>
      </c>
      <c r="X150" s="1" t="s">
        <v>3418</v>
      </c>
      <c r="Y150" s="1" t="s">
        <v>3419</v>
      </c>
      <c r="Z150" s="1">
        <v>119.0</v>
      </c>
      <c r="AA150" s="1">
        <v>19.0</v>
      </c>
      <c r="AB150" s="1">
        <v>25.0</v>
      </c>
      <c r="AC150" s="1">
        <v>1.0</v>
      </c>
      <c r="AD150" s="1">
        <v>24.0</v>
      </c>
      <c r="AE150" s="1" t="s">
        <v>3420</v>
      </c>
      <c r="AF150" s="1" t="s">
        <v>3421</v>
      </c>
      <c r="AG150" s="1" t="s">
        <v>3422</v>
      </c>
      <c r="AH150" s="1" t="s">
        <v>3423</v>
      </c>
      <c r="AI150" s="1" t="s">
        <v>3424</v>
      </c>
      <c r="AJ150" s="1" t="s">
        <v>68</v>
      </c>
      <c r="AK150" s="1" t="s">
        <v>3425</v>
      </c>
      <c r="AL150" s="1" t="s">
        <v>3426</v>
      </c>
      <c r="AM150" s="1" t="s">
        <v>1264</v>
      </c>
      <c r="AN150" s="1">
        <v>2023.0</v>
      </c>
      <c r="AO150" s="1">
        <v>18.0</v>
      </c>
      <c r="AP150" s="1">
        <v>6.0</v>
      </c>
      <c r="AQ150" s="1" t="s">
        <v>68</v>
      </c>
      <c r="AR150" s="1" t="s">
        <v>68</v>
      </c>
      <c r="AS150" s="1" t="s">
        <v>68</v>
      </c>
      <c r="AT150" s="1" t="s">
        <v>68</v>
      </c>
      <c r="AU150" s="1">
        <v>2629.0</v>
      </c>
      <c r="AV150" s="1">
        <v>2647.0</v>
      </c>
      <c r="AW150" s="1" t="s">
        <v>68</v>
      </c>
      <c r="AX150" s="1" t="s">
        <v>3427</v>
      </c>
      <c r="AY150" s="3" t="str">
        <f>HYPERLINK("http://dx.doi.org/10.1007/s11625-023-01402-4","http://dx.doi.org/10.1007/s11625-023-01402-4")</f>
        <v>http://dx.doi.org/10.1007/s11625-023-01402-4</v>
      </c>
      <c r="AZ150" s="1" t="s">
        <v>68</v>
      </c>
      <c r="BA150" s="1" t="s">
        <v>3428</v>
      </c>
      <c r="BB150" s="1">
        <v>19.0</v>
      </c>
      <c r="BC150" s="1" t="s">
        <v>3429</v>
      </c>
      <c r="BD150" s="1" t="s">
        <v>92</v>
      </c>
      <c r="BE150" s="1" t="s">
        <v>1053</v>
      </c>
      <c r="BF150" s="1" t="s">
        <v>3430</v>
      </c>
      <c r="BG150" s="1" t="s">
        <v>68</v>
      </c>
      <c r="BH150" s="1" t="s">
        <v>644</v>
      </c>
      <c r="BI150" s="1" t="s">
        <v>68</v>
      </c>
      <c r="BJ150" s="1" t="s">
        <v>68</v>
      </c>
      <c r="BK150" s="1" t="s">
        <v>95</v>
      </c>
      <c r="BL150" s="1" t="s">
        <v>3431</v>
      </c>
      <c r="BM150" s="1" t="str">
        <f>HYPERLINK("https%3A%2F%2Fwww.webofscience.com%2Fwos%2Fwoscc%2Ffull-record%2FWOS:001066424600001","View Full Record in Web of Science")</f>
        <v>View Full Record in Web of Science</v>
      </c>
    </row>
    <row r="151" ht="12.75" customHeight="1">
      <c r="A151" s="1" t="s">
        <v>65</v>
      </c>
      <c r="B151" s="1" t="s">
        <v>3432</v>
      </c>
      <c r="C151" s="1" t="s">
        <v>3433</v>
      </c>
      <c r="D151" s="1" t="s">
        <v>68</v>
      </c>
      <c r="E151" s="1" t="s">
        <v>3434</v>
      </c>
      <c r="F151" s="1" t="s">
        <v>3435</v>
      </c>
      <c r="G151" s="1" t="s">
        <v>68</v>
      </c>
      <c r="H151" s="1" t="s">
        <v>71</v>
      </c>
      <c r="I151" s="1" t="s">
        <v>72</v>
      </c>
      <c r="J151" s="1" t="s">
        <v>68</v>
      </c>
      <c r="K151" s="1" t="s">
        <v>68</v>
      </c>
      <c r="L151" s="1" t="s">
        <v>68</v>
      </c>
      <c r="M151" s="1" t="s">
        <v>68</v>
      </c>
      <c r="N151" s="1" t="s">
        <v>68</v>
      </c>
      <c r="O151" s="1" t="s">
        <v>3436</v>
      </c>
      <c r="P151" s="1" t="s">
        <v>3437</v>
      </c>
      <c r="Q151" s="1" t="s">
        <v>3438</v>
      </c>
      <c r="R151" s="1" t="s">
        <v>3439</v>
      </c>
      <c r="S151" s="1" t="s">
        <v>3440</v>
      </c>
      <c r="T151" s="1" t="s">
        <v>3441</v>
      </c>
      <c r="U151" s="1" t="s">
        <v>68</v>
      </c>
      <c r="V151" s="1" t="s">
        <v>3442</v>
      </c>
      <c r="W151" s="1" t="s">
        <v>3443</v>
      </c>
      <c r="X151" s="1" t="s">
        <v>3443</v>
      </c>
      <c r="Y151" s="1" t="s">
        <v>3444</v>
      </c>
      <c r="Z151" s="1">
        <v>36.0</v>
      </c>
      <c r="AA151" s="1">
        <v>8.0</v>
      </c>
      <c r="AB151" s="1">
        <v>8.0</v>
      </c>
      <c r="AC151" s="1">
        <v>0.0</v>
      </c>
      <c r="AD151" s="1">
        <v>5.0</v>
      </c>
      <c r="AE151" s="1" t="s">
        <v>3445</v>
      </c>
      <c r="AF151" s="1" t="s">
        <v>3446</v>
      </c>
      <c r="AG151" s="1" t="s">
        <v>3447</v>
      </c>
      <c r="AH151" s="1" t="s">
        <v>3448</v>
      </c>
      <c r="AI151" s="1" t="s">
        <v>3449</v>
      </c>
      <c r="AJ151" s="1" t="s">
        <v>68</v>
      </c>
      <c r="AK151" s="1" t="s">
        <v>3450</v>
      </c>
      <c r="AL151" s="1" t="s">
        <v>3451</v>
      </c>
      <c r="AM151" s="1" t="s">
        <v>3452</v>
      </c>
      <c r="AN151" s="1">
        <v>2019.0</v>
      </c>
      <c r="AO151" s="1">
        <v>8.0</v>
      </c>
      <c r="AP151" s="1">
        <v>2.0</v>
      </c>
      <c r="AQ151" s="1" t="s">
        <v>68</v>
      </c>
      <c r="AR151" s="1" t="s">
        <v>68</v>
      </c>
      <c r="AS151" s="1" t="s">
        <v>68</v>
      </c>
      <c r="AT151" s="1" t="s">
        <v>68</v>
      </c>
      <c r="AU151" s="1">
        <v>317.0</v>
      </c>
      <c r="AV151" s="1">
        <v>328.0</v>
      </c>
      <c r="AW151" s="1" t="s">
        <v>68</v>
      </c>
      <c r="AX151" s="1" t="s">
        <v>3453</v>
      </c>
      <c r="AY151" s="3" t="str">
        <f>HYPERLINK("http://dx.doi.org/10.5194/jsss-8-317-2019","http://dx.doi.org/10.5194/jsss-8-317-2019")</f>
        <v>http://dx.doi.org/10.5194/jsss-8-317-2019</v>
      </c>
      <c r="AZ151" s="1" t="s">
        <v>68</v>
      </c>
      <c r="BA151" s="1" t="s">
        <v>68</v>
      </c>
      <c r="BB151" s="1">
        <v>12.0</v>
      </c>
      <c r="BC151" s="1" t="s">
        <v>3454</v>
      </c>
      <c r="BD151" s="1" t="s">
        <v>197</v>
      </c>
      <c r="BE151" s="1" t="s">
        <v>3454</v>
      </c>
      <c r="BF151" s="1" t="s">
        <v>3455</v>
      </c>
      <c r="BG151" s="1" t="s">
        <v>68</v>
      </c>
      <c r="BH151" s="1" t="s">
        <v>94</v>
      </c>
      <c r="BI151" s="1" t="s">
        <v>68</v>
      </c>
      <c r="BJ151" s="1" t="s">
        <v>68</v>
      </c>
      <c r="BK151" s="1" t="s">
        <v>95</v>
      </c>
      <c r="BL151" s="1" t="s">
        <v>3456</v>
      </c>
      <c r="BM151" s="1" t="str">
        <f>HYPERLINK("https%3A%2F%2Fwww.webofscience.com%2Fwos%2Fwoscc%2Ffull-record%2FWOS:000495389200001","View Full Record in Web of Science")</f>
        <v>View Full Record in Web of Science</v>
      </c>
    </row>
    <row r="152" ht="12.75" customHeight="1">
      <c r="A152" s="1" t="s">
        <v>65</v>
      </c>
      <c r="B152" s="1" t="s">
        <v>3457</v>
      </c>
      <c r="C152" s="1" t="s">
        <v>3458</v>
      </c>
      <c r="D152" s="1" t="s">
        <v>68</v>
      </c>
      <c r="E152" s="1" t="s">
        <v>3459</v>
      </c>
      <c r="F152" s="1" t="s">
        <v>3460</v>
      </c>
      <c r="G152" s="1" t="s">
        <v>68</v>
      </c>
      <c r="H152" s="1" t="s">
        <v>71</v>
      </c>
      <c r="I152" s="1" t="s">
        <v>72</v>
      </c>
      <c r="J152" s="1" t="s">
        <v>68</v>
      </c>
      <c r="K152" s="1" t="s">
        <v>68</v>
      </c>
      <c r="L152" s="1" t="s">
        <v>68</v>
      </c>
      <c r="M152" s="1" t="s">
        <v>68</v>
      </c>
      <c r="N152" s="1" t="s">
        <v>68</v>
      </c>
      <c r="O152" s="1" t="s">
        <v>3461</v>
      </c>
      <c r="P152" s="1" t="s">
        <v>3462</v>
      </c>
      <c r="Q152" s="1" t="s">
        <v>3463</v>
      </c>
      <c r="R152" s="1" t="s">
        <v>3464</v>
      </c>
      <c r="S152" s="1" t="s">
        <v>3465</v>
      </c>
      <c r="T152" s="1" t="s">
        <v>68</v>
      </c>
      <c r="U152" s="1" t="s">
        <v>68</v>
      </c>
      <c r="V152" s="1" t="s">
        <v>68</v>
      </c>
      <c r="W152" s="1" t="s">
        <v>68</v>
      </c>
      <c r="X152" s="1" t="s">
        <v>68</v>
      </c>
      <c r="Y152" s="1" t="s">
        <v>68</v>
      </c>
      <c r="Z152" s="1">
        <v>68.0</v>
      </c>
      <c r="AA152" s="1">
        <v>0.0</v>
      </c>
      <c r="AB152" s="1">
        <v>0.0</v>
      </c>
      <c r="AC152" s="1">
        <v>0.0</v>
      </c>
      <c r="AD152" s="1">
        <v>11.0</v>
      </c>
      <c r="AE152" s="1" t="s">
        <v>3466</v>
      </c>
      <c r="AF152" s="1" t="s">
        <v>3467</v>
      </c>
      <c r="AG152" s="1" t="s">
        <v>3468</v>
      </c>
      <c r="AH152" s="1" t="s">
        <v>3469</v>
      </c>
      <c r="AI152" s="1" t="s">
        <v>68</v>
      </c>
      <c r="AJ152" s="1" t="s">
        <v>68</v>
      </c>
      <c r="AK152" s="1" t="s">
        <v>3470</v>
      </c>
      <c r="AL152" s="1" t="s">
        <v>3471</v>
      </c>
      <c r="AM152" s="1" t="s">
        <v>790</v>
      </c>
      <c r="AN152" s="1">
        <v>2018.0</v>
      </c>
      <c r="AO152" s="1">
        <v>35.0</v>
      </c>
      <c r="AP152" s="1">
        <v>5.0</v>
      </c>
      <c r="AQ152" s="1" t="s">
        <v>68</v>
      </c>
      <c r="AR152" s="1" t="s">
        <v>68</v>
      </c>
      <c r="AS152" s="1" t="s">
        <v>68</v>
      </c>
      <c r="AT152" s="1" t="s">
        <v>68</v>
      </c>
      <c r="AU152" s="1">
        <v>571.0</v>
      </c>
      <c r="AV152" s="1">
        <v>587.0</v>
      </c>
      <c r="AW152" s="1" t="s">
        <v>68</v>
      </c>
      <c r="AX152" s="1" t="s">
        <v>68</v>
      </c>
      <c r="AY152" s="1" t="s">
        <v>68</v>
      </c>
      <c r="AZ152" s="1" t="s">
        <v>68</v>
      </c>
      <c r="BA152" s="1" t="s">
        <v>68</v>
      </c>
      <c r="BB152" s="1">
        <v>17.0</v>
      </c>
      <c r="BC152" s="1" t="s">
        <v>3472</v>
      </c>
      <c r="BD152" s="1" t="s">
        <v>197</v>
      </c>
      <c r="BE152" s="1" t="s">
        <v>3473</v>
      </c>
      <c r="BF152" s="1" t="s">
        <v>3474</v>
      </c>
      <c r="BG152" s="1" t="s">
        <v>68</v>
      </c>
      <c r="BH152" s="1" t="s">
        <v>68</v>
      </c>
      <c r="BI152" s="1" t="s">
        <v>68</v>
      </c>
      <c r="BJ152" s="1" t="s">
        <v>68</v>
      </c>
      <c r="BK152" s="1" t="s">
        <v>95</v>
      </c>
      <c r="BL152" s="1" t="s">
        <v>3475</v>
      </c>
      <c r="BM152" s="1" t="str">
        <f>HYPERLINK("https%3A%2F%2Fwww.webofscience.com%2Fwos%2Fwoscc%2Ffull-record%2FWOS:000444105300005","View Full Record in Web of Science")</f>
        <v>View Full Record in Web of Science</v>
      </c>
    </row>
    <row r="153" ht="12.75" customHeight="1">
      <c r="A153" s="1" t="s">
        <v>65</v>
      </c>
      <c r="B153" s="1" t="s">
        <v>3476</v>
      </c>
      <c r="C153" s="1" t="s">
        <v>3477</v>
      </c>
      <c r="D153" s="1" t="s">
        <v>68</v>
      </c>
      <c r="E153" s="1" t="s">
        <v>3478</v>
      </c>
      <c r="F153" s="1" t="s">
        <v>2647</v>
      </c>
      <c r="G153" s="1" t="s">
        <v>68</v>
      </c>
      <c r="H153" s="1" t="s">
        <v>71</v>
      </c>
      <c r="I153" s="1" t="s">
        <v>919</v>
      </c>
      <c r="J153" s="1" t="s">
        <v>3479</v>
      </c>
      <c r="K153" s="1" t="s">
        <v>3480</v>
      </c>
      <c r="L153" s="1" t="s">
        <v>3481</v>
      </c>
      <c r="M153" s="1" t="s">
        <v>68</v>
      </c>
      <c r="N153" s="1" t="s">
        <v>68</v>
      </c>
      <c r="O153" s="1" t="s">
        <v>3482</v>
      </c>
      <c r="P153" s="1" t="s">
        <v>3483</v>
      </c>
      <c r="Q153" s="1" t="s">
        <v>3484</v>
      </c>
      <c r="R153" s="1" t="s">
        <v>68</v>
      </c>
      <c r="S153" s="1" t="s">
        <v>3485</v>
      </c>
      <c r="T153" s="1" t="s">
        <v>3486</v>
      </c>
      <c r="U153" s="1" t="s">
        <v>68</v>
      </c>
      <c r="V153" s="1" t="s">
        <v>3487</v>
      </c>
      <c r="W153" s="1" t="s">
        <v>68</v>
      </c>
      <c r="X153" s="1" t="s">
        <v>68</v>
      </c>
      <c r="Y153" s="1" t="s">
        <v>68</v>
      </c>
      <c r="Z153" s="1">
        <v>78.0</v>
      </c>
      <c r="AA153" s="1">
        <v>1.0</v>
      </c>
      <c r="AB153" s="1">
        <v>1.0</v>
      </c>
      <c r="AC153" s="1">
        <v>2.0</v>
      </c>
      <c r="AD153" s="1">
        <v>5.0</v>
      </c>
      <c r="AE153" s="1" t="s">
        <v>2650</v>
      </c>
      <c r="AF153" s="1" t="s">
        <v>2651</v>
      </c>
      <c r="AG153" s="1" t="s">
        <v>2652</v>
      </c>
      <c r="AH153" s="1" t="s">
        <v>2653</v>
      </c>
      <c r="AI153" s="1" t="s">
        <v>2654</v>
      </c>
      <c r="AJ153" s="1" t="s">
        <v>68</v>
      </c>
      <c r="AK153" s="1" t="s">
        <v>2655</v>
      </c>
      <c r="AL153" s="1" t="s">
        <v>2656</v>
      </c>
      <c r="AM153" s="1" t="s">
        <v>1789</v>
      </c>
      <c r="AN153" s="1">
        <v>2025.0</v>
      </c>
      <c r="AO153" s="1">
        <v>101.0</v>
      </c>
      <c r="AP153" s="1">
        <v>1.0</v>
      </c>
      <c r="AQ153" s="1" t="s">
        <v>68</v>
      </c>
      <c r="AR153" s="1" t="s">
        <v>68</v>
      </c>
      <c r="AS153" s="1" t="s">
        <v>68</v>
      </c>
      <c r="AT153" s="1" t="s">
        <v>68</v>
      </c>
      <c r="AU153" s="1">
        <v>391.0</v>
      </c>
      <c r="AV153" s="1">
        <v>408.0</v>
      </c>
      <c r="AW153" s="1" t="s">
        <v>68</v>
      </c>
      <c r="AX153" s="1" t="s">
        <v>3488</v>
      </c>
      <c r="AY153" s="3" t="str">
        <f>HYPERLINK("http://dx.doi.org/10.5343/bms.2023.0104","http://dx.doi.org/10.5343/bms.2023.0104")</f>
        <v>http://dx.doi.org/10.5343/bms.2023.0104</v>
      </c>
      <c r="AZ153" s="1" t="s">
        <v>68</v>
      </c>
      <c r="BA153" s="1" t="s">
        <v>68</v>
      </c>
      <c r="BB153" s="1">
        <v>18.0</v>
      </c>
      <c r="BC153" s="1" t="s">
        <v>2657</v>
      </c>
      <c r="BD153" s="1" t="s">
        <v>934</v>
      </c>
      <c r="BE153" s="1" t="s">
        <v>2657</v>
      </c>
      <c r="BF153" s="1" t="s">
        <v>3489</v>
      </c>
      <c r="BG153" s="1" t="s">
        <v>68</v>
      </c>
      <c r="BH153" s="1" t="s">
        <v>867</v>
      </c>
      <c r="BI153" s="1" t="s">
        <v>68</v>
      </c>
      <c r="BJ153" s="1" t="s">
        <v>68</v>
      </c>
      <c r="BK153" s="1" t="s">
        <v>95</v>
      </c>
      <c r="BL153" s="1" t="s">
        <v>3490</v>
      </c>
      <c r="BM153" s="1" t="str">
        <f>HYPERLINK("https%3A%2F%2Fwww.webofscience.com%2Fwos%2Fwoscc%2Ffull-record%2FWOS:001470213700003","View Full Record in Web of Science")</f>
        <v>View Full Record in Web of Science</v>
      </c>
    </row>
    <row r="154" ht="12.75" customHeight="1">
      <c r="A154" s="1" t="s">
        <v>65</v>
      </c>
      <c r="B154" s="1" t="s">
        <v>3491</v>
      </c>
      <c r="C154" s="1" t="s">
        <v>3492</v>
      </c>
      <c r="D154" s="1" t="s">
        <v>68</v>
      </c>
      <c r="E154" s="1" t="s">
        <v>3493</v>
      </c>
      <c r="F154" s="1" t="s">
        <v>1518</v>
      </c>
      <c r="G154" s="1" t="s">
        <v>68</v>
      </c>
      <c r="H154" s="1" t="s">
        <v>71</v>
      </c>
      <c r="I154" s="1" t="s">
        <v>72</v>
      </c>
      <c r="J154" s="1" t="s">
        <v>68</v>
      </c>
      <c r="K154" s="1" t="s">
        <v>68</v>
      </c>
      <c r="L154" s="1" t="s">
        <v>68</v>
      </c>
      <c r="M154" s="1" t="s">
        <v>68</v>
      </c>
      <c r="N154" s="1" t="s">
        <v>3494</v>
      </c>
      <c r="O154" s="1" t="s">
        <v>68</v>
      </c>
      <c r="P154" s="1" t="s">
        <v>3495</v>
      </c>
      <c r="Q154" s="1" t="s">
        <v>3496</v>
      </c>
      <c r="R154" s="1" t="s">
        <v>3497</v>
      </c>
      <c r="S154" s="1" t="s">
        <v>3498</v>
      </c>
      <c r="T154" s="1" t="s">
        <v>3499</v>
      </c>
      <c r="U154" s="1" t="s">
        <v>3500</v>
      </c>
      <c r="V154" s="1" t="s">
        <v>3501</v>
      </c>
      <c r="W154" s="1" t="s">
        <v>3502</v>
      </c>
      <c r="X154" s="1" t="s">
        <v>3503</v>
      </c>
      <c r="Y154" s="1" t="s">
        <v>3504</v>
      </c>
      <c r="Z154" s="1">
        <v>60.0</v>
      </c>
      <c r="AA154" s="1">
        <v>0.0</v>
      </c>
      <c r="AB154" s="1">
        <v>0.0</v>
      </c>
      <c r="AC154" s="1">
        <v>0.0</v>
      </c>
      <c r="AD154" s="1">
        <v>0.0</v>
      </c>
      <c r="AE154" s="1" t="s">
        <v>1527</v>
      </c>
      <c r="AF154" s="1" t="s">
        <v>663</v>
      </c>
      <c r="AG154" s="1" t="s">
        <v>1528</v>
      </c>
      <c r="AH154" s="1" t="s">
        <v>1529</v>
      </c>
      <c r="AI154" s="1" t="s">
        <v>68</v>
      </c>
      <c r="AJ154" s="1" t="s">
        <v>68</v>
      </c>
      <c r="AK154" s="1" t="s">
        <v>1530</v>
      </c>
      <c r="AL154" s="1" t="s">
        <v>1531</v>
      </c>
      <c r="AM154" s="1" t="s">
        <v>68</v>
      </c>
      <c r="AN154" s="1">
        <v>2025.0</v>
      </c>
      <c r="AO154" s="1">
        <v>10.0</v>
      </c>
      <c r="AP154" s="1">
        <v>1.0</v>
      </c>
      <c r="AQ154" s="1" t="s">
        <v>68</v>
      </c>
      <c r="AR154" s="1" t="s">
        <v>68</v>
      </c>
      <c r="AS154" s="1" t="s">
        <v>68</v>
      </c>
      <c r="AT154" s="1" t="s">
        <v>68</v>
      </c>
      <c r="AU154" s="1" t="s">
        <v>68</v>
      </c>
      <c r="AV154" s="1" t="s">
        <v>68</v>
      </c>
      <c r="AW154" s="1">
        <v>30.0</v>
      </c>
      <c r="AX154" s="1" t="s">
        <v>3505</v>
      </c>
      <c r="AY154" s="3" t="str">
        <f>HYPERLINK("http://dx.doi.org/10.5334/cstp.889","http://dx.doi.org/10.5334/cstp.889")</f>
        <v>http://dx.doi.org/10.5334/cstp.889</v>
      </c>
      <c r="AZ154" s="1" t="s">
        <v>68</v>
      </c>
      <c r="BA154" s="1" t="s">
        <v>68</v>
      </c>
      <c r="BB154" s="1">
        <v>13.0</v>
      </c>
      <c r="BC154" s="1" t="s">
        <v>1533</v>
      </c>
      <c r="BD154" s="1" t="s">
        <v>197</v>
      </c>
      <c r="BE154" s="1" t="s">
        <v>1534</v>
      </c>
      <c r="BF154" s="1" t="s">
        <v>3506</v>
      </c>
      <c r="BG154" s="1" t="s">
        <v>68</v>
      </c>
      <c r="BH154" s="1" t="s">
        <v>462</v>
      </c>
      <c r="BI154" s="1" t="s">
        <v>68</v>
      </c>
      <c r="BJ154" s="1" t="s">
        <v>68</v>
      </c>
      <c r="BK154" s="1" t="s">
        <v>95</v>
      </c>
      <c r="BL154" s="1" t="s">
        <v>3507</v>
      </c>
      <c r="BM154" s="1" t="str">
        <f>HYPERLINK("https%3A%2F%2Fwww.webofscience.com%2Fwos%2Fwoscc%2Ffull-record%2FWOS:001657226700001","View Full Record in Web of Science")</f>
        <v>View Full Record in Web of Science</v>
      </c>
    </row>
    <row r="155" ht="12.75" customHeight="1">
      <c r="A155" s="1" t="s">
        <v>65</v>
      </c>
      <c r="B155" s="1" t="s">
        <v>3508</v>
      </c>
      <c r="C155" s="1" t="s">
        <v>3509</v>
      </c>
      <c r="D155" s="1" t="s">
        <v>68</v>
      </c>
      <c r="E155" s="1" t="s">
        <v>3510</v>
      </c>
      <c r="F155" s="1" t="s">
        <v>467</v>
      </c>
      <c r="G155" s="1" t="s">
        <v>68</v>
      </c>
      <c r="H155" s="1" t="s">
        <v>71</v>
      </c>
      <c r="I155" s="1" t="s">
        <v>72</v>
      </c>
      <c r="J155" s="1" t="s">
        <v>68</v>
      </c>
      <c r="K155" s="1" t="s">
        <v>68</v>
      </c>
      <c r="L155" s="1" t="s">
        <v>68</v>
      </c>
      <c r="M155" s="1" t="s">
        <v>68</v>
      </c>
      <c r="N155" s="1" t="s">
        <v>3511</v>
      </c>
      <c r="O155" s="1" t="s">
        <v>2075</v>
      </c>
      <c r="P155" s="1" t="s">
        <v>3512</v>
      </c>
      <c r="Q155" s="1" t="s">
        <v>3513</v>
      </c>
      <c r="R155" s="1" t="s">
        <v>3514</v>
      </c>
      <c r="S155" s="1" t="s">
        <v>3515</v>
      </c>
      <c r="T155" s="1" t="s">
        <v>3516</v>
      </c>
      <c r="U155" s="1" t="s">
        <v>3517</v>
      </c>
      <c r="V155" s="1" t="s">
        <v>3518</v>
      </c>
      <c r="W155" s="1" t="s">
        <v>3519</v>
      </c>
      <c r="X155" s="1" t="s">
        <v>3520</v>
      </c>
      <c r="Y155" s="1" t="s">
        <v>3521</v>
      </c>
      <c r="Z155" s="1">
        <v>48.0</v>
      </c>
      <c r="AA155" s="1">
        <v>8.0</v>
      </c>
      <c r="AB155" s="1">
        <v>9.0</v>
      </c>
      <c r="AC155" s="1">
        <v>3.0</v>
      </c>
      <c r="AD155" s="1">
        <v>16.0</v>
      </c>
      <c r="AE155" s="1" t="s">
        <v>83</v>
      </c>
      <c r="AF155" s="1" t="s">
        <v>84</v>
      </c>
      <c r="AG155" s="1" t="s">
        <v>85</v>
      </c>
      <c r="AH155" s="1" t="s">
        <v>68</v>
      </c>
      <c r="AI155" s="1" t="s">
        <v>479</v>
      </c>
      <c r="AJ155" s="1" t="s">
        <v>68</v>
      </c>
      <c r="AK155" s="1" t="s">
        <v>480</v>
      </c>
      <c r="AL155" s="1" t="s">
        <v>481</v>
      </c>
      <c r="AM155" s="1" t="s">
        <v>3522</v>
      </c>
      <c r="AN155" s="1">
        <v>2024.0</v>
      </c>
      <c r="AO155" s="1">
        <v>12.0</v>
      </c>
      <c r="AP155" s="1" t="s">
        <v>68</v>
      </c>
      <c r="AQ155" s="1" t="s">
        <v>68</v>
      </c>
      <c r="AR155" s="1" t="s">
        <v>68</v>
      </c>
      <c r="AS155" s="1" t="s">
        <v>68</v>
      </c>
      <c r="AT155" s="1" t="s">
        <v>68</v>
      </c>
      <c r="AU155" s="1" t="s">
        <v>68</v>
      </c>
      <c r="AV155" s="1" t="s">
        <v>68</v>
      </c>
      <c r="AW155" s="1">
        <v>1375675.0</v>
      </c>
      <c r="AX155" s="1" t="s">
        <v>3523</v>
      </c>
      <c r="AY155" s="3" t="str">
        <f>HYPERLINK("http://dx.doi.org/10.3389/fenvs.2024.1375675","http://dx.doi.org/10.3389/fenvs.2024.1375675")</f>
        <v>http://dx.doi.org/10.3389/fenvs.2024.1375675</v>
      </c>
      <c r="AZ155" s="1" t="s">
        <v>68</v>
      </c>
      <c r="BA155" s="1" t="s">
        <v>68</v>
      </c>
      <c r="BB155" s="1">
        <v>15.0</v>
      </c>
      <c r="BC155" s="1" t="s">
        <v>484</v>
      </c>
      <c r="BD155" s="1" t="s">
        <v>92</v>
      </c>
      <c r="BE155" s="1" t="s">
        <v>333</v>
      </c>
      <c r="BF155" s="1" t="s">
        <v>3524</v>
      </c>
      <c r="BG155" s="1" t="s">
        <v>68</v>
      </c>
      <c r="BH155" s="1" t="s">
        <v>94</v>
      </c>
      <c r="BI155" s="1" t="s">
        <v>68</v>
      </c>
      <c r="BJ155" s="1" t="s">
        <v>68</v>
      </c>
      <c r="BK155" s="1" t="s">
        <v>95</v>
      </c>
      <c r="BL155" s="1" t="s">
        <v>3525</v>
      </c>
      <c r="BM155" s="1" t="str">
        <f>HYPERLINK("https%3A%2F%2Fwww.webofscience.com%2Fwos%2Fwoscc%2Ffull-record%2FWOS:001236726200001","View Full Record in Web of Science")</f>
        <v>View Full Record in Web of Science</v>
      </c>
    </row>
    <row r="156" ht="12.75" customHeight="1">
      <c r="A156" s="1" t="s">
        <v>65</v>
      </c>
      <c r="B156" s="1" t="s">
        <v>3526</v>
      </c>
      <c r="C156" s="1" t="s">
        <v>3527</v>
      </c>
      <c r="D156" s="1" t="s">
        <v>68</v>
      </c>
      <c r="E156" s="1" t="s">
        <v>3528</v>
      </c>
      <c r="F156" s="1" t="s">
        <v>826</v>
      </c>
      <c r="G156" s="1" t="s">
        <v>68</v>
      </c>
      <c r="H156" s="1" t="s">
        <v>71</v>
      </c>
      <c r="I156" s="1" t="s">
        <v>72</v>
      </c>
      <c r="J156" s="1" t="s">
        <v>68</v>
      </c>
      <c r="K156" s="1" t="s">
        <v>68</v>
      </c>
      <c r="L156" s="1" t="s">
        <v>68</v>
      </c>
      <c r="M156" s="1" t="s">
        <v>68</v>
      </c>
      <c r="N156" s="1" t="s">
        <v>68</v>
      </c>
      <c r="O156" s="1" t="s">
        <v>3529</v>
      </c>
      <c r="P156" s="1" t="s">
        <v>3530</v>
      </c>
      <c r="Q156" s="1" t="s">
        <v>3531</v>
      </c>
      <c r="R156" s="1" t="s">
        <v>3532</v>
      </c>
      <c r="S156" s="1" t="s">
        <v>3533</v>
      </c>
      <c r="T156" s="1" t="s">
        <v>3534</v>
      </c>
      <c r="U156" s="1" t="s">
        <v>3535</v>
      </c>
      <c r="V156" s="1" t="s">
        <v>3536</v>
      </c>
      <c r="W156" s="1" t="s">
        <v>3537</v>
      </c>
      <c r="X156" s="1" t="s">
        <v>3538</v>
      </c>
      <c r="Y156" s="1" t="s">
        <v>3539</v>
      </c>
      <c r="Z156" s="1">
        <v>96.0</v>
      </c>
      <c r="AA156" s="1">
        <v>66.0</v>
      </c>
      <c r="AB156" s="1">
        <v>80.0</v>
      </c>
      <c r="AC156" s="1">
        <v>0.0</v>
      </c>
      <c r="AD156" s="1">
        <v>23.0</v>
      </c>
      <c r="AE156" s="1" t="s">
        <v>838</v>
      </c>
      <c r="AF156" s="1" t="s">
        <v>839</v>
      </c>
      <c r="AG156" s="1" t="s">
        <v>840</v>
      </c>
      <c r="AH156" s="1" t="s">
        <v>841</v>
      </c>
      <c r="AI156" s="1" t="s">
        <v>68</v>
      </c>
      <c r="AJ156" s="1" t="s">
        <v>68</v>
      </c>
      <c r="AK156" s="1" t="s">
        <v>842</v>
      </c>
      <c r="AL156" s="1" t="s">
        <v>843</v>
      </c>
      <c r="AM156" s="1" t="s">
        <v>330</v>
      </c>
      <c r="AN156" s="1">
        <v>2021.0</v>
      </c>
      <c r="AO156" s="1">
        <v>11.0</v>
      </c>
      <c r="AP156" s="1">
        <v>1.0</v>
      </c>
      <c r="AQ156" s="1" t="s">
        <v>68</v>
      </c>
      <c r="AR156" s="1" t="s">
        <v>68</v>
      </c>
      <c r="AS156" s="1" t="s">
        <v>68</v>
      </c>
      <c r="AT156" s="1" t="s">
        <v>68</v>
      </c>
      <c r="AU156" s="1" t="s">
        <v>68</v>
      </c>
      <c r="AV156" s="1" t="s">
        <v>68</v>
      </c>
      <c r="AW156" s="1">
        <v>3935.0</v>
      </c>
      <c r="AX156" s="1" t="s">
        <v>3540</v>
      </c>
      <c r="AY156" s="3" t="str">
        <f>HYPERLINK("http://dx.doi.org/10.1038/s41598-021-83477-6","http://dx.doi.org/10.1038/s41598-021-83477-6")</f>
        <v>http://dx.doi.org/10.1038/s41598-021-83477-6</v>
      </c>
      <c r="AZ156" s="1" t="s">
        <v>68</v>
      </c>
      <c r="BA156" s="1" t="s">
        <v>68</v>
      </c>
      <c r="BB156" s="1">
        <v>17.0</v>
      </c>
      <c r="BC156" s="1" t="s">
        <v>742</v>
      </c>
      <c r="BD156" s="1" t="s">
        <v>279</v>
      </c>
      <c r="BE156" s="1" t="s">
        <v>743</v>
      </c>
      <c r="BF156" s="1" t="s">
        <v>3541</v>
      </c>
      <c r="BG156" s="1">
        <v>3.3594157E7</v>
      </c>
      <c r="BH156" s="1" t="s">
        <v>94</v>
      </c>
      <c r="BI156" s="1" t="s">
        <v>68</v>
      </c>
      <c r="BJ156" s="1" t="s">
        <v>68</v>
      </c>
      <c r="BK156" s="1" t="s">
        <v>95</v>
      </c>
      <c r="BL156" s="1" t="s">
        <v>3542</v>
      </c>
      <c r="BM156" s="1" t="str">
        <f>HYPERLINK("https%3A%2F%2Fwww.webofscience.com%2Fwos%2Fwoscc%2Ffull-record%2FWOS:000626728100029","View Full Record in Web of Science")</f>
        <v>View Full Record in Web of Science</v>
      </c>
    </row>
    <row r="157" ht="12.75" customHeight="1">
      <c r="A157" s="1" t="s">
        <v>65</v>
      </c>
      <c r="B157" s="1" t="s">
        <v>3543</v>
      </c>
      <c r="C157" s="1" t="s">
        <v>3544</v>
      </c>
      <c r="D157" s="1" t="s">
        <v>68</v>
      </c>
      <c r="E157" s="1" t="s">
        <v>3545</v>
      </c>
      <c r="F157" s="1" t="s">
        <v>3546</v>
      </c>
      <c r="G157" s="1" t="s">
        <v>68</v>
      </c>
      <c r="H157" s="1" t="s">
        <v>71</v>
      </c>
      <c r="I157" s="1" t="s">
        <v>72</v>
      </c>
      <c r="J157" s="1" t="s">
        <v>68</v>
      </c>
      <c r="K157" s="1" t="s">
        <v>68</v>
      </c>
      <c r="L157" s="1" t="s">
        <v>68</v>
      </c>
      <c r="M157" s="1" t="s">
        <v>68</v>
      </c>
      <c r="N157" s="1" t="s">
        <v>3547</v>
      </c>
      <c r="O157" s="1" t="s">
        <v>68</v>
      </c>
      <c r="P157" s="1" t="s">
        <v>3548</v>
      </c>
      <c r="Q157" s="1" t="s">
        <v>3549</v>
      </c>
      <c r="R157" s="1" t="s">
        <v>3550</v>
      </c>
      <c r="S157" s="1" t="s">
        <v>3551</v>
      </c>
      <c r="T157" s="1" t="s">
        <v>3552</v>
      </c>
      <c r="U157" s="1" t="s">
        <v>3553</v>
      </c>
      <c r="V157" s="1" t="s">
        <v>3554</v>
      </c>
      <c r="W157" s="1" t="s">
        <v>3555</v>
      </c>
      <c r="X157" s="1" t="s">
        <v>3556</v>
      </c>
      <c r="Y157" s="1" t="s">
        <v>3557</v>
      </c>
      <c r="Z157" s="1">
        <v>10.0</v>
      </c>
      <c r="AA157" s="1">
        <v>8.0</v>
      </c>
      <c r="AB157" s="1">
        <v>8.0</v>
      </c>
      <c r="AC157" s="1">
        <v>0.0</v>
      </c>
      <c r="AD157" s="1">
        <v>15.0</v>
      </c>
      <c r="AE157" s="1" t="s">
        <v>1596</v>
      </c>
      <c r="AF157" s="1" t="s">
        <v>1182</v>
      </c>
      <c r="AG157" s="1" t="s">
        <v>1597</v>
      </c>
      <c r="AH157" s="1" t="s">
        <v>3558</v>
      </c>
      <c r="AI157" s="1" t="s">
        <v>3559</v>
      </c>
      <c r="AJ157" s="1" t="s">
        <v>68</v>
      </c>
      <c r="AK157" s="1" t="s">
        <v>3560</v>
      </c>
      <c r="AL157" s="1" t="s">
        <v>3561</v>
      </c>
      <c r="AM157" s="1" t="s">
        <v>1264</v>
      </c>
      <c r="AN157" s="1">
        <v>2020.0</v>
      </c>
      <c r="AO157" s="1">
        <v>60.0</v>
      </c>
      <c r="AP157" s="1" t="s">
        <v>68</v>
      </c>
      <c r="AQ157" s="1" t="s">
        <v>68</v>
      </c>
      <c r="AR157" s="1" t="s">
        <v>68</v>
      </c>
      <c r="AS157" s="1" t="s">
        <v>68</v>
      </c>
      <c r="AT157" s="1" t="s">
        <v>68</v>
      </c>
      <c r="AU157" s="1" t="s">
        <v>68</v>
      </c>
      <c r="AV157" s="1" t="s">
        <v>68</v>
      </c>
      <c r="AW157" s="1">
        <v>101176.0</v>
      </c>
      <c r="AX157" s="1" t="s">
        <v>3562</v>
      </c>
      <c r="AY157" s="3" t="str">
        <f>HYPERLINK("http://dx.doi.org/10.1016/j.ecoinf.2020.101176","http://dx.doi.org/10.1016/j.ecoinf.2020.101176")</f>
        <v>http://dx.doi.org/10.1016/j.ecoinf.2020.101176</v>
      </c>
      <c r="AZ157" s="1" t="s">
        <v>68</v>
      </c>
      <c r="BA157" s="1" t="s">
        <v>68</v>
      </c>
      <c r="BB157" s="1">
        <v>6.0</v>
      </c>
      <c r="BC157" s="1" t="s">
        <v>332</v>
      </c>
      <c r="BD157" s="1" t="s">
        <v>92</v>
      </c>
      <c r="BE157" s="1" t="s">
        <v>333</v>
      </c>
      <c r="BF157" s="1" t="s">
        <v>3563</v>
      </c>
      <c r="BG157" s="1" t="s">
        <v>68</v>
      </c>
      <c r="BH157" s="1" t="s">
        <v>591</v>
      </c>
      <c r="BI157" s="1" t="s">
        <v>68</v>
      </c>
      <c r="BJ157" s="1" t="s">
        <v>68</v>
      </c>
      <c r="BK157" s="1" t="s">
        <v>95</v>
      </c>
      <c r="BL157" s="1" t="s">
        <v>3564</v>
      </c>
      <c r="BM157" s="1" t="str">
        <f>HYPERLINK("https%3A%2F%2Fwww.webofscience.com%2Fwos%2Fwoscc%2Ffull-record%2FWOS:000591931200002","View Full Record in Web of Science")</f>
        <v>View Full Record in Web of Science</v>
      </c>
    </row>
    <row r="158" ht="12.75" customHeight="1">
      <c r="A158" s="1" t="s">
        <v>65</v>
      </c>
      <c r="B158" s="1" t="s">
        <v>3565</v>
      </c>
      <c r="C158" s="1" t="s">
        <v>3566</v>
      </c>
      <c r="D158" s="1" t="s">
        <v>68</v>
      </c>
      <c r="E158" s="1" t="s">
        <v>3567</v>
      </c>
      <c r="F158" s="1" t="s">
        <v>3568</v>
      </c>
      <c r="G158" s="1" t="s">
        <v>68</v>
      </c>
      <c r="H158" s="1" t="s">
        <v>71</v>
      </c>
      <c r="I158" s="1" t="s">
        <v>72</v>
      </c>
      <c r="J158" s="1" t="s">
        <v>68</v>
      </c>
      <c r="K158" s="1" t="s">
        <v>68</v>
      </c>
      <c r="L158" s="1" t="s">
        <v>68</v>
      </c>
      <c r="M158" s="1" t="s">
        <v>68</v>
      </c>
      <c r="N158" s="1" t="s">
        <v>3569</v>
      </c>
      <c r="O158" s="1" t="s">
        <v>3570</v>
      </c>
      <c r="P158" s="1" t="s">
        <v>3571</v>
      </c>
      <c r="Q158" s="1" t="s">
        <v>3572</v>
      </c>
      <c r="R158" s="1" t="s">
        <v>3573</v>
      </c>
      <c r="S158" s="1" t="s">
        <v>3574</v>
      </c>
      <c r="T158" s="1" t="s">
        <v>3575</v>
      </c>
      <c r="U158" s="1" t="s">
        <v>3576</v>
      </c>
      <c r="V158" s="1" t="s">
        <v>3577</v>
      </c>
      <c r="W158" s="1" t="s">
        <v>3578</v>
      </c>
      <c r="X158" s="1" t="s">
        <v>3579</v>
      </c>
      <c r="Y158" s="1" t="s">
        <v>3580</v>
      </c>
      <c r="Z158" s="1">
        <v>101.0</v>
      </c>
      <c r="AA158" s="1">
        <v>0.0</v>
      </c>
      <c r="AB158" s="1">
        <v>0.0</v>
      </c>
      <c r="AC158" s="1">
        <v>1.0</v>
      </c>
      <c r="AD158" s="1">
        <v>1.0</v>
      </c>
      <c r="AE158" s="1" t="s">
        <v>1596</v>
      </c>
      <c r="AF158" s="1" t="s">
        <v>1182</v>
      </c>
      <c r="AG158" s="1" t="s">
        <v>1597</v>
      </c>
      <c r="AH158" s="1" t="s">
        <v>3581</v>
      </c>
      <c r="AI158" s="1" t="s">
        <v>3582</v>
      </c>
      <c r="AJ158" s="1" t="s">
        <v>68</v>
      </c>
      <c r="AK158" s="1" t="s">
        <v>3583</v>
      </c>
      <c r="AL158" s="1" t="s">
        <v>3584</v>
      </c>
      <c r="AM158" s="1" t="s">
        <v>457</v>
      </c>
      <c r="AN158" s="1">
        <v>2025.0</v>
      </c>
      <c r="AO158" s="1">
        <v>265.0</v>
      </c>
      <c r="AP158" s="1" t="s">
        <v>68</v>
      </c>
      <c r="AQ158" s="1" t="s">
        <v>68</v>
      </c>
      <c r="AR158" s="1" t="s">
        <v>68</v>
      </c>
      <c r="AS158" s="1" t="s">
        <v>68</v>
      </c>
      <c r="AT158" s="1" t="s">
        <v>68</v>
      </c>
      <c r="AU158" s="1" t="s">
        <v>68</v>
      </c>
      <c r="AV158" s="1" t="s">
        <v>68</v>
      </c>
      <c r="AW158" s="1">
        <v>107619.0</v>
      </c>
      <c r="AX158" s="1" t="s">
        <v>3585</v>
      </c>
      <c r="AY158" s="3" t="str">
        <f>HYPERLINK("http://dx.doi.org/10.1016/j.actatropica.2025.107619","http://dx.doi.org/10.1016/j.actatropica.2025.107619")</f>
        <v>http://dx.doi.org/10.1016/j.actatropica.2025.107619</v>
      </c>
      <c r="AZ158" s="1" t="s">
        <v>68</v>
      </c>
      <c r="BA158" s="1" t="s">
        <v>3586</v>
      </c>
      <c r="BB158" s="1">
        <v>13.0</v>
      </c>
      <c r="BC158" s="1" t="s">
        <v>1289</v>
      </c>
      <c r="BD158" s="1" t="s">
        <v>92</v>
      </c>
      <c r="BE158" s="1" t="s">
        <v>1289</v>
      </c>
      <c r="BF158" s="1" t="s">
        <v>3587</v>
      </c>
      <c r="BG158" s="1">
        <v>4.0252788E7</v>
      </c>
      <c r="BH158" s="1" t="s">
        <v>68</v>
      </c>
      <c r="BI158" s="1" t="s">
        <v>68</v>
      </c>
      <c r="BJ158" s="1" t="s">
        <v>68</v>
      </c>
      <c r="BK158" s="1" t="s">
        <v>95</v>
      </c>
      <c r="BL158" s="1" t="s">
        <v>3588</v>
      </c>
      <c r="BM158" s="1" t="str">
        <f>HYPERLINK("https%3A%2F%2Fwww.webofscience.com%2Fwos%2Fwoscc%2Ffull-record%2FWOS:001489887000001","View Full Record in Web of Science")</f>
        <v>View Full Record in Web of Science</v>
      </c>
    </row>
    <row r="159" ht="12.75" customHeight="1">
      <c r="A159" s="1" t="s">
        <v>65</v>
      </c>
      <c r="B159" s="1" t="s">
        <v>3589</v>
      </c>
      <c r="C159" s="1" t="s">
        <v>3590</v>
      </c>
      <c r="D159" s="1" t="s">
        <v>68</v>
      </c>
      <c r="E159" s="1" t="s">
        <v>3591</v>
      </c>
      <c r="F159" s="1" t="s">
        <v>3592</v>
      </c>
      <c r="G159" s="1" t="s">
        <v>68</v>
      </c>
      <c r="H159" s="1" t="s">
        <v>71</v>
      </c>
      <c r="I159" s="1" t="s">
        <v>72</v>
      </c>
      <c r="J159" s="1" t="s">
        <v>68</v>
      </c>
      <c r="K159" s="1" t="s">
        <v>68</v>
      </c>
      <c r="L159" s="1" t="s">
        <v>68</v>
      </c>
      <c r="M159" s="1" t="s">
        <v>68</v>
      </c>
      <c r="N159" s="1" t="s">
        <v>3593</v>
      </c>
      <c r="O159" s="1" t="s">
        <v>3594</v>
      </c>
      <c r="P159" s="1" t="s">
        <v>3595</v>
      </c>
      <c r="Q159" s="1" t="s">
        <v>3596</v>
      </c>
      <c r="R159" s="1" t="s">
        <v>3597</v>
      </c>
      <c r="S159" s="1" t="s">
        <v>3598</v>
      </c>
      <c r="T159" s="1" t="s">
        <v>3599</v>
      </c>
      <c r="U159" s="1" t="s">
        <v>68</v>
      </c>
      <c r="V159" s="1" t="s">
        <v>3600</v>
      </c>
      <c r="W159" s="1" t="s">
        <v>3601</v>
      </c>
      <c r="X159" s="1" t="s">
        <v>3602</v>
      </c>
      <c r="Y159" s="1" t="s">
        <v>3603</v>
      </c>
      <c r="Z159" s="1">
        <v>95.0</v>
      </c>
      <c r="AA159" s="1">
        <v>4.0</v>
      </c>
      <c r="AB159" s="1">
        <v>4.0</v>
      </c>
      <c r="AC159" s="1">
        <v>2.0</v>
      </c>
      <c r="AD159" s="1">
        <v>10.0</v>
      </c>
      <c r="AE159" s="1" t="s">
        <v>1596</v>
      </c>
      <c r="AF159" s="1" t="s">
        <v>1182</v>
      </c>
      <c r="AG159" s="1" t="s">
        <v>1597</v>
      </c>
      <c r="AH159" s="1" t="s">
        <v>3604</v>
      </c>
      <c r="AI159" s="1" t="s">
        <v>3605</v>
      </c>
      <c r="AJ159" s="1" t="s">
        <v>68</v>
      </c>
      <c r="AK159" s="1" t="s">
        <v>3606</v>
      </c>
      <c r="AL159" s="1" t="s">
        <v>3607</v>
      </c>
      <c r="AM159" s="1" t="s">
        <v>1435</v>
      </c>
      <c r="AN159" s="1">
        <v>2024.0</v>
      </c>
      <c r="AO159" s="1">
        <v>116.0</v>
      </c>
      <c r="AP159" s="1" t="s">
        <v>68</v>
      </c>
      <c r="AQ159" s="1" t="s">
        <v>68</v>
      </c>
      <c r="AR159" s="1" t="s">
        <v>68</v>
      </c>
      <c r="AS159" s="1" t="s">
        <v>68</v>
      </c>
      <c r="AT159" s="1" t="s">
        <v>68</v>
      </c>
      <c r="AU159" s="1" t="s">
        <v>68</v>
      </c>
      <c r="AV159" s="1" t="s">
        <v>68</v>
      </c>
      <c r="AW159" s="1">
        <v>105890.0</v>
      </c>
      <c r="AX159" s="1" t="s">
        <v>3608</v>
      </c>
      <c r="AY159" s="3" t="str">
        <f>HYPERLINK("http://dx.doi.org/10.1016/j.scs.2024.105890","http://dx.doi.org/10.1016/j.scs.2024.105890")</f>
        <v>http://dx.doi.org/10.1016/j.scs.2024.105890</v>
      </c>
      <c r="AZ159" s="1" t="s">
        <v>68</v>
      </c>
      <c r="BA159" s="1" t="s">
        <v>3609</v>
      </c>
      <c r="BB159" s="1">
        <v>14.0</v>
      </c>
      <c r="BC159" s="1" t="s">
        <v>3610</v>
      </c>
      <c r="BD159" s="1" t="s">
        <v>92</v>
      </c>
      <c r="BE159" s="1" t="s">
        <v>3611</v>
      </c>
      <c r="BF159" s="1" t="s">
        <v>3612</v>
      </c>
      <c r="BG159" s="1" t="s">
        <v>68</v>
      </c>
      <c r="BH159" s="1" t="s">
        <v>867</v>
      </c>
      <c r="BI159" s="1" t="s">
        <v>68</v>
      </c>
      <c r="BJ159" s="1" t="s">
        <v>68</v>
      </c>
      <c r="BK159" s="1" t="s">
        <v>95</v>
      </c>
      <c r="BL159" s="1" t="s">
        <v>3613</v>
      </c>
      <c r="BM159" s="1" t="str">
        <f>HYPERLINK("https%3A%2F%2Fwww.webofscience.com%2Fwos%2Fwoscc%2Ffull-record%2FWOS:001347536800001","View Full Record in Web of Science")</f>
        <v>View Full Record in Web of Science</v>
      </c>
    </row>
    <row r="160" ht="12.75" customHeight="1">
      <c r="A160" s="1" t="s">
        <v>65</v>
      </c>
      <c r="B160" s="1" t="s">
        <v>3614</v>
      </c>
      <c r="C160" s="1" t="s">
        <v>3615</v>
      </c>
      <c r="D160" s="1" t="s">
        <v>68</v>
      </c>
      <c r="E160" s="1" t="s">
        <v>3616</v>
      </c>
      <c r="F160" s="1" t="s">
        <v>1948</v>
      </c>
      <c r="G160" s="1" t="s">
        <v>68</v>
      </c>
      <c r="H160" s="1" t="s">
        <v>71</v>
      </c>
      <c r="I160" s="1" t="s">
        <v>72</v>
      </c>
      <c r="J160" s="1" t="s">
        <v>68</v>
      </c>
      <c r="K160" s="1" t="s">
        <v>68</v>
      </c>
      <c r="L160" s="1" t="s">
        <v>68</v>
      </c>
      <c r="M160" s="1" t="s">
        <v>68</v>
      </c>
      <c r="N160" s="1" t="s">
        <v>3617</v>
      </c>
      <c r="O160" s="1" t="s">
        <v>3618</v>
      </c>
      <c r="P160" s="1" t="s">
        <v>3619</v>
      </c>
      <c r="Q160" s="1" t="s">
        <v>3620</v>
      </c>
      <c r="R160" s="1" t="s">
        <v>2416</v>
      </c>
      <c r="S160" s="1" t="s">
        <v>3621</v>
      </c>
      <c r="T160" s="1" t="s">
        <v>3622</v>
      </c>
      <c r="U160" s="1" t="s">
        <v>3623</v>
      </c>
      <c r="V160" s="1" t="s">
        <v>3624</v>
      </c>
      <c r="W160" s="1" t="s">
        <v>3625</v>
      </c>
      <c r="X160" s="1" t="s">
        <v>3625</v>
      </c>
      <c r="Y160" s="1" t="s">
        <v>3626</v>
      </c>
      <c r="Z160" s="1">
        <v>54.0</v>
      </c>
      <c r="AA160" s="1">
        <v>47.0</v>
      </c>
      <c r="AB160" s="1">
        <v>56.0</v>
      </c>
      <c r="AC160" s="1">
        <v>1.0</v>
      </c>
      <c r="AD160" s="1">
        <v>40.0</v>
      </c>
      <c r="AE160" s="1" t="s">
        <v>1960</v>
      </c>
      <c r="AF160" s="1" t="s">
        <v>663</v>
      </c>
      <c r="AG160" s="1" t="s">
        <v>1961</v>
      </c>
      <c r="AH160" s="1" t="s">
        <v>1962</v>
      </c>
      <c r="AI160" s="1" t="s">
        <v>1963</v>
      </c>
      <c r="AJ160" s="1" t="s">
        <v>68</v>
      </c>
      <c r="AK160" s="1" t="s">
        <v>1964</v>
      </c>
      <c r="AL160" s="1" t="s">
        <v>1965</v>
      </c>
      <c r="AM160" s="1" t="s">
        <v>959</v>
      </c>
      <c r="AN160" s="1">
        <v>2020.0</v>
      </c>
      <c r="AO160" s="1">
        <v>267.0</v>
      </c>
      <c r="AP160" s="1" t="s">
        <v>68</v>
      </c>
      <c r="AQ160" s="1" t="s">
        <v>68</v>
      </c>
      <c r="AR160" s="1" t="s">
        <v>68</v>
      </c>
      <c r="AS160" s="1" t="s">
        <v>68</v>
      </c>
      <c r="AT160" s="1" t="s">
        <v>68</v>
      </c>
      <c r="AU160" s="1" t="s">
        <v>68</v>
      </c>
      <c r="AV160" s="1" t="s">
        <v>68</v>
      </c>
      <c r="AW160" s="1">
        <v>110608.0</v>
      </c>
      <c r="AX160" s="1" t="s">
        <v>3627</v>
      </c>
      <c r="AY160" s="3" t="str">
        <f>HYPERLINK("http://dx.doi.org/10.1016/j.jenvman.2020.110608","http://dx.doi.org/10.1016/j.jenvman.2020.110608")</f>
        <v>http://dx.doi.org/10.1016/j.jenvman.2020.110608</v>
      </c>
      <c r="AZ160" s="1" t="s">
        <v>68</v>
      </c>
      <c r="BA160" s="1" t="s">
        <v>68</v>
      </c>
      <c r="BB160" s="1">
        <v>8.0</v>
      </c>
      <c r="BC160" s="1" t="s">
        <v>484</v>
      </c>
      <c r="BD160" s="1" t="s">
        <v>92</v>
      </c>
      <c r="BE160" s="1" t="s">
        <v>333</v>
      </c>
      <c r="BF160" s="1" t="s">
        <v>3628</v>
      </c>
      <c r="BG160" s="1">
        <v>3.2349951E7</v>
      </c>
      <c r="BH160" s="1" t="s">
        <v>644</v>
      </c>
      <c r="BI160" s="1" t="s">
        <v>68</v>
      </c>
      <c r="BJ160" s="1" t="s">
        <v>68</v>
      </c>
      <c r="BK160" s="1" t="s">
        <v>95</v>
      </c>
      <c r="BL160" s="1" t="s">
        <v>3629</v>
      </c>
      <c r="BM160" s="1" t="str">
        <f>HYPERLINK("https%3A%2F%2Fwww.webofscience.com%2Fwos%2Fwoscc%2Ffull-record%2FWOS:000533525100015","View Full Record in Web of Science")</f>
        <v>View Full Record in Web of Science</v>
      </c>
    </row>
    <row r="161" ht="12.75" customHeight="1">
      <c r="A161" s="1" t="s">
        <v>65</v>
      </c>
      <c r="B161" s="1" t="s">
        <v>3630</v>
      </c>
      <c r="C161" s="1" t="s">
        <v>3631</v>
      </c>
      <c r="D161" s="1" t="s">
        <v>68</v>
      </c>
      <c r="E161" s="1" t="s">
        <v>3632</v>
      </c>
      <c r="F161" s="1" t="s">
        <v>3633</v>
      </c>
      <c r="G161" s="1" t="s">
        <v>68</v>
      </c>
      <c r="H161" s="1" t="s">
        <v>3634</v>
      </c>
      <c r="I161" s="1" t="s">
        <v>597</v>
      </c>
      <c r="J161" s="1" t="s">
        <v>68</v>
      </c>
      <c r="K161" s="1" t="s">
        <v>68</v>
      </c>
      <c r="L161" s="1" t="s">
        <v>68</v>
      </c>
      <c r="M161" s="1" t="s">
        <v>68</v>
      </c>
      <c r="N161" s="1" t="s">
        <v>68</v>
      </c>
      <c r="O161" s="1" t="s">
        <v>68</v>
      </c>
      <c r="P161" s="1" t="s">
        <v>68</v>
      </c>
      <c r="Q161" s="1" t="s">
        <v>3635</v>
      </c>
      <c r="R161" s="1" t="s">
        <v>68</v>
      </c>
      <c r="S161" s="1" t="s">
        <v>3636</v>
      </c>
      <c r="T161" s="1" t="s">
        <v>3637</v>
      </c>
      <c r="U161" s="1" t="s">
        <v>68</v>
      </c>
      <c r="V161" s="1" t="s">
        <v>68</v>
      </c>
      <c r="W161" s="1" t="s">
        <v>68</v>
      </c>
      <c r="X161" s="1" t="s">
        <v>68</v>
      </c>
      <c r="Y161" s="1" t="s">
        <v>68</v>
      </c>
      <c r="Z161" s="1">
        <v>0.0</v>
      </c>
      <c r="AA161" s="1">
        <v>0.0</v>
      </c>
      <c r="AB161" s="1">
        <v>0.0</v>
      </c>
      <c r="AC161" s="1">
        <v>3.0</v>
      </c>
      <c r="AD161" s="1">
        <v>15.0</v>
      </c>
      <c r="AE161" s="1" t="s">
        <v>3638</v>
      </c>
      <c r="AF161" s="1" t="s">
        <v>3639</v>
      </c>
      <c r="AG161" s="1" t="s">
        <v>3640</v>
      </c>
      <c r="AH161" s="1" t="s">
        <v>3641</v>
      </c>
      <c r="AI161" s="1" t="s">
        <v>3642</v>
      </c>
      <c r="AJ161" s="1" t="s">
        <v>68</v>
      </c>
      <c r="AK161" s="1" t="s">
        <v>3643</v>
      </c>
      <c r="AL161" s="1" t="s">
        <v>3644</v>
      </c>
      <c r="AM161" s="1" t="s">
        <v>3645</v>
      </c>
      <c r="AN161" s="1">
        <v>2019.0</v>
      </c>
      <c r="AO161" s="1">
        <v>43.0</v>
      </c>
      <c r="AP161" s="1">
        <v>4.0</v>
      </c>
      <c r="AQ161" s="1" t="s">
        <v>68</v>
      </c>
      <c r="AR161" s="1" t="s">
        <v>68</v>
      </c>
      <c r="AS161" s="1" t="s">
        <v>68</v>
      </c>
      <c r="AT161" s="1" t="s">
        <v>68</v>
      </c>
      <c r="AU161" s="1">
        <v>221.0</v>
      </c>
      <c r="AV161" s="1">
        <v>222.0</v>
      </c>
      <c r="AW161" s="1" t="s">
        <v>68</v>
      </c>
      <c r="AX161" s="1" t="s">
        <v>3646</v>
      </c>
      <c r="AY161" s="3" t="str">
        <f>HYPERLINK("http://dx.doi.org/10.19191/EP19.4.P221.075","http://dx.doi.org/10.19191/EP19.4.P221.075")</f>
        <v>http://dx.doi.org/10.19191/EP19.4.P221.075</v>
      </c>
      <c r="AZ161" s="1" t="s">
        <v>68</v>
      </c>
      <c r="BA161" s="1" t="s">
        <v>68</v>
      </c>
      <c r="BB161" s="1">
        <v>2.0</v>
      </c>
      <c r="BC161" s="1" t="s">
        <v>3647</v>
      </c>
      <c r="BD161" s="1" t="s">
        <v>279</v>
      </c>
      <c r="BE161" s="1" t="s">
        <v>3647</v>
      </c>
      <c r="BF161" s="1" t="s">
        <v>3648</v>
      </c>
      <c r="BG161" s="1">
        <v>3.1650777E7</v>
      </c>
      <c r="BH161" s="1" t="s">
        <v>68</v>
      </c>
      <c r="BI161" s="1" t="s">
        <v>68</v>
      </c>
      <c r="BJ161" s="1" t="s">
        <v>68</v>
      </c>
      <c r="BK161" s="1" t="s">
        <v>95</v>
      </c>
      <c r="BL161" s="1" t="s">
        <v>3649</v>
      </c>
      <c r="BM161" s="1" t="str">
        <f>HYPERLINK("https%3A%2F%2Fwww.webofscience.com%2Fwos%2Fwoscc%2Ffull-record%2FWOS:000575429500009","View Full Record in Web of Science")</f>
        <v>View Full Record in Web of Science</v>
      </c>
    </row>
    <row r="162" ht="12.75" customHeight="1">
      <c r="A162" s="1" t="s">
        <v>65</v>
      </c>
      <c r="B162" s="1" t="s">
        <v>3650</v>
      </c>
      <c r="C162" s="1" t="s">
        <v>3651</v>
      </c>
      <c r="D162" s="1" t="s">
        <v>68</v>
      </c>
      <c r="E162" s="1" t="s">
        <v>3652</v>
      </c>
      <c r="F162" s="1" t="s">
        <v>3653</v>
      </c>
      <c r="G162" s="1" t="s">
        <v>68</v>
      </c>
      <c r="H162" s="1" t="s">
        <v>71</v>
      </c>
      <c r="I162" s="1" t="s">
        <v>72</v>
      </c>
      <c r="J162" s="1" t="s">
        <v>68</v>
      </c>
      <c r="K162" s="1" t="s">
        <v>68</v>
      </c>
      <c r="L162" s="1" t="s">
        <v>68</v>
      </c>
      <c r="M162" s="1" t="s">
        <v>68</v>
      </c>
      <c r="N162" s="1" t="s">
        <v>3654</v>
      </c>
      <c r="O162" s="1" t="s">
        <v>3655</v>
      </c>
      <c r="P162" s="1" t="s">
        <v>3656</v>
      </c>
      <c r="Q162" s="1" t="s">
        <v>3657</v>
      </c>
      <c r="R162" s="1" t="s">
        <v>3658</v>
      </c>
      <c r="S162" s="1" t="s">
        <v>3659</v>
      </c>
      <c r="T162" s="1" t="s">
        <v>3660</v>
      </c>
      <c r="U162" s="1" t="s">
        <v>3661</v>
      </c>
      <c r="V162" s="1" t="s">
        <v>3662</v>
      </c>
      <c r="W162" s="1" t="s">
        <v>3663</v>
      </c>
      <c r="X162" s="1" t="s">
        <v>3664</v>
      </c>
      <c r="Y162" s="1" t="s">
        <v>3665</v>
      </c>
      <c r="Z162" s="1">
        <v>55.0</v>
      </c>
      <c r="AA162" s="1">
        <v>18.0</v>
      </c>
      <c r="AB162" s="1">
        <v>24.0</v>
      </c>
      <c r="AC162" s="1">
        <v>0.0</v>
      </c>
      <c r="AD162" s="1">
        <v>57.0</v>
      </c>
      <c r="AE162" s="1" t="s">
        <v>3666</v>
      </c>
      <c r="AF162" s="1" t="s">
        <v>84</v>
      </c>
      <c r="AG162" s="1" t="s">
        <v>3667</v>
      </c>
      <c r="AH162" s="1" t="s">
        <v>3668</v>
      </c>
      <c r="AI162" s="1" t="s">
        <v>3669</v>
      </c>
      <c r="AJ162" s="1" t="s">
        <v>68</v>
      </c>
      <c r="AK162" s="1" t="s">
        <v>3670</v>
      </c>
      <c r="AL162" s="1" t="s">
        <v>3671</v>
      </c>
      <c r="AM162" s="1" t="s">
        <v>3672</v>
      </c>
      <c r="AN162" s="1">
        <v>2020.0</v>
      </c>
      <c r="AO162" s="1">
        <v>229.0</v>
      </c>
      <c r="AP162" s="1" t="s">
        <v>68</v>
      </c>
      <c r="AQ162" s="1" t="s">
        <v>68</v>
      </c>
      <c r="AR162" s="1" t="s">
        <v>68</v>
      </c>
      <c r="AS162" s="1" t="s">
        <v>68</v>
      </c>
      <c r="AT162" s="1" t="s">
        <v>68</v>
      </c>
      <c r="AU162" s="1" t="s">
        <v>68</v>
      </c>
      <c r="AV162" s="1" t="s">
        <v>68</v>
      </c>
      <c r="AW162" s="1">
        <v>110526.0</v>
      </c>
      <c r="AX162" s="1" t="s">
        <v>3673</v>
      </c>
      <c r="AY162" s="3" t="str">
        <f>HYPERLINK("http://dx.doi.org/10.1016/j.enbuild.2020.110526","http://dx.doi.org/10.1016/j.enbuild.2020.110526")</f>
        <v>http://dx.doi.org/10.1016/j.enbuild.2020.110526</v>
      </c>
      <c r="AZ162" s="1" t="s">
        <v>68</v>
      </c>
      <c r="BA162" s="1" t="s">
        <v>68</v>
      </c>
      <c r="BB162" s="1">
        <v>15.0</v>
      </c>
      <c r="BC162" s="1" t="s">
        <v>3674</v>
      </c>
      <c r="BD162" s="1" t="s">
        <v>92</v>
      </c>
      <c r="BE162" s="1" t="s">
        <v>3675</v>
      </c>
      <c r="BF162" s="1" t="s">
        <v>3676</v>
      </c>
      <c r="BG162" s="1" t="s">
        <v>68</v>
      </c>
      <c r="BH162" s="1" t="s">
        <v>591</v>
      </c>
      <c r="BI162" s="1" t="s">
        <v>68</v>
      </c>
      <c r="BJ162" s="1" t="s">
        <v>68</v>
      </c>
      <c r="BK162" s="1" t="s">
        <v>95</v>
      </c>
      <c r="BL162" s="1" t="s">
        <v>3677</v>
      </c>
      <c r="BM162" s="1" t="str">
        <f>HYPERLINK("https%3A%2F%2Fwww.webofscience.com%2Fwos%2Fwoscc%2Ffull-record%2FWOS:000582959200007","View Full Record in Web of Science")</f>
        <v>View Full Record in Web of Science</v>
      </c>
    </row>
    <row r="163" ht="12.75" customHeight="1">
      <c r="A163" s="1" t="s">
        <v>65</v>
      </c>
      <c r="B163" s="1" t="s">
        <v>3678</v>
      </c>
      <c r="C163" s="1" t="s">
        <v>3679</v>
      </c>
      <c r="D163" s="1" t="s">
        <v>68</v>
      </c>
      <c r="E163" s="1" t="s">
        <v>3680</v>
      </c>
      <c r="F163" s="1" t="s">
        <v>3681</v>
      </c>
      <c r="G163" s="1" t="s">
        <v>68</v>
      </c>
      <c r="H163" s="1" t="s">
        <v>71</v>
      </c>
      <c r="I163" s="1" t="s">
        <v>72</v>
      </c>
      <c r="J163" s="1" t="s">
        <v>68</v>
      </c>
      <c r="K163" s="1" t="s">
        <v>68</v>
      </c>
      <c r="L163" s="1" t="s">
        <v>68</v>
      </c>
      <c r="M163" s="1" t="s">
        <v>68</v>
      </c>
      <c r="N163" s="1" t="s">
        <v>3682</v>
      </c>
      <c r="O163" s="1" t="s">
        <v>3683</v>
      </c>
      <c r="P163" s="1" t="s">
        <v>3684</v>
      </c>
      <c r="Q163" s="1" t="s">
        <v>3685</v>
      </c>
      <c r="R163" s="1" t="s">
        <v>3686</v>
      </c>
      <c r="S163" s="1" t="s">
        <v>3687</v>
      </c>
      <c r="T163" s="1" t="s">
        <v>3688</v>
      </c>
      <c r="U163" s="1" t="s">
        <v>3689</v>
      </c>
      <c r="V163" s="1" t="s">
        <v>3690</v>
      </c>
      <c r="W163" s="1" t="s">
        <v>3691</v>
      </c>
      <c r="X163" s="1" t="s">
        <v>3691</v>
      </c>
      <c r="Y163" s="1" t="s">
        <v>3692</v>
      </c>
      <c r="Z163" s="1">
        <v>74.0</v>
      </c>
      <c r="AA163" s="1">
        <v>16.0</v>
      </c>
      <c r="AB163" s="1">
        <v>19.0</v>
      </c>
      <c r="AC163" s="1">
        <v>5.0</v>
      </c>
      <c r="AD163" s="1">
        <v>45.0</v>
      </c>
      <c r="AE163" s="1" t="s">
        <v>503</v>
      </c>
      <c r="AF163" s="1" t="s">
        <v>504</v>
      </c>
      <c r="AG163" s="1" t="s">
        <v>505</v>
      </c>
      <c r="AH163" s="1" t="s">
        <v>3693</v>
      </c>
      <c r="AI163" s="1" t="s">
        <v>3694</v>
      </c>
      <c r="AJ163" s="1" t="s">
        <v>68</v>
      </c>
      <c r="AK163" s="1" t="s">
        <v>3695</v>
      </c>
      <c r="AL163" s="1" t="s">
        <v>3696</v>
      </c>
      <c r="AM163" s="1" t="s">
        <v>1169</v>
      </c>
      <c r="AN163" s="1">
        <v>2024.0</v>
      </c>
      <c r="AO163" s="1">
        <v>17.0</v>
      </c>
      <c r="AP163" s="1">
        <v>2.0</v>
      </c>
      <c r="AQ163" s="1" t="s">
        <v>68</v>
      </c>
      <c r="AR163" s="1" t="s">
        <v>68</v>
      </c>
      <c r="AS163" s="1" t="s">
        <v>563</v>
      </c>
      <c r="AT163" s="1" t="s">
        <v>68</v>
      </c>
      <c r="AU163" s="1">
        <v>345.0</v>
      </c>
      <c r="AV163" s="1">
        <v>357.0</v>
      </c>
      <c r="AW163" s="1" t="s">
        <v>68</v>
      </c>
      <c r="AX163" s="1" t="s">
        <v>3697</v>
      </c>
      <c r="AY163" s="3" t="str">
        <f>HYPERLINK("http://dx.doi.org/10.1111/icad.12645","http://dx.doi.org/10.1111/icad.12645")</f>
        <v>http://dx.doi.org/10.1111/icad.12645</v>
      </c>
      <c r="AZ163" s="1" t="s">
        <v>68</v>
      </c>
      <c r="BA163" s="1" t="s">
        <v>1834</v>
      </c>
      <c r="BB163" s="1">
        <v>13.0</v>
      </c>
      <c r="BC163" s="1" t="s">
        <v>3698</v>
      </c>
      <c r="BD163" s="1" t="s">
        <v>92</v>
      </c>
      <c r="BE163" s="1" t="s">
        <v>3699</v>
      </c>
      <c r="BF163" s="1" t="s">
        <v>3700</v>
      </c>
      <c r="BG163" s="1" t="s">
        <v>68</v>
      </c>
      <c r="BH163" s="1" t="s">
        <v>867</v>
      </c>
      <c r="BI163" s="1" t="s">
        <v>68</v>
      </c>
      <c r="BJ163" s="1" t="s">
        <v>68</v>
      </c>
      <c r="BK163" s="1" t="s">
        <v>95</v>
      </c>
      <c r="BL163" s="1" t="s">
        <v>3701</v>
      </c>
      <c r="BM163" s="1" t="str">
        <f>HYPERLINK("https%3A%2F%2Fwww.webofscience.com%2Fwos%2Fwoscc%2Ffull-record%2FWOS:000994027700001","View Full Record in Web of Science")</f>
        <v>View Full Record in Web of Science</v>
      </c>
    </row>
    <row r="164" ht="12.75" customHeight="1">
      <c r="A164" s="1" t="s">
        <v>65</v>
      </c>
      <c r="B164" s="1" t="s">
        <v>3702</v>
      </c>
      <c r="C164" s="1" t="s">
        <v>3703</v>
      </c>
      <c r="D164" s="1" t="s">
        <v>68</v>
      </c>
      <c r="E164" s="1" t="s">
        <v>3704</v>
      </c>
      <c r="F164" s="1" t="s">
        <v>2455</v>
      </c>
      <c r="G164" s="1" t="s">
        <v>68</v>
      </c>
      <c r="H164" s="1" t="s">
        <v>71</v>
      </c>
      <c r="I164" s="1" t="s">
        <v>72</v>
      </c>
      <c r="J164" s="1" t="s">
        <v>68</v>
      </c>
      <c r="K164" s="1" t="s">
        <v>68</v>
      </c>
      <c r="L164" s="1" t="s">
        <v>68</v>
      </c>
      <c r="M164" s="1" t="s">
        <v>68</v>
      </c>
      <c r="N164" s="1" t="s">
        <v>3705</v>
      </c>
      <c r="O164" s="1" t="s">
        <v>3706</v>
      </c>
      <c r="P164" s="1" t="s">
        <v>3707</v>
      </c>
      <c r="Q164" s="1" t="s">
        <v>3708</v>
      </c>
      <c r="R164" s="1" t="s">
        <v>3709</v>
      </c>
      <c r="S164" s="1" t="s">
        <v>3710</v>
      </c>
      <c r="T164" s="1" t="s">
        <v>3711</v>
      </c>
      <c r="U164" s="1" t="s">
        <v>3712</v>
      </c>
      <c r="V164" s="1" t="s">
        <v>3713</v>
      </c>
      <c r="W164" s="1" t="s">
        <v>3714</v>
      </c>
      <c r="X164" s="1" t="s">
        <v>3715</v>
      </c>
      <c r="Y164" s="1" t="s">
        <v>3716</v>
      </c>
      <c r="Z164" s="1">
        <v>84.0</v>
      </c>
      <c r="AA164" s="1">
        <v>4.0</v>
      </c>
      <c r="AB164" s="1">
        <v>4.0</v>
      </c>
      <c r="AC164" s="1">
        <v>0.0</v>
      </c>
      <c r="AD164" s="1">
        <v>11.0</v>
      </c>
      <c r="AE164" s="1" t="s">
        <v>1596</v>
      </c>
      <c r="AF164" s="1" t="s">
        <v>1182</v>
      </c>
      <c r="AG164" s="1" t="s">
        <v>1597</v>
      </c>
      <c r="AH164" s="1" t="s">
        <v>68</v>
      </c>
      <c r="AI164" s="1" t="s">
        <v>2468</v>
      </c>
      <c r="AJ164" s="1" t="s">
        <v>68</v>
      </c>
      <c r="AK164" s="1" t="s">
        <v>2469</v>
      </c>
      <c r="AL164" s="1" t="s">
        <v>2470</v>
      </c>
      <c r="AM164" s="1" t="s">
        <v>790</v>
      </c>
      <c r="AN164" s="1">
        <v>2021.0</v>
      </c>
      <c r="AO164" s="1">
        <v>28.0</v>
      </c>
      <c r="AP164" s="1" t="s">
        <v>68</v>
      </c>
      <c r="AQ164" s="1" t="s">
        <v>68</v>
      </c>
      <c r="AR164" s="1" t="s">
        <v>68</v>
      </c>
      <c r="AS164" s="1" t="s">
        <v>68</v>
      </c>
      <c r="AT164" s="1" t="s">
        <v>68</v>
      </c>
      <c r="AU164" s="1" t="s">
        <v>68</v>
      </c>
      <c r="AV164" s="1" t="s">
        <v>68</v>
      </c>
      <c r="AW164" s="1" t="s">
        <v>3717</v>
      </c>
      <c r="AX164" s="1" t="s">
        <v>3718</v>
      </c>
      <c r="AY164" s="3" t="str">
        <f>HYPERLINK("http://dx.doi.org/10.1016/j.gecco.2021.e01626","http://dx.doi.org/10.1016/j.gecco.2021.e01626")</f>
        <v>http://dx.doi.org/10.1016/j.gecco.2021.e01626</v>
      </c>
      <c r="AZ164" s="1" t="s">
        <v>68</v>
      </c>
      <c r="BA164" s="1" t="s">
        <v>68</v>
      </c>
      <c r="BB164" s="1">
        <v>15.0</v>
      </c>
      <c r="BC164" s="1" t="s">
        <v>1011</v>
      </c>
      <c r="BD164" s="1" t="s">
        <v>92</v>
      </c>
      <c r="BE164" s="1" t="s">
        <v>123</v>
      </c>
      <c r="BF164" s="1" t="s">
        <v>3719</v>
      </c>
      <c r="BG164" s="1" t="s">
        <v>68</v>
      </c>
      <c r="BH164" s="1" t="s">
        <v>94</v>
      </c>
      <c r="BI164" s="1" t="s">
        <v>68</v>
      </c>
      <c r="BJ164" s="1" t="s">
        <v>68</v>
      </c>
      <c r="BK164" s="1" t="s">
        <v>95</v>
      </c>
      <c r="BL164" s="1" t="s">
        <v>3720</v>
      </c>
      <c r="BM164" s="1" t="str">
        <f>HYPERLINK("https%3A%2F%2Fwww.webofscience.com%2Fwos%2Fwoscc%2Ffull-record%2FWOS:000684184500005","View Full Record in Web of Science")</f>
        <v>View Full Record in Web of Science</v>
      </c>
    </row>
    <row r="165" ht="12.75" customHeight="1">
      <c r="A165" s="1" t="s">
        <v>65</v>
      </c>
      <c r="B165" s="1" t="s">
        <v>3721</v>
      </c>
      <c r="C165" s="1" t="s">
        <v>3722</v>
      </c>
      <c r="D165" s="1" t="s">
        <v>68</v>
      </c>
      <c r="E165" s="1" t="s">
        <v>3723</v>
      </c>
      <c r="F165" s="1" t="s">
        <v>1518</v>
      </c>
      <c r="G165" s="1" t="s">
        <v>68</v>
      </c>
      <c r="H165" s="1" t="s">
        <v>71</v>
      </c>
      <c r="I165" s="1" t="s">
        <v>72</v>
      </c>
      <c r="J165" s="1" t="s">
        <v>68</v>
      </c>
      <c r="K165" s="1" t="s">
        <v>68</v>
      </c>
      <c r="L165" s="1" t="s">
        <v>68</v>
      </c>
      <c r="M165" s="1" t="s">
        <v>68</v>
      </c>
      <c r="N165" s="1" t="s">
        <v>3724</v>
      </c>
      <c r="O165" s="1" t="s">
        <v>3725</v>
      </c>
      <c r="P165" s="1" t="s">
        <v>3726</v>
      </c>
      <c r="Q165" s="1" t="s">
        <v>3727</v>
      </c>
      <c r="R165" s="1" t="s">
        <v>3728</v>
      </c>
      <c r="S165" s="1" t="s">
        <v>3729</v>
      </c>
      <c r="T165" s="1" t="s">
        <v>3730</v>
      </c>
      <c r="U165" s="1" t="s">
        <v>68</v>
      </c>
      <c r="V165" s="1" t="s">
        <v>3731</v>
      </c>
      <c r="W165" s="1" t="s">
        <v>3732</v>
      </c>
      <c r="X165" s="1" t="s">
        <v>3732</v>
      </c>
      <c r="Y165" s="1" t="s">
        <v>3733</v>
      </c>
      <c r="Z165" s="1">
        <v>60.0</v>
      </c>
      <c r="AA165" s="1">
        <v>0.0</v>
      </c>
      <c r="AB165" s="1">
        <v>0.0</v>
      </c>
      <c r="AC165" s="1">
        <v>0.0</v>
      </c>
      <c r="AD165" s="1">
        <v>0.0</v>
      </c>
      <c r="AE165" s="1" t="s">
        <v>1527</v>
      </c>
      <c r="AF165" s="1" t="s">
        <v>663</v>
      </c>
      <c r="AG165" s="1" t="s">
        <v>1528</v>
      </c>
      <c r="AH165" s="1" t="s">
        <v>1529</v>
      </c>
      <c r="AI165" s="1" t="s">
        <v>68</v>
      </c>
      <c r="AJ165" s="1" t="s">
        <v>68</v>
      </c>
      <c r="AK165" s="1" t="s">
        <v>1530</v>
      </c>
      <c r="AL165" s="1" t="s">
        <v>1531</v>
      </c>
      <c r="AM165" s="1" t="s">
        <v>68</v>
      </c>
      <c r="AN165" s="1">
        <v>2025.0</v>
      </c>
      <c r="AO165" s="1">
        <v>10.0</v>
      </c>
      <c r="AP165" s="1">
        <v>1.0</v>
      </c>
      <c r="AQ165" s="1" t="s">
        <v>68</v>
      </c>
      <c r="AR165" s="1" t="s">
        <v>68</v>
      </c>
      <c r="AS165" s="1" t="s">
        <v>68</v>
      </c>
      <c r="AT165" s="1" t="s">
        <v>68</v>
      </c>
      <c r="AU165" s="1" t="s">
        <v>68</v>
      </c>
      <c r="AV165" s="1" t="s">
        <v>68</v>
      </c>
      <c r="AW165" s="1">
        <v>20.0</v>
      </c>
      <c r="AX165" s="1" t="s">
        <v>3734</v>
      </c>
      <c r="AY165" s="3" t="str">
        <f>HYPERLINK("http://dx.doi.org/10.5334/cstp.757","http://dx.doi.org/10.5334/cstp.757")</f>
        <v>http://dx.doi.org/10.5334/cstp.757</v>
      </c>
      <c r="AZ165" s="1" t="s">
        <v>68</v>
      </c>
      <c r="BA165" s="1" t="s">
        <v>68</v>
      </c>
      <c r="BB165" s="1">
        <v>14.0</v>
      </c>
      <c r="BC165" s="1" t="s">
        <v>1533</v>
      </c>
      <c r="BD165" s="1" t="s">
        <v>197</v>
      </c>
      <c r="BE165" s="1" t="s">
        <v>1534</v>
      </c>
      <c r="BF165" s="1" t="s">
        <v>3735</v>
      </c>
      <c r="BG165" s="1" t="s">
        <v>68</v>
      </c>
      <c r="BH165" s="1" t="s">
        <v>94</v>
      </c>
      <c r="BI165" s="1" t="s">
        <v>68</v>
      </c>
      <c r="BJ165" s="1" t="s">
        <v>68</v>
      </c>
      <c r="BK165" s="1" t="s">
        <v>95</v>
      </c>
      <c r="BL165" s="1" t="s">
        <v>3736</v>
      </c>
      <c r="BM165" s="1" t="str">
        <f>HYPERLINK("https%3A%2F%2Fwww.webofscience.com%2Fwos%2Fwoscc%2Ffull-record%2FWOS:001555709800008","View Full Record in Web of Science")</f>
        <v>View Full Record in Web of Science</v>
      </c>
    </row>
    <row r="166" ht="12.75" customHeight="1">
      <c r="A166" s="1" t="s">
        <v>65</v>
      </c>
      <c r="B166" s="1" t="s">
        <v>3737</v>
      </c>
      <c r="C166" s="1" t="s">
        <v>3738</v>
      </c>
      <c r="D166" s="1" t="s">
        <v>68</v>
      </c>
      <c r="E166" s="1" t="s">
        <v>3739</v>
      </c>
      <c r="F166" s="1" t="s">
        <v>2647</v>
      </c>
      <c r="G166" s="1" t="s">
        <v>68</v>
      </c>
      <c r="H166" s="1" t="s">
        <v>71</v>
      </c>
      <c r="I166" s="1" t="s">
        <v>45</v>
      </c>
      <c r="J166" s="1" t="s">
        <v>68</v>
      </c>
      <c r="K166" s="1" t="s">
        <v>68</v>
      </c>
      <c r="L166" s="1" t="s">
        <v>68</v>
      </c>
      <c r="M166" s="1" t="s">
        <v>68</v>
      </c>
      <c r="N166" s="1" t="s">
        <v>68</v>
      </c>
      <c r="O166" s="1" t="s">
        <v>68</v>
      </c>
      <c r="P166" s="1" t="s">
        <v>68</v>
      </c>
      <c r="Q166" s="1" t="s">
        <v>3740</v>
      </c>
      <c r="R166" s="1" t="s">
        <v>3741</v>
      </c>
      <c r="S166" s="1" t="s">
        <v>68</v>
      </c>
      <c r="T166" s="1" t="s">
        <v>3742</v>
      </c>
      <c r="U166" s="1" t="s">
        <v>68</v>
      </c>
      <c r="V166" s="1" t="s">
        <v>68</v>
      </c>
      <c r="W166" s="1" t="s">
        <v>68</v>
      </c>
      <c r="X166" s="1" t="s">
        <v>68</v>
      </c>
      <c r="Y166" s="1" t="s">
        <v>68</v>
      </c>
      <c r="Z166" s="1">
        <v>0.0</v>
      </c>
      <c r="AA166" s="1">
        <v>0.0</v>
      </c>
      <c r="AB166" s="1">
        <v>0.0</v>
      </c>
      <c r="AC166" s="1">
        <v>0.0</v>
      </c>
      <c r="AD166" s="1">
        <v>0.0</v>
      </c>
      <c r="AE166" s="1" t="s">
        <v>2650</v>
      </c>
      <c r="AF166" s="1" t="s">
        <v>2651</v>
      </c>
      <c r="AG166" s="1" t="s">
        <v>2652</v>
      </c>
      <c r="AH166" s="1" t="s">
        <v>2653</v>
      </c>
      <c r="AI166" s="1" t="s">
        <v>2654</v>
      </c>
      <c r="AJ166" s="1" t="s">
        <v>68</v>
      </c>
      <c r="AK166" s="1" t="s">
        <v>2655</v>
      </c>
      <c r="AL166" s="1" t="s">
        <v>2656</v>
      </c>
      <c r="AM166" s="1" t="s">
        <v>1789</v>
      </c>
      <c r="AN166" s="1">
        <v>2025.0</v>
      </c>
      <c r="AO166" s="1">
        <v>101.0</v>
      </c>
      <c r="AP166" s="1">
        <v>1.0</v>
      </c>
      <c r="AQ166" s="1" t="s">
        <v>68</v>
      </c>
      <c r="AR166" s="1" t="s">
        <v>68</v>
      </c>
      <c r="AS166" s="1" t="s">
        <v>68</v>
      </c>
      <c r="AT166" s="1" t="s">
        <v>68</v>
      </c>
      <c r="AU166" s="1" t="s">
        <v>68</v>
      </c>
      <c r="AV166" s="1" t="s">
        <v>68</v>
      </c>
      <c r="AW166" s="1" t="s">
        <v>68</v>
      </c>
      <c r="AX166" s="1" t="s">
        <v>68</v>
      </c>
      <c r="AY166" s="1" t="s">
        <v>68</v>
      </c>
      <c r="AZ166" s="1" t="s">
        <v>68</v>
      </c>
      <c r="BA166" s="1" t="s">
        <v>68</v>
      </c>
      <c r="BB166" s="1">
        <v>1.0</v>
      </c>
      <c r="BC166" s="1" t="s">
        <v>2657</v>
      </c>
      <c r="BD166" s="1" t="s">
        <v>92</v>
      </c>
      <c r="BE166" s="1" t="s">
        <v>2657</v>
      </c>
      <c r="BF166" s="1" t="s">
        <v>3743</v>
      </c>
      <c r="BG166" s="1" t="s">
        <v>68</v>
      </c>
      <c r="BH166" s="1" t="s">
        <v>68</v>
      </c>
      <c r="BI166" s="1" t="s">
        <v>68</v>
      </c>
      <c r="BJ166" s="1" t="s">
        <v>68</v>
      </c>
      <c r="BK166" s="1" t="s">
        <v>95</v>
      </c>
      <c r="BL166" s="1" t="s">
        <v>3744</v>
      </c>
      <c r="BM166" s="1" t="str">
        <f>HYPERLINK("https%3A%2F%2Fwww.webofscience.com%2Fwos%2Fwoscc%2Ffull-record%2FWOS:001504692000463","View Full Record in Web of Science")</f>
        <v>View Full Record in Web of Science</v>
      </c>
    </row>
    <row r="167" ht="12.75" customHeight="1">
      <c r="A167" s="1" t="s">
        <v>65</v>
      </c>
      <c r="B167" s="1" t="s">
        <v>3745</v>
      </c>
      <c r="C167" s="1" t="s">
        <v>3746</v>
      </c>
      <c r="D167" s="1" t="s">
        <v>68</v>
      </c>
      <c r="E167" s="1" t="s">
        <v>3747</v>
      </c>
      <c r="F167" s="1" t="s">
        <v>3748</v>
      </c>
      <c r="G167" s="1" t="s">
        <v>68</v>
      </c>
      <c r="H167" s="1" t="s">
        <v>71</v>
      </c>
      <c r="I167" s="1" t="s">
        <v>72</v>
      </c>
      <c r="J167" s="1" t="s">
        <v>68</v>
      </c>
      <c r="K167" s="1" t="s">
        <v>68</v>
      </c>
      <c r="L167" s="1" t="s">
        <v>68</v>
      </c>
      <c r="M167" s="1" t="s">
        <v>68</v>
      </c>
      <c r="N167" s="1" t="s">
        <v>3749</v>
      </c>
      <c r="O167" s="1" t="s">
        <v>3750</v>
      </c>
      <c r="P167" s="1" t="s">
        <v>3751</v>
      </c>
      <c r="Q167" s="1" t="s">
        <v>3752</v>
      </c>
      <c r="R167" s="1" t="s">
        <v>3753</v>
      </c>
      <c r="S167" s="1" t="s">
        <v>3754</v>
      </c>
      <c r="T167" s="1" t="s">
        <v>3755</v>
      </c>
      <c r="U167" s="1" t="s">
        <v>3756</v>
      </c>
      <c r="V167" s="1" t="s">
        <v>3757</v>
      </c>
      <c r="W167" s="1" t="s">
        <v>3758</v>
      </c>
      <c r="X167" s="1" t="s">
        <v>3759</v>
      </c>
      <c r="Y167" s="1" t="s">
        <v>3760</v>
      </c>
      <c r="Z167" s="1">
        <v>70.0</v>
      </c>
      <c r="AA167" s="1">
        <v>35.0</v>
      </c>
      <c r="AB167" s="1">
        <v>39.0</v>
      </c>
      <c r="AC167" s="1">
        <v>1.0</v>
      </c>
      <c r="AD167" s="1">
        <v>26.0</v>
      </c>
      <c r="AE167" s="1" t="s">
        <v>1596</v>
      </c>
      <c r="AF167" s="1" t="s">
        <v>1182</v>
      </c>
      <c r="AG167" s="1" t="s">
        <v>1597</v>
      </c>
      <c r="AH167" s="1" t="s">
        <v>3761</v>
      </c>
      <c r="AI167" s="1" t="s">
        <v>3762</v>
      </c>
      <c r="AJ167" s="1" t="s">
        <v>68</v>
      </c>
      <c r="AK167" s="1" t="s">
        <v>3763</v>
      </c>
      <c r="AL167" s="1" t="s">
        <v>3764</v>
      </c>
      <c r="AM167" s="1" t="s">
        <v>1264</v>
      </c>
      <c r="AN167" s="1">
        <v>2018.0</v>
      </c>
      <c r="AO167" s="1">
        <v>94.0</v>
      </c>
      <c r="AP167" s="1" t="s">
        <v>68</v>
      </c>
      <c r="AQ167" s="1">
        <v>1.0</v>
      </c>
      <c r="AR167" s="1" t="s">
        <v>68</v>
      </c>
      <c r="AS167" s="1" t="s">
        <v>68</v>
      </c>
      <c r="AT167" s="1" t="s">
        <v>68</v>
      </c>
      <c r="AU167" s="1">
        <v>283.0</v>
      </c>
      <c r="AV167" s="1">
        <v>291.0</v>
      </c>
      <c r="AW167" s="1" t="s">
        <v>68</v>
      </c>
      <c r="AX167" s="1" t="s">
        <v>3765</v>
      </c>
      <c r="AY167" s="3" t="str">
        <f>HYPERLINK("http://dx.doi.org/10.1016/j.ecolind.2018.06.064","http://dx.doi.org/10.1016/j.ecolind.2018.06.064")</f>
        <v>http://dx.doi.org/10.1016/j.ecolind.2018.06.064</v>
      </c>
      <c r="AZ167" s="1" t="s">
        <v>68</v>
      </c>
      <c r="BA167" s="1" t="s">
        <v>68</v>
      </c>
      <c r="BB167" s="1">
        <v>9.0</v>
      </c>
      <c r="BC167" s="1" t="s">
        <v>3766</v>
      </c>
      <c r="BD167" s="1" t="s">
        <v>92</v>
      </c>
      <c r="BE167" s="1" t="s">
        <v>123</v>
      </c>
      <c r="BF167" s="1" t="s">
        <v>3767</v>
      </c>
      <c r="BG167" s="1" t="s">
        <v>68</v>
      </c>
      <c r="BH167" s="1" t="s">
        <v>68</v>
      </c>
      <c r="BI167" s="1" t="s">
        <v>68</v>
      </c>
      <c r="BJ167" s="1" t="s">
        <v>68</v>
      </c>
      <c r="BK167" s="1" t="s">
        <v>95</v>
      </c>
      <c r="BL167" s="1" t="s">
        <v>3768</v>
      </c>
      <c r="BM167" s="1" t="str">
        <f>HYPERLINK("https%3A%2F%2Fwww.webofscience.com%2Fwos%2Fwoscc%2Ffull-record%2FWOS:000452692500029","View Full Record in Web of Science")</f>
        <v>View Full Record in Web of Science</v>
      </c>
    </row>
    <row r="168" ht="12.75" customHeight="1">
      <c r="A168" s="1" t="s">
        <v>65</v>
      </c>
      <c r="B168" s="1" t="s">
        <v>3769</v>
      </c>
      <c r="C168" s="1" t="s">
        <v>3770</v>
      </c>
      <c r="D168" s="1" t="s">
        <v>68</v>
      </c>
      <c r="E168" s="1" t="s">
        <v>3771</v>
      </c>
      <c r="F168" s="1" t="s">
        <v>571</v>
      </c>
      <c r="G168" s="1" t="s">
        <v>68</v>
      </c>
      <c r="H168" s="1" t="s">
        <v>71</v>
      </c>
      <c r="I168" s="1" t="s">
        <v>72</v>
      </c>
      <c r="J168" s="1" t="s">
        <v>68</v>
      </c>
      <c r="K168" s="1" t="s">
        <v>68</v>
      </c>
      <c r="L168" s="1" t="s">
        <v>68</v>
      </c>
      <c r="M168" s="1" t="s">
        <v>68</v>
      </c>
      <c r="N168" s="1" t="s">
        <v>3772</v>
      </c>
      <c r="O168" s="1" t="s">
        <v>3773</v>
      </c>
      <c r="P168" s="1" t="s">
        <v>3774</v>
      </c>
      <c r="Q168" s="1" t="s">
        <v>3775</v>
      </c>
      <c r="R168" s="1" t="s">
        <v>3776</v>
      </c>
      <c r="S168" s="1" t="s">
        <v>3777</v>
      </c>
      <c r="T168" s="1" t="s">
        <v>3778</v>
      </c>
      <c r="U168" s="1" t="s">
        <v>3779</v>
      </c>
      <c r="V168" s="1" t="s">
        <v>3780</v>
      </c>
      <c r="W168" s="1" t="s">
        <v>68</v>
      </c>
      <c r="X168" s="1" t="s">
        <v>68</v>
      </c>
      <c r="Y168" s="1" t="s">
        <v>68</v>
      </c>
      <c r="Z168" s="1">
        <v>46.0</v>
      </c>
      <c r="AA168" s="1">
        <v>49.0</v>
      </c>
      <c r="AB168" s="1">
        <v>60.0</v>
      </c>
      <c r="AC168" s="1">
        <v>1.0</v>
      </c>
      <c r="AD168" s="1">
        <v>76.0</v>
      </c>
      <c r="AE168" s="1" t="s">
        <v>503</v>
      </c>
      <c r="AF168" s="1" t="s">
        <v>504</v>
      </c>
      <c r="AG168" s="1" t="s">
        <v>505</v>
      </c>
      <c r="AH168" s="1" t="s">
        <v>586</v>
      </c>
      <c r="AI168" s="1" t="s">
        <v>3781</v>
      </c>
      <c r="AJ168" s="1" t="s">
        <v>68</v>
      </c>
      <c r="AK168" s="1" t="s">
        <v>587</v>
      </c>
      <c r="AL168" s="1" t="s">
        <v>588</v>
      </c>
      <c r="AM168" s="1" t="s">
        <v>3782</v>
      </c>
      <c r="AN168" s="1">
        <v>2016.0</v>
      </c>
      <c r="AO168" s="1">
        <v>30.0</v>
      </c>
      <c r="AP168" s="1">
        <v>3.0</v>
      </c>
      <c r="AQ168" s="1" t="s">
        <v>68</v>
      </c>
      <c r="AR168" s="1" t="s">
        <v>68</v>
      </c>
      <c r="AS168" s="1" t="s">
        <v>68</v>
      </c>
      <c r="AT168" s="1" t="s">
        <v>68</v>
      </c>
      <c r="AU168" s="1">
        <v>456.0</v>
      </c>
      <c r="AV168" s="1">
        <v>466.0</v>
      </c>
      <c r="AW168" s="1" t="s">
        <v>68</v>
      </c>
      <c r="AX168" s="1" t="s">
        <v>3783</v>
      </c>
      <c r="AY168" s="3" t="str">
        <f>HYPERLINK("http://dx.doi.org/10.1111/cobi.12697","http://dx.doi.org/10.1111/cobi.12697")</f>
        <v>http://dx.doi.org/10.1111/cobi.12697</v>
      </c>
      <c r="AZ168" s="1" t="s">
        <v>68</v>
      </c>
      <c r="BA168" s="1" t="s">
        <v>68</v>
      </c>
      <c r="BB168" s="1">
        <v>11.0</v>
      </c>
      <c r="BC168" s="1" t="s">
        <v>122</v>
      </c>
      <c r="BD168" s="1" t="s">
        <v>279</v>
      </c>
      <c r="BE168" s="1" t="s">
        <v>123</v>
      </c>
      <c r="BF168" s="1" t="s">
        <v>3784</v>
      </c>
      <c r="BG168" s="1">
        <v>2.711186E7</v>
      </c>
      <c r="BH168" s="1" t="s">
        <v>68</v>
      </c>
      <c r="BI168" s="1" t="s">
        <v>68</v>
      </c>
      <c r="BJ168" s="1" t="s">
        <v>68</v>
      </c>
      <c r="BK168" s="1" t="s">
        <v>95</v>
      </c>
      <c r="BL168" s="1" t="s">
        <v>3785</v>
      </c>
      <c r="BM168" s="1" t="str">
        <f>HYPERLINK("https%3A%2F%2Fwww.webofscience.com%2Fwos%2Fwoscc%2Ffull-record%2FWOS:000379945600003","View Full Record in Web of Science")</f>
        <v>View Full Record in Web of Science</v>
      </c>
    </row>
    <row r="169" ht="12.75" customHeight="1">
      <c r="A169" s="1" t="s">
        <v>65</v>
      </c>
      <c r="B169" s="1" t="s">
        <v>3786</v>
      </c>
      <c r="C169" s="1" t="s">
        <v>3787</v>
      </c>
      <c r="D169" s="1" t="s">
        <v>68</v>
      </c>
      <c r="E169" s="1" t="s">
        <v>3788</v>
      </c>
      <c r="F169" s="1" t="s">
        <v>2089</v>
      </c>
      <c r="G169" s="1" t="s">
        <v>68</v>
      </c>
      <c r="H169" s="1" t="s">
        <v>71</v>
      </c>
      <c r="I169" s="1" t="s">
        <v>101</v>
      </c>
      <c r="J169" s="1" t="s">
        <v>68</v>
      </c>
      <c r="K169" s="1" t="s">
        <v>68</v>
      </c>
      <c r="L169" s="1" t="s">
        <v>68</v>
      </c>
      <c r="M169" s="1" t="s">
        <v>68</v>
      </c>
      <c r="N169" s="1" t="s">
        <v>3789</v>
      </c>
      <c r="O169" s="1" t="s">
        <v>3790</v>
      </c>
      <c r="P169" s="1" t="s">
        <v>3791</v>
      </c>
      <c r="Q169" s="1" t="s">
        <v>3792</v>
      </c>
      <c r="R169" s="1" t="s">
        <v>3793</v>
      </c>
      <c r="S169" s="1" t="s">
        <v>3794</v>
      </c>
      <c r="T169" s="1" t="s">
        <v>3795</v>
      </c>
      <c r="U169" s="1" t="s">
        <v>68</v>
      </c>
      <c r="V169" s="1" t="s">
        <v>68</v>
      </c>
      <c r="W169" s="1" t="s">
        <v>3796</v>
      </c>
      <c r="X169" s="1" t="s">
        <v>3796</v>
      </c>
      <c r="Y169" s="1" t="s">
        <v>3797</v>
      </c>
      <c r="Z169" s="1">
        <v>72.0</v>
      </c>
      <c r="AA169" s="1">
        <v>946.0</v>
      </c>
      <c r="AB169" s="1">
        <v>1237.0</v>
      </c>
      <c r="AC169" s="1">
        <v>11.0</v>
      </c>
      <c r="AD169" s="1">
        <v>271.0</v>
      </c>
      <c r="AE169" s="1" t="s">
        <v>114</v>
      </c>
      <c r="AF169" s="1" t="s">
        <v>1505</v>
      </c>
      <c r="AG169" s="1" t="s">
        <v>1506</v>
      </c>
      <c r="AH169" s="1" t="s">
        <v>2102</v>
      </c>
      <c r="AI169" s="1" t="s">
        <v>2103</v>
      </c>
      <c r="AJ169" s="1" t="s">
        <v>68</v>
      </c>
      <c r="AK169" s="1" t="s">
        <v>2104</v>
      </c>
      <c r="AL169" s="1" t="s">
        <v>2105</v>
      </c>
      <c r="AM169" s="1" t="s">
        <v>457</v>
      </c>
      <c r="AN169" s="1">
        <v>2011.0</v>
      </c>
      <c r="AO169" s="1">
        <v>176.0</v>
      </c>
      <c r="AP169" s="1" t="s">
        <v>3798</v>
      </c>
      <c r="AQ169" s="1" t="s">
        <v>68</v>
      </c>
      <c r="AR169" s="1" t="s">
        <v>68</v>
      </c>
      <c r="AS169" s="1" t="s">
        <v>68</v>
      </c>
      <c r="AT169" s="1" t="s">
        <v>68</v>
      </c>
      <c r="AU169" s="1">
        <v>273.0</v>
      </c>
      <c r="AV169" s="1">
        <v>291.0</v>
      </c>
      <c r="AW169" s="1" t="s">
        <v>68</v>
      </c>
      <c r="AX169" s="1" t="s">
        <v>3799</v>
      </c>
      <c r="AY169" s="3" t="str">
        <f>HYPERLINK("http://dx.doi.org/10.1007/s10661-010-1582-5","http://dx.doi.org/10.1007/s10661-010-1582-5")</f>
        <v>http://dx.doi.org/10.1007/s10661-010-1582-5</v>
      </c>
      <c r="AZ169" s="1" t="s">
        <v>68</v>
      </c>
      <c r="BA169" s="1" t="s">
        <v>68</v>
      </c>
      <c r="BB169" s="1">
        <v>19.0</v>
      </c>
      <c r="BC169" s="1" t="s">
        <v>484</v>
      </c>
      <c r="BD169" s="1" t="s">
        <v>279</v>
      </c>
      <c r="BE169" s="1" t="s">
        <v>333</v>
      </c>
      <c r="BF169" s="1" t="s">
        <v>3800</v>
      </c>
      <c r="BG169" s="1">
        <v>2.0640506E7</v>
      </c>
      <c r="BH169" s="1" t="s">
        <v>68</v>
      </c>
      <c r="BI169" s="1" t="s">
        <v>68</v>
      </c>
      <c r="BJ169" s="1" t="s">
        <v>68</v>
      </c>
      <c r="BK169" s="1" t="s">
        <v>95</v>
      </c>
      <c r="BL169" s="1" t="s">
        <v>3801</v>
      </c>
      <c r="BM169" s="1" t="str">
        <f>HYPERLINK("https%3A%2F%2Fwww.webofscience.com%2Fwos%2Fwoscc%2Ffull-record%2FWOS:000289255100021","View Full Record in Web of Science")</f>
        <v>View Full Record in Web of Science</v>
      </c>
    </row>
    <row r="170" ht="12.75" customHeight="1">
      <c r="A170" s="1" t="s">
        <v>65</v>
      </c>
      <c r="B170" s="1" t="s">
        <v>3802</v>
      </c>
      <c r="C170" s="1" t="s">
        <v>3803</v>
      </c>
      <c r="D170" s="1" t="s">
        <v>68</v>
      </c>
      <c r="E170" s="1" t="s">
        <v>3804</v>
      </c>
      <c r="F170" s="1" t="s">
        <v>3805</v>
      </c>
      <c r="G170" s="1" t="s">
        <v>68</v>
      </c>
      <c r="H170" s="1" t="s">
        <v>71</v>
      </c>
      <c r="I170" s="1" t="s">
        <v>72</v>
      </c>
      <c r="J170" s="1" t="s">
        <v>68</v>
      </c>
      <c r="K170" s="1" t="s">
        <v>68</v>
      </c>
      <c r="L170" s="1" t="s">
        <v>68</v>
      </c>
      <c r="M170" s="1" t="s">
        <v>68</v>
      </c>
      <c r="N170" s="1" t="s">
        <v>3806</v>
      </c>
      <c r="O170" s="1" t="s">
        <v>3807</v>
      </c>
      <c r="P170" s="1" t="s">
        <v>3808</v>
      </c>
      <c r="Q170" s="1" t="s">
        <v>3809</v>
      </c>
      <c r="R170" s="1" t="s">
        <v>3810</v>
      </c>
      <c r="S170" s="1" t="s">
        <v>3811</v>
      </c>
      <c r="T170" s="1" t="s">
        <v>3812</v>
      </c>
      <c r="U170" s="1" t="s">
        <v>3813</v>
      </c>
      <c r="V170" s="1" t="s">
        <v>3814</v>
      </c>
      <c r="W170" s="1" t="s">
        <v>3815</v>
      </c>
      <c r="X170" s="1" t="s">
        <v>3816</v>
      </c>
      <c r="Y170" s="1" t="s">
        <v>3817</v>
      </c>
      <c r="Z170" s="1">
        <v>69.0</v>
      </c>
      <c r="AA170" s="1">
        <v>33.0</v>
      </c>
      <c r="AB170" s="1">
        <v>42.0</v>
      </c>
      <c r="AC170" s="1">
        <v>0.0</v>
      </c>
      <c r="AD170" s="1">
        <v>19.0</v>
      </c>
      <c r="AE170" s="1" t="s">
        <v>247</v>
      </c>
      <c r="AF170" s="1" t="s">
        <v>248</v>
      </c>
      <c r="AG170" s="1" t="s">
        <v>351</v>
      </c>
      <c r="AH170" s="1" t="s">
        <v>68</v>
      </c>
      <c r="AI170" s="1" t="s">
        <v>3818</v>
      </c>
      <c r="AJ170" s="1" t="s">
        <v>68</v>
      </c>
      <c r="AK170" s="1" t="s">
        <v>3819</v>
      </c>
      <c r="AL170" s="1" t="s">
        <v>3820</v>
      </c>
      <c r="AM170" s="1" t="s">
        <v>457</v>
      </c>
      <c r="AN170" s="1">
        <v>2018.0</v>
      </c>
      <c r="AO170" s="1">
        <v>7.0</v>
      </c>
      <c r="AP170" s="1">
        <v>5.0</v>
      </c>
      <c r="AQ170" s="1" t="s">
        <v>68</v>
      </c>
      <c r="AR170" s="1" t="s">
        <v>68</v>
      </c>
      <c r="AS170" s="1" t="s">
        <v>68</v>
      </c>
      <c r="AT170" s="1" t="s">
        <v>68</v>
      </c>
      <c r="AU170" s="1" t="s">
        <v>68</v>
      </c>
      <c r="AV170" s="1" t="s">
        <v>68</v>
      </c>
      <c r="AW170" s="1">
        <v>171.0</v>
      </c>
      <c r="AX170" s="1" t="s">
        <v>3821</v>
      </c>
      <c r="AY170" s="3" t="str">
        <f>HYPERLINK("http://dx.doi.org/10.3390/ijgi7050171","http://dx.doi.org/10.3390/ijgi7050171")</f>
        <v>http://dx.doi.org/10.3390/ijgi7050171</v>
      </c>
      <c r="AZ170" s="1" t="s">
        <v>68</v>
      </c>
      <c r="BA170" s="1" t="s">
        <v>68</v>
      </c>
      <c r="BB170" s="1">
        <v>18.0</v>
      </c>
      <c r="BC170" s="1" t="s">
        <v>3822</v>
      </c>
      <c r="BD170" s="1" t="s">
        <v>92</v>
      </c>
      <c r="BE170" s="1" t="s">
        <v>3823</v>
      </c>
      <c r="BF170" s="1" t="s">
        <v>3824</v>
      </c>
      <c r="BG170" s="1" t="s">
        <v>68</v>
      </c>
      <c r="BH170" s="1" t="s">
        <v>94</v>
      </c>
      <c r="BI170" s="1" t="s">
        <v>68</v>
      </c>
      <c r="BJ170" s="1" t="s">
        <v>68</v>
      </c>
      <c r="BK170" s="1" t="s">
        <v>95</v>
      </c>
      <c r="BL170" s="1" t="s">
        <v>3825</v>
      </c>
      <c r="BM170" s="1" t="str">
        <f>HYPERLINK("https%3A%2F%2Fwww.webofscience.com%2Fwos%2Fwoscc%2Ffull-record%2FWOS:000435194700011","View Full Record in Web of Science")</f>
        <v>View Full Record in Web of Science</v>
      </c>
    </row>
    <row r="171" ht="12.75" customHeight="1">
      <c r="A171" s="1" t="s">
        <v>65</v>
      </c>
      <c r="B171" s="1" t="s">
        <v>3826</v>
      </c>
      <c r="C171" s="1" t="s">
        <v>3827</v>
      </c>
      <c r="D171" s="1" t="s">
        <v>68</v>
      </c>
      <c r="E171" s="1" t="s">
        <v>3828</v>
      </c>
      <c r="F171" s="1" t="s">
        <v>3829</v>
      </c>
      <c r="G171" s="1" t="s">
        <v>68</v>
      </c>
      <c r="H171" s="1" t="s">
        <v>71</v>
      </c>
      <c r="I171" s="1" t="s">
        <v>72</v>
      </c>
      <c r="J171" s="1" t="s">
        <v>68</v>
      </c>
      <c r="K171" s="1" t="s">
        <v>68</v>
      </c>
      <c r="L171" s="1" t="s">
        <v>68</v>
      </c>
      <c r="M171" s="1" t="s">
        <v>68</v>
      </c>
      <c r="N171" s="1" t="s">
        <v>68</v>
      </c>
      <c r="O171" s="1" t="s">
        <v>68</v>
      </c>
      <c r="P171" s="1" t="s">
        <v>3830</v>
      </c>
      <c r="Q171" s="1" t="s">
        <v>3831</v>
      </c>
      <c r="R171" s="1" t="s">
        <v>3832</v>
      </c>
      <c r="S171" s="1" t="s">
        <v>3833</v>
      </c>
      <c r="T171" s="1" t="s">
        <v>3834</v>
      </c>
      <c r="U171" s="1" t="s">
        <v>68</v>
      </c>
      <c r="V171" s="1" t="s">
        <v>3835</v>
      </c>
      <c r="W171" s="1" t="s">
        <v>68</v>
      </c>
      <c r="X171" s="1" t="s">
        <v>68</v>
      </c>
      <c r="Y171" s="1" t="s">
        <v>68</v>
      </c>
      <c r="Z171" s="1">
        <v>16.0</v>
      </c>
      <c r="AA171" s="1">
        <v>3.0</v>
      </c>
      <c r="AB171" s="1">
        <v>3.0</v>
      </c>
      <c r="AC171" s="1">
        <v>0.0</v>
      </c>
      <c r="AD171" s="1">
        <v>0.0</v>
      </c>
      <c r="AE171" s="1" t="s">
        <v>1782</v>
      </c>
      <c r="AF171" s="1" t="s">
        <v>1783</v>
      </c>
      <c r="AG171" s="1" t="s">
        <v>1784</v>
      </c>
      <c r="AH171" s="1" t="s">
        <v>3836</v>
      </c>
      <c r="AI171" s="1" t="s">
        <v>3837</v>
      </c>
      <c r="AJ171" s="1" t="s">
        <v>68</v>
      </c>
      <c r="AK171" s="1" t="s">
        <v>3838</v>
      </c>
      <c r="AL171" s="1" t="s">
        <v>3839</v>
      </c>
      <c r="AM171" s="1" t="s">
        <v>790</v>
      </c>
      <c r="AN171" s="1">
        <v>2023.0</v>
      </c>
      <c r="AO171" s="1">
        <v>232.0</v>
      </c>
      <c r="AP171" s="1">
        <v>10.0</v>
      </c>
      <c r="AQ171" s="1" t="s">
        <v>68</v>
      </c>
      <c r="AR171" s="1" t="s">
        <v>68</v>
      </c>
      <c r="AS171" s="1" t="s">
        <v>563</v>
      </c>
      <c r="AT171" s="1" t="s">
        <v>68</v>
      </c>
      <c r="AU171" s="1">
        <v>1465.0</v>
      </c>
      <c r="AV171" s="1">
        <v>1475.0</v>
      </c>
      <c r="AW171" s="1" t="s">
        <v>68</v>
      </c>
      <c r="AX171" s="1" t="s">
        <v>3840</v>
      </c>
      <c r="AY171" s="3" t="str">
        <f>HYPERLINK("http://dx.doi.org/10.1140/epjs/s11734-023-00877-7","http://dx.doi.org/10.1140/epjs/s11734-023-00877-7")</f>
        <v>http://dx.doi.org/10.1140/epjs/s11734-023-00877-7</v>
      </c>
      <c r="AZ171" s="1" t="s">
        <v>68</v>
      </c>
      <c r="BA171" s="1" t="s">
        <v>1834</v>
      </c>
      <c r="BB171" s="1">
        <v>11.0</v>
      </c>
      <c r="BC171" s="1" t="s">
        <v>3841</v>
      </c>
      <c r="BD171" s="1" t="s">
        <v>92</v>
      </c>
      <c r="BE171" s="1" t="s">
        <v>3842</v>
      </c>
      <c r="BF171" s="1" t="s">
        <v>3843</v>
      </c>
      <c r="BG171" s="1" t="s">
        <v>68</v>
      </c>
      <c r="BH171" s="1" t="s">
        <v>68</v>
      </c>
      <c r="BI171" s="1" t="s">
        <v>68</v>
      </c>
      <c r="BJ171" s="1" t="s">
        <v>68</v>
      </c>
      <c r="BK171" s="1" t="s">
        <v>95</v>
      </c>
      <c r="BL171" s="1" t="s">
        <v>3844</v>
      </c>
      <c r="BM171" s="1" t="str">
        <f>HYPERLINK("https%3A%2F%2Fwww.webofscience.com%2Fwos%2Fwoscc%2Ffull-record%2FWOS:000997992600003","View Full Record in Web of Science")</f>
        <v>View Full Record in Web of Science</v>
      </c>
    </row>
    <row r="172" ht="12.75" customHeight="1">
      <c r="A172" s="1" t="s">
        <v>65</v>
      </c>
      <c r="B172" s="1" t="s">
        <v>3845</v>
      </c>
      <c r="C172" s="1" t="s">
        <v>3846</v>
      </c>
      <c r="D172" s="1" t="s">
        <v>68</v>
      </c>
      <c r="E172" s="1" t="s">
        <v>3847</v>
      </c>
      <c r="F172" s="1" t="s">
        <v>3848</v>
      </c>
      <c r="G172" s="1" t="s">
        <v>68</v>
      </c>
      <c r="H172" s="1" t="s">
        <v>71</v>
      </c>
      <c r="I172" s="1" t="s">
        <v>597</v>
      </c>
      <c r="J172" s="1" t="s">
        <v>68</v>
      </c>
      <c r="K172" s="1" t="s">
        <v>68</v>
      </c>
      <c r="L172" s="1" t="s">
        <v>68</v>
      </c>
      <c r="M172" s="1" t="s">
        <v>68</v>
      </c>
      <c r="N172" s="1" t="s">
        <v>68</v>
      </c>
      <c r="O172" s="1" t="s">
        <v>68</v>
      </c>
      <c r="P172" s="1" t="s">
        <v>68</v>
      </c>
      <c r="Q172" s="1" t="s">
        <v>3849</v>
      </c>
      <c r="R172" s="1" t="s">
        <v>3850</v>
      </c>
      <c r="S172" s="1" t="s">
        <v>3851</v>
      </c>
      <c r="T172" s="1" t="s">
        <v>3852</v>
      </c>
      <c r="U172" s="1" t="s">
        <v>68</v>
      </c>
      <c r="V172" s="1" t="s">
        <v>68</v>
      </c>
      <c r="W172" s="1" t="s">
        <v>68</v>
      </c>
      <c r="X172" s="1" t="s">
        <v>68</v>
      </c>
      <c r="Y172" s="1" t="s">
        <v>68</v>
      </c>
      <c r="Z172" s="1">
        <v>7.0</v>
      </c>
      <c r="AA172" s="1">
        <v>3.0</v>
      </c>
      <c r="AB172" s="1">
        <v>3.0</v>
      </c>
      <c r="AC172" s="1">
        <v>0.0</v>
      </c>
      <c r="AD172" s="1">
        <v>10.0</v>
      </c>
      <c r="AE172" s="1" t="s">
        <v>503</v>
      </c>
      <c r="AF172" s="1" t="s">
        <v>504</v>
      </c>
      <c r="AG172" s="1" t="s">
        <v>505</v>
      </c>
      <c r="AH172" s="1" t="s">
        <v>3853</v>
      </c>
      <c r="AI172" s="1" t="s">
        <v>3854</v>
      </c>
      <c r="AJ172" s="1" t="s">
        <v>68</v>
      </c>
      <c r="AK172" s="1" t="s">
        <v>3855</v>
      </c>
      <c r="AL172" s="1" t="s">
        <v>3856</v>
      </c>
      <c r="AM172" s="1" t="s">
        <v>252</v>
      </c>
      <c r="AN172" s="1">
        <v>2018.0</v>
      </c>
      <c r="AO172" s="1">
        <v>14.0</v>
      </c>
      <c r="AP172" s="1">
        <v>4.0</v>
      </c>
      <c r="AQ172" s="1" t="s">
        <v>68</v>
      </c>
      <c r="AR172" s="1" t="s">
        <v>68</v>
      </c>
      <c r="AS172" s="1" t="s">
        <v>68</v>
      </c>
      <c r="AT172" s="1" t="s">
        <v>68</v>
      </c>
      <c r="AU172" s="1">
        <v>521.0</v>
      </c>
      <c r="AV172" s="1">
        <v>522.0</v>
      </c>
      <c r="AW172" s="1" t="s">
        <v>68</v>
      </c>
      <c r="AX172" s="1" t="s">
        <v>3857</v>
      </c>
      <c r="AY172" s="3" t="str">
        <f>HYPERLINK("http://dx.doi.org/10.1002/ieam.4043","http://dx.doi.org/10.1002/ieam.4043")</f>
        <v>http://dx.doi.org/10.1002/ieam.4043</v>
      </c>
      <c r="AZ172" s="1" t="s">
        <v>68</v>
      </c>
      <c r="BA172" s="1" t="s">
        <v>68</v>
      </c>
      <c r="BB172" s="1">
        <v>2.0</v>
      </c>
      <c r="BC172" s="1" t="s">
        <v>3858</v>
      </c>
      <c r="BD172" s="1" t="s">
        <v>92</v>
      </c>
      <c r="BE172" s="1" t="s">
        <v>3859</v>
      </c>
      <c r="BF172" s="1" t="s">
        <v>3860</v>
      </c>
      <c r="BG172" s="1">
        <v>2.9906356E7</v>
      </c>
      <c r="BH172" s="1" t="s">
        <v>68</v>
      </c>
      <c r="BI172" s="1" t="s">
        <v>68</v>
      </c>
      <c r="BJ172" s="1" t="s">
        <v>68</v>
      </c>
      <c r="BK172" s="1" t="s">
        <v>95</v>
      </c>
      <c r="BL172" s="1" t="s">
        <v>3861</v>
      </c>
      <c r="BM172" s="1" t="str">
        <f>HYPERLINK("https%3A%2F%2Fwww.webofscience.com%2Fwos%2Fwoscc%2Ffull-record%2FWOS:000435263300013","View Full Record in Web of Science")</f>
        <v>View Full Record in Web of Science</v>
      </c>
    </row>
    <row r="173" ht="12.75" customHeight="1">
      <c r="A173" s="1" t="s">
        <v>65</v>
      </c>
      <c r="B173" s="1" t="s">
        <v>3862</v>
      </c>
      <c r="C173" s="1" t="s">
        <v>3863</v>
      </c>
      <c r="D173" s="1" t="s">
        <v>68</v>
      </c>
      <c r="E173" s="1" t="s">
        <v>3864</v>
      </c>
      <c r="F173" s="1" t="s">
        <v>3197</v>
      </c>
      <c r="G173" s="1" t="s">
        <v>68</v>
      </c>
      <c r="H173" s="1" t="s">
        <v>71</v>
      </c>
      <c r="I173" s="1" t="s">
        <v>72</v>
      </c>
      <c r="J173" s="1" t="s">
        <v>68</v>
      </c>
      <c r="K173" s="1" t="s">
        <v>68</v>
      </c>
      <c r="L173" s="1" t="s">
        <v>68</v>
      </c>
      <c r="M173" s="1" t="s">
        <v>68</v>
      </c>
      <c r="N173" s="1" t="s">
        <v>3865</v>
      </c>
      <c r="O173" s="1" t="s">
        <v>3866</v>
      </c>
      <c r="P173" s="1" t="s">
        <v>3867</v>
      </c>
      <c r="Q173" s="1" t="s">
        <v>3868</v>
      </c>
      <c r="R173" s="1" t="s">
        <v>3869</v>
      </c>
      <c r="S173" s="1" t="s">
        <v>3870</v>
      </c>
      <c r="T173" s="1" t="s">
        <v>3871</v>
      </c>
      <c r="U173" s="1" t="s">
        <v>68</v>
      </c>
      <c r="V173" s="1" t="s">
        <v>68</v>
      </c>
      <c r="W173" s="1" t="s">
        <v>68</v>
      </c>
      <c r="X173" s="1" t="s">
        <v>68</v>
      </c>
      <c r="Y173" s="1" t="s">
        <v>68</v>
      </c>
      <c r="Z173" s="1">
        <v>44.0</v>
      </c>
      <c r="AA173" s="1">
        <v>385.0</v>
      </c>
      <c r="AB173" s="1">
        <v>488.0</v>
      </c>
      <c r="AC173" s="1">
        <v>0.0</v>
      </c>
      <c r="AD173" s="1">
        <v>250.0</v>
      </c>
      <c r="AE173" s="1" t="s">
        <v>114</v>
      </c>
      <c r="AF173" s="1" t="s">
        <v>1505</v>
      </c>
      <c r="AG173" s="1" t="s">
        <v>1506</v>
      </c>
      <c r="AH173" s="1" t="s">
        <v>3209</v>
      </c>
      <c r="AI173" s="1" t="s">
        <v>3210</v>
      </c>
      <c r="AJ173" s="1" t="s">
        <v>68</v>
      </c>
      <c r="AK173" s="1" t="s">
        <v>3211</v>
      </c>
      <c r="AL173" s="1" t="s">
        <v>3212</v>
      </c>
      <c r="AM173" s="1" t="s">
        <v>1789</v>
      </c>
      <c r="AN173" s="1">
        <v>2008.0</v>
      </c>
      <c r="AO173" s="1">
        <v>10.0</v>
      </c>
      <c r="AP173" s="1">
        <v>1.0</v>
      </c>
      <c r="AQ173" s="1" t="s">
        <v>68</v>
      </c>
      <c r="AR173" s="1" t="s">
        <v>68</v>
      </c>
      <c r="AS173" s="1" t="s">
        <v>68</v>
      </c>
      <c r="AT173" s="1" t="s">
        <v>68</v>
      </c>
      <c r="AU173" s="1">
        <v>117.0</v>
      </c>
      <c r="AV173" s="1">
        <v>128.0</v>
      </c>
      <c r="AW173" s="1" t="s">
        <v>68</v>
      </c>
      <c r="AX173" s="1" t="s">
        <v>3872</v>
      </c>
      <c r="AY173" s="3" t="str">
        <f>HYPERLINK("http://dx.doi.org/10.1007/s10530-007-9114-0","http://dx.doi.org/10.1007/s10530-007-9114-0")</f>
        <v>http://dx.doi.org/10.1007/s10530-007-9114-0</v>
      </c>
      <c r="AZ173" s="1" t="s">
        <v>68</v>
      </c>
      <c r="BA173" s="1" t="s">
        <v>68</v>
      </c>
      <c r="BB173" s="1">
        <v>12.0</v>
      </c>
      <c r="BC173" s="1" t="s">
        <v>1011</v>
      </c>
      <c r="BD173" s="1" t="s">
        <v>92</v>
      </c>
      <c r="BE173" s="1" t="s">
        <v>123</v>
      </c>
      <c r="BF173" s="1" t="s">
        <v>3873</v>
      </c>
      <c r="BG173" s="1" t="s">
        <v>68</v>
      </c>
      <c r="BH173" s="1" t="s">
        <v>68</v>
      </c>
      <c r="BI173" s="1" t="s">
        <v>68</v>
      </c>
      <c r="BJ173" s="1" t="s">
        <v>68</v>
      </c>
      <c r="BK173" s="1" t="s">
        <v>95</v>
      </c>
      <c r="BL173" s="1" t="s">
        <v>3874</v>
      </c>
      <c r="BM173" s="1" t="str">
        <f>HYPERLINK("https%3A%2F%2Fwww.webofscience.com%2Fwos%2Fwoscc%2Ffull-record%2FWOS:000252473900013","View Full Record in Web of Science")</f>
        <v>View Full Record in Web of Science</v>
      </c>
    </row>
    <row r="174" ht="12.75" customHeight="1">
      <c r="A174" s="1" t="s">
        <v>65</v>
      </c>
      <c r="B174" s="1" t="s">
        <v>3875</v>
      </c>
      <c r="C174" s="1" t="s">
        <v>3876</v>
      </c>
      <c r="D174" s="1" t="s">
        <v>68</v>
      </c>
      <c r="E174" s="1" t="s">
        <v>3877</v>
      </c>
      <c r="F174" s="1" t="s">
        <v>3878</v>
      </c>
      <c r="G174" s="1" t="s">
        <v>68</v>
      </c>
      <c r="H174" s="1" t="s">
        <v>71</v>
      </c>
      <c r="I174" s="1" t="s">
        <v>72</v>
      </c>
      <c r="J174" s="1" t="s">
        <v>68</v>
      </c>
      <c r="K174" s="1" t="s">
        <v>68</v>
      </c>
      <c r="L174" s="1" t="s">
        <v>68</v>
      </c>
      <c r="M174" s="1" t="s">
        <v>68</v>
      </c>
      <c r="N174" s="1" t="s">
        <v>3879</v>
      </c>
      <c r="O174" s="1" t="s">
        <v>3880</v>
      </c>
      <c r="P174" s="1" t="s">
        <v>3881</v>
      </c>
      <c r="Q174" s="1" t="s">
        <v>3882</v>
      </c>
      <c r="R174" s="1" t="s">
        <v>3883</v>
      </c>
      <c r="S174" s="1" t="s">
        <v>3884</v>
      </c>
      <c r="T174" s="1" t="s">
        <v>3885</v>
      </c>
      <c r="U174" s="1" t="s">
        <v>3886</v>
      </c>
      <c r="V174" s="1" t="s">
        <v>3887</v>
      </c>
      <c r="W174" s="1" t="s">
        <v>3888</v>
      </c>
      <c r="X174" s="1" t="s">
        <v>3889</v>
      </c>
      <c r="Y174" s="1" t="s">
        <v>3890</v>
      </c>
      <c r="Z174" s="1">
        <v>76.0</v>
      </c>
      <c r="AA174" s="1">
        <v>18.0</v>
      </c>
      <c r="AB174" s="1">
        <v>24.0</v>
      </c>
      <c r="AC174" s="1">
        <v>2.0</v>
      </c>
      <c r="AD174" s="1">
        <v>19.0</v>
      </c>
      <c r="AE174" s="1" t="s">
        <v>1596</v>
      </c>
      <c r="AF174" s="1" t="s">
        <v>1182</v>
      </c>
      <c r="AG174" s="1" t="s">
        <v>1597</v>
      </c>
      <c r="AH174" s="1" t="s">
        <v>3891</v>
      </c>
      <c r="AI174" s="1" t="s">
        <v>68</v>
      </c>
      <c r="AJ174" s="1" t="s">
        <v>68</v>
      </c>
      <c r="AK174" s="1" t="s">
        <v>3892</v>
      </c>
      <c r="AL174" s="1" t="s">
        <v>3893</v>
      </c>
      <c r="AM174" s="1" t="s">
        <v>790</v>
      </c>
      <c r="AN174" s="1">
        <v>2023.0</v>
      </c>
      <c r="AO174" s="1">
        <v>19.0</v>
      </c>
      <c r="AP174" s="1" t="s">
        <v>68</v>
      </c>
      <c r="AQ174" s="1" t="s">
        <v>68</v>
      </c>
      <c r="AR174" s="1" t="s">
        <v>68</v>
      </c>
      <c r="AS174" s="1" t="s">
        <v>68</v>
      </c>
      <c r="AT174" s="1" t="s">
        <v>68</v>
      </c>
      <c r="AU174" s="1" t="s">
        <v>68</v>
      </c>
      <c r="AV174" s="1" t="s">
        <v>68</v>
      </c>
      <c r="AW174" s="1">
        <v>100105.0</v>
      </c>
      <c r="AX174" s="1" t="s">
        <v>3894</v>
      </c>
      <c r="AY174" s="3" t="str">
        <f>HYPERLINK("http://dx.doi.org/10.1016/j.cacint.2023.100105","http://dx.doi.org/10.1016/j.cacint.2023.100105")</f>
        <v>http://dx.doi.org/10.1016/j.cacint.2023.100105</v>
      </c>
      <c r="AZ174" s="1" t="s">
        <v>68</v>
      </c>
      <c r="BA174" s="1" t="s">
        <v>1834</v>
      </c>
      <c r="BB174" s="1">
        <v>12.0</v>
      </c>
      <c r="BC174" s="1" t="s">
        <v>3895</v>
      </c>
      <c r="BD174" s="1" t="s">
        <v>197</v>
      </c>
      <c r="BE174" s="1" t="s">
        <v>3896</v>
      </c>
      <c r="BF174" s="1" t="s">
        <v>3897</v>
      </c>
      <c r="BG174" s="1" t="s">
        <v>68</v>
      </c>
      <c r="BH174" s="1" t="s">
        <v>94</v>
      </c>
      <c r="BI174" s="1" t="s">
        <v>68</v>
      </c>
      <c r="BJ174" s="1" t="s">
        <v>68</v>
      </c>
      <c r="BK174" s="1" t="s">
        <v>95</v>
      </c>
      <c r="BL174" s="1" t="s">
        <v>3898</v>
      </c>
      <c r="BM174" s="1" t="str">
        <f>HYPERLINK("https%3A%2F%2Fwww.webofscience.com%2Fwos%2Fwoscc%2Ffull-record%2FWOS:001001560200001","View Full Record in Web of Science")</f>
        <v>View Full Record in Web of Science</v>
      </c>
    </row>
    <row r="175" ht="12.75" customHeight="1">
      <c r="A175" s="1" t="s">
        <v>65</v>
      </c>
      <c r="B175" s="1" t="s">
        <v>3899</v>
      </c>
      <c r="C175" s="1" t="s">
        <v>3900</v>
      </c>
      <c r="D175" s="1" t="s">
        <v>68</v>
      </c>
      <c r="E175" s="1" t="s">
        <v>3901</v>
      </c>
      <c r="F175" s="1" t="s">
        <v>3902</v>
      </c>
      <c r="G175" s="1" t="s">
        <v>68</v>
      </c>
      <c r="H175" s="1" t="s">
        <v>71</v>
      </c>
      <c r="I175" s="1" t="s">
        <v>72</v>
      </c>
      <c r="J175" s="1" t="s">
        <v>68</v>
      </c>
      <c r="K175" s="1" t="s">
        <v>68</v>
      </c>
      <c r="L175" s="1" t="s">
        <v>68</v>
      </c>
      <c r="M175" s="1" t="s">
        <v>68</v>
      </c>
      <c r="N175" s="1" t="s">
        <v>3903</v>
      </c>
      <c r="O175" s="1" t="s">
        <v>68</v>
      </c>
      <c r="P175" s="1" t="s">
        <v>3904</v>
      </c>
      <c r="Q175" s="1" t="s">
        <v>68</v>
      </c>
      <c r="R175" s="1" t="s">
        <v>68</v>
      </c>
      <c r="S175" s="1" t="s">
        <v>3905</v>
      </c>
      <c r="T175" s="1" t="s">
        <v>3906</v>
      </c>
      <c r="U175" s="1" t="s">
        <v>3907</v>
      </c>
      <c r="V175" s="1" t="s">
        <v>3908</v>
      </c>
      <c r="W175" s="1" t="s">
        <v>3909</v>
      </c>
      <c r="X175" s="1" t="s">
        <v>3910</v>
      </c>
      <c r="Y175" s="1" t="s">
        <v>3911</v>
      </c>
      <c r="Z175" s="1">
        <v>13.0</v>
      </c>
      <c r="AA175" s="1">
        <v>34.0</v>
      </c>
      <c r="AB175" s="1">
        <v>45.0</v>
      </c>
      <c r="AC175" s="1">
        <v>0.0</v>
      </c>
      <c r="AD175" s="1">
        <v>55.0</v>
      </c>
      <c r="AE175" s="1" t="s">
        <v>3912</v>
      </c>
      <c r="AF175" s="1" t="s">
        <v>3913</v>
      </c>
      <c r="AG175" s="1" t="s">
        <v>3914</v>
      </c>
      <c r="AH175" s="1" t="s">
        <v>3915</v>
      </c>
      <c r="AI175" s="1" t="s">
        <v>3916</v>
      </c>
      <c r="AJ175" s="1" t="s">
        <v>68</v>
      </c>
      <c r="AK175" s="1" t="s">
        <v>3917</v>
      </c>
      <c r="AL175" s="1" t="s">
        <v>3918</v>
      </c>
      <c r="AM175" s="1" t="s">
        <v>2194</v>
      </c>
      <c r="AN175" s="1">
        <v>2017.0</v>
      </c>
      <c r="AO175" s="1">
        <v>10.0</v>
      </c>
      <c r="AP175" s="1">
        <v>2.0</v>
      </c>
      <c r="AQ175" s="1" t="s">
        <v>68</v>
      </c>
      <c r="AR175" s="1" t="s">
        <v>68</v>
      </c>
      <c r="AS175" s="1" t="s">
        <v>68</v>
      </c>
      <c r="AT175" s="1" t="s">
        <v>68</v>
      </c>
      <c r="AU175" s="1">
        <v>51.0</v>
      </c>
      <c r="AV175" s="1">
        <v>61.0</v>
      </c>
      <c r="AW175" s="1" t="s">
        <v>68</v>
      </c>
      <c r="AX175" s="1" t="s">
        <v>3919</v>
      </c>
      <c r="AY175" s="3" t="str">
        <f>HYPERLINK("http://dx.doi.org/10.1089/env.2016.0044","http://dx.doi.org/10.1089/env.2016.0044")</f>
        <v>http://dx.doi.org/10.1089/env.2016.0044</v>
      </c>
      <c r="AZ175" s="1" t="s">
        <v>68</v>
      </c>
      <c r="BA175" s="1" t="s">
        <v>68</v>
      </c>
      <c r="BB175" s="1">
        <v>11.0</v>
      </c>
      <c r="BC175" s="1" t="s">
        <v>3920</v>
      </c>
      <c r="BD175" s="1" t="s">
        <v>197</v>
      </c>
      <c r="BE175" s="1" t="s">
        <v>333</v>
      </c>
      <c r="BF175" s="1" t="s">
        <v>3921</v>
      </c>
      <c r="BG175" s="1">
        <v>3.17417E7</v>
      </c>
      <c r="BH175" s="1" t="s">
        <v>68</v>
      </c>
      <c r="BI175" s="1" t="s">
        <v>68</v>
      </c>
      <c r="BJ175" s="1" t="s">
        <v>68</v>
      </c>
      <c r="BK175" s="1" t="s">
        <v>95</v>
      </c>
      <c r="BL175" s="1" t="s">
        <v>3922</v>
      </c>
      <c r="BM175" s="1" t="str">
        <f>HYPERLINK("https%3A%2F%2Fwww.webofscience.com%2Fwos%2Fwoscc%2Ffull-record%2FWOS:000399674100004","View Full Record in Web of Science")</f>
        <v>View Full Record in Web of Science</v>
      </c>
    </row>
    <row r="176" ht="12.75" customHeight="1">
      <c r="A176" s="1" t="s">
        <v>65</v>
      </c>
      <c r="B176" s="1" t="s">
        <v>3923</v>
      </c>
      <c r="C176" s="1" t="s">
        <v>3924</v>
      </c>
      <c r="D176" s="1" t="s">
        <v>68</v>
      </c>
      <c r="E176" s="1" t="s">
        <v>3925</v>
      </c>
      <c r="F176" s="1" t="s">
        <v>3926</v>
      </c>
      <c r="G176" s="1" t="s">
        <v>68</v>
      </c>
      <c r="H176" s="1" t="s">
        <v>71</v>
      </c>
      <c r="I176" s="1" t="s">
        <v>72</v>
      </c>
      <c r="J176" s="1" t="s">
        <v>68</v>
      </c>
      <c r="K176" s="1" t="s">
        <v>68</v>
      </c>
      <c r="L176" s="1" t="s">
        <v>68</v>
      </c>
      <c r="M176" s="1" t="s">
        <v>68</v>
      </c>
      <c r="N176" s="1" t="s">
        <v>3927</v>
      </c>
      <c r="O176" s="1" t="s">
        <v>3928</v>
      </c>
      <c r="P176" s="1" t="s">
        <v>3929</v>
      </c>
      <c r="Q176" s="1" t="s">
        <v>3930</v>
      </c>
      <c r="R176" s="1" t="s">
        <v>3931</v>
      </c>
      <c r="S176" s="1" t="s">
        <v>3932</v>
      </c>
      <c r="T176" s="1" t="s">
        <v>3933</v>
      </c>
      <c r="U176" s="1" t="s">
        <v>3934</v>
      </c>
      <c r="V176" s="1" t="s">
        <v>3935</v>
      </c>
      <c r="W176" s="1" t="s">
        <v>3936</v>
      </c>
      <c r="X176" s="1" t="s">
        <v>3937</v>
      </c>
      <c r="Y176" s="1" t="s">
        <v>3938</v>
      </c>
      <c r="Z176" s="1">
        <v>22.0</v>
      </c>
      <c r="AA176" s="1">
        <v>5.0</v>
      </c>
      <c r="AB176" s="1">
        <v>6.0</v>
      </c>
      <c r="AC176" s="1">
        <v>1.0</v>
      </c>
      <c r="AD176" s="1">
        <v>7.0</v>
      </c>
      <c r="AE176" s="1" t="s">
        <v>1596</v>
      </c>
      <c r="AF176" s="1" t="s">
        <v>1182</v>
      </c>
      <c r="AG176" s="1" t="s">
        <v>1597</v>
      </c>
      <c r="AH176" s="1" t="s">
        <v>68</v>
      </c>
      <c r="AI176" s="1" t="s">
        <v>3939</v>
      </c>
      <c r="AJ176" s="1" t="s">
        <v>68</v>
      </c>
      <c r="AK176" s="1" t="s">
        <v>3926</v>
      </c>
      <c r="AL176" s="1" t="s">
        <v>3940</v>
      </c>
      <c r="AM176" s="1" t="s">
        <v>428</v>
      </c>
      <c r="AN176" s="1">
        <v>2021.0</v>
      </c>
      <c r="AO176" s="1">
        <v>10.0</v>
      </c>
      <c r="AP176" s="1" t="s">
        <v>68</v>
      </c>
      <c r="AQ176" s="1" t="s">
        <v>68</v>
      </c>
      <c r="AR176" s="1" t="s">
        <v>68</v>
      </c>
      <c r="AS176" s="1" t="s">
        <v>68</v>
      </c>
      <c r="AT176" s="1" t="s">
        <v>68</v>
      </c>
      <c r="AU176" s="1" t="s">
        <v>68</v>
      </c>
      <c r="AV176" s="1" t="s">
        <v>68</v>
      </c>
      <c r="AW176" s="1" t="s">
        <v>3941</v>
      </c>
      <c r="AX176" s="1" t="s">
        <v>3942</v>
      </c>
      <c r="AY176" s="3" t="str">
        <f>HYPERLINK("http://dx.doi.org/10.1016/j.ohx.2021.e00241","http://dx.doi.org/10.1016/j.ohx.2021.e00241")</f>
        <v>http://dx.doi.org/10.1016/j.ohx.2021.e00241</v>
      </c>
      <c r="AZ176" s="1" t="s">
        <v>68</v>
      </c>
      <c r="BA176" s="1" t="s">
        <v>2692</v>
      </c>
      <c r="BB176" s="1">
        <v>15.0</v>
      </c>
      <c r="BC176" s="1" t="s">
        <v>3943</v>
      </c>
      <c r="BD176" s="1" t="s">
        <v>197</v>
      </c>
      <c r="BE176" s="1" t="s">
        <v>3944</v>
      </c>
      <c r="BF176" s="1" t="s">
        <v>3945</v>
      </c>
      <c r="BG176" s="1">
        <v>3.5607672E7</v>
      </c>
      <c r="BH176" s="1" t="s">
        <v>94</v>
      </c>
      <c r="BI176" s="1" t="s">
        <v>68</v>
      </c>
      <c r="BJ176" s="1" t="s">
        <v>68</v>
      </c>
      <c r="BK176" s="1" t="s">
        <v>95</v>
      </c>
      <c r="BL176" s="1" t="s">
        <v>3946</v>
      </c>
      <c r="BM176" s="1" t="str">
        <f>HYPERLINK("https%3A%2F%2Fwww.webofscience.com%2Fwos%2Fwoscc%2Ffull-record%2FWOS:000734464500003","View Full Record in Web of Science")</f>
        <v>View Full Record in Web of Science</v>
      </c>
    </row>
    <row r="177" ht="12.75" customHeight="1">
      <c r="A177" s="1" t="s">
        <v>65</v>
      </c>
      <c r="B177" s="1" t="s">
        <v>3947</v>
      </c>
      <c r="C177" s="1" t="s">
        <v>3948</v>
      </c>
      <c r="D177" s="1" t="s">
        <v>68</v>
      </c>
      <c r="E177" s="1" t="s">
        <v>3949</v>
      </c>
      <c r="F177" s="1" t="s">
        <v>3950</v>
      </c>
      <c r="G177" s="1" t="s">
        <v>68</v>
      </c>
      <c r="H177" s="1" t="s">
        <v>71</v>
      </c>
      <c r="I177" s="1" t="s">
        <v>72</v>
      </c>
      <c r="J177" s="1" t="s">
        <v>68</v>
      </c>
      <c r="K177" s="1" t="s">
        <v>68</v>
      </c>
      <c r="L177" s="1" t="s">
        <v>68</v>
      </c>
      <c r="M177" s="1" t="s">
        <v>68</v>
      </c>
      <c r="N177" s="1" t="s">
        <v>3951</v>
      </c>
      <c r="O177" s="1" t="s">
        <v>68</v>
      </c>
      <c r="P177" s="1" t="s">
        <v>3952</v>
      </c>
      <c r="Q177" s="1" t="s">
        <v>3953</v>
      </c>
      <c r="R177" s="1" t="s">
        <v>3954</v>
      </c>
      <c r="S177" s="1" t="s">
        <v>3955</v>
      </c>
      <c r="T177" s="1" t="s">
        <v>3956</v>
      </c>
      <c r="U177" s="1" t="s">
        <v>3957</v>
      </c>
      <c r="V177" s="1" t="s">
        <v>3958</v>
      </c>
      <c r="W177" s="1" t="s">
        <v>3959</v>
      </c>
      <c r="X177" s="1" t="s">
        <v>3960</v>
      </c>
      <c r="Y177" s="1" t="s">
        <v>3961</v>
      </c>
      <c r="Z177" s="1">
        <v>12.0</v>
      </c>
      <c r="AA177" s="1">
        <v>19.0</v>
      </c>
      <c r="AB177" s="1">
        <v>20.0</v>
      </c>
      <c r="AC177" s="1">
        <v>0.0</v>
      </c>
      <c r="AD177" s="1">
        <v>13.0</v>
      </c>
      <c r="AE177" s="1" t="s">
        <v>83</v>
      </c>
      <c r="AF177" s="1" t="s">
        <v>84</v>
      </c>
      <c r="AG177" s="1" t="s">
        <v>85</v>
      </c>
      <c r="AH177" s="1" t="s">
        <v>68</v>
      </c>
      <c r="AI177" s="1" t="s">
        <v>3962</v>
      </c>
      <c r="AJ177" s="1" t="s">
        <v>68</v>
      </c>
      <c r="AK177" s="1" t="s">
        <v>3963</v>
      </c>
      <c r="AL177" s="1" t="s">
        <v>3964</v>
      </c>
      <c r="AM177" s="1" t="s">
        <v>3965</v>
      </c>
      <c r="AN177" s="1">
        <v>2021.0</v>
      </c>
      <c r="AO177" s="1">
        <v>3.0</v>
      </c>
      <c r="AP177" s="1" t="s">
        <v>68</v>
      </c>
      <c r="AQ177" s="1" t="s">
        <v>68</v>
      </c>
      <c r="AR177" s="1" t="s">
        <v>68</v>
      </c>
      <c r="AS177" s="1" t="s">
        <v>68</v>
      </c>
      <c r="AT177" s="1" t="s">
        <v>68</v>
      </c>
      <c r="AU177" s="1" t="s">
        <v>68</v>
      </c>
      <c r="AV177" s="1" t="s">
        <v>68</v>
      </c>
      <c r="AW177" s="1">
        <v>639128.0</v>
      </c>
      <c r="AX177" s="1" t="s">
        <v>3966</v>
      </c>
      <c r="AY177" s="3" t="str">
        <f>HYPERLINK("http://dx.doi.org/10.3389/fclim.2021.639128","http://dx.doi.org/10.3389/fclim.2021.639128")</f>
        <v>http://dx.doi.org/10.3389/fclim.2021.639128</v>
      </c>
      <c r="AZ177" s="1" t="s">
        <v>68</v>
      </c>
      <c r="BA177" s="1" t="s">
        <v>68</v>
      </c>
      <c r="BB177" s="1">
        <v>8.0</v>
      </c>
      <c r="BC177" s="1" t="s">
        <v>1100</v>
      </c>
      <c r="BD177" s="1" t="s">
        <v>197</v>
      </c>
      <c r="BE177" s="1" t="s">
        <v>333</v>
      </c>
      <c r="BF177" s="1" t="s">
        <v>3967</v>
      </c>
      <c r="BG177" s="1" t="s">
        <v>68</v>
      </c>
      <c r="BH177" s="1" t="s">
        <v>94</v>
      </c>
      <c r="BI177" s="1" t="s">
        <v>68</v>
      </c>
      <c r="BJ177" s="1" t="s">
        <v>68</v>
      </c>
      <c r="BK177" s="1" t="s">
        <v>95</v>
      </c>
      <c r="BL177" s="1" t="s">
        <v>3968</v>
      </c>
      <c r="BM177" s="1" t="str">
        <f>HYPERLINK("https%3A%2F%2Fwww.webofscience.com%2Fwos%2Fwoscc%2Ffull-record%2FWOS:001023288300001","View Full Record in Web of Science")</f>
        <v>View Full Record in Web of Science</v>
      </c>
    </row>
    <row r="178" ht="12.75" customHeight="1">
      <c r="A178" s="1" t="s">
        <v>65</v>
      </c>
      <c r="B178" s="1" t="s">
        <v>3969</v>
      </c>
      <c r="C178" s="1" t="s">
        <v>3970</v>
      </c>
      <c r="D178" s="1" t="s">
        <v>68</v>
      </c>
      <c r="E178" s="1" t="s">
        <v>3971</v>
      </c>
      <c r="F178" s="1" t="s">
        <v>3972</v>
      </c>
      <c r="G178" s="1" t="s">
        <v>68</v>
      </c>
      <c r="H178" s="1" t="s">
        <v>71</v>
      </c>
      <c r="I178" s="1" t="s">
        <v>72</v>
      </c>
      <c r="J178" s="1" t="s">
        <v>68</v>
      </c>
      <c r="K178" s="1" t="s">
        <v>68</v>
      </c>
      <c r="L178" s="1" t="s">
        <v>68</v>
      </c>
      <c r="M178" s="1" t="s">
        <v>68</v>
      </c>
      <c r="N178" s="1" t="s">
        <v>3973</v>
      </c>
      <c r="O178" s="1" t="s">
        <v>68</v>
      </c>
      <c r="P178" s="1" t="s">
        <v>3974</v>
      </c>
      <c r="Q178" s="1" t="s">
        <v>3975</v>
      </c>
      <c r="R178" s="1" t="s">
        <v>3976</v>
      </c>
      <c r="S178" s="1" t="s">
        <v>3977</v>
      </c>
      <c r="T178" s="1" t="s">
        <v>3978</v>
      </c>
      <c r="U178" s="1" t="s">
        <v>3979</v>
      </c>
      <c r="V178" s="1" t="s">
        <v>3980</v>
      </c>
      <c r="W178" s="1" t="s">
        <v>68</v>
      </c>
      <c r="X178" s="1" t="s">
        <v>68</v>
      </c>
      <c r="Y178" s="1" t="s">
        <v>68</v>
      </c>
      <c r="Z178" s="1">
        <v>26.0</v>
      </c>
      <c r="AA178" s="1">
        <v>14.0</v>
      </c>
      <c r="AB178" s="1">
        <v>18.0</v>
      </c>
      <c r="AC178" s="1">
        <v>0.0</v>
      </c>
      <c r="AD178" s="1">
        <v>30.0</v>
      </c>
      <c r="AE178" s="1" t="s">
        <v>3912</v>
      </c>
      <c r="AF178" s="1" t="s">
        <v>3913</v>
      </c>
      <c r="AG178" s="1" t="s">
        <v>3914</v>
      </c>
      <c r="AH178" s="1" t="s">
        <v>3981</v>
      </c>
      <c r="AI178" s="1" t="s">
        <v>3982</v>
      </c>
      <c r="AJ178" s="1" t="s">
        <v>68</v>
      </c>
      <c r="AK178" s="1" t="s">
        <v>3983</v>
      </c>
      <c r="AL178" s="1" t="s">
        <v>3984</v>
      </c>
      <c r="AM178" s="1" t="s">
        <v>2194</v>
      </c>
      <c r="AN178" s="1">
        <v>2018.0</v>
      </c>
      <c r="AO178" s="1">
        <v>35.0</v>
      </c>
      <c r="AP178" s="1">
        <v>4.0</v>
      </c>
      <c r="AQ178" s="1" t="s">
        <v>68</v>
      </c>
      <c r="AR178" s="1" t="s">
        <v>68</v>
      </c>
      <c r="AS178" s="1" t="s">
        <v>68</v>
      </c>
      <c r="AT178" s="1" t="s">
        <v>68</v>
      </c>
      <c r="AU178" s="1">
        <v>362.0</v>
      </c>
      <c r="AV178" s="1">
        <v>372.0</v>
      </c>
      <c r="AW178" s="1" t="s">
        <v>68</v>
      </c>
      <c r="AX178" s="1" t="s">
        <v>3985</v>
      </c>
      <c r="AY178" s="3" t="str">
        <f>HYPERLINK("http://dx.doi.org/10.1089/ees.2017.0218","http://dx.doi.org/10.1089/ees.2017.0218")</f>
        <v>http://dx.doi.org/10.1089/ees.2017.0218</v>
      </c>
      <c r="AZ178" s="1" t="s">
        <v>68</v>
      </c>
      <c r="BA178" s="1" t="s">
        <v>68</v>
      </c>
      <c r="BB178" s="1">
        <v>11.0</v>
      </c>
      <c r="BC178" s="1" t="s">
        <v>3986</v>
      </c>
      <c r="BD178" s="1" t="s">
        <v>92</v>
      </c>
      <c r="BE178" s="1" t="s">
        <v>3987</v>
      </c>
      <c r="BF178" s="1" t="s">
        <v>3988</v>
      </c>
      <c r="BG178" s="1" t="s">
        <v>68</v>
      </c>
      <c r="BH178" s="1" t="s">
        <v>68</v>
      </c>
      <c r="BI178" s="1" t="s">
        <v>68</v>
      </c>
      <c r="BJ178" s="1" t="s">
        <v>68</v>
      </c>
      <c r="BK178" s="1" t="s">
        <v>95</v>
      </c>
      <c r="BL178" s="1" t="s">
        <v>3989</v>
      </c>
      <c r="BM178" s="1" t="str">
        <f>HYPERLINK("https%3A%2F%2Fwww.webofscience.com%2Fwos%2Fwoscc%2Ffull-record%2FWOS:000429015400010","View Full Record in Web of Science")</f>
        <v>View Full Record in Web of Science</v>
      </c>
    </row>
    <row r="179" ht="12.75" customHeight="1">
      <c r="A179" s="1" t="s">
        <v>65</v>
      </c>
      <c r="B179" s="1" t="s">
        <v>3990</v>
      </c>
      <c r="C179" s="1" t="s">
        <v>3991</v>
      </c>
      <c r="D179" s="1" t="s">
        <v>68</v>
      </c>
      <c r="E179" s="1" t="s">
        <v>3992</v>
      </c>
      <c r="F179" s="1" t="s">
        <v>798</v>
      </c>
      <c r="G179" s="1" t="s">
        <v>68</v>
      </c>
      <c r="H179" s="1" t="s">
        <v>71</v>
      </c>
      <c r="I179" s="1" t="s">
        <v>72</v>
      </c>
      <c r="J179" s="1" t="s">
        <v>68</v>
      </c>
      <c r="K179" s="1" t="s">
        <v>68</v>
      </c>
      <c r="L179" s="1" t="s">
        <v>68</v>
      </c>
      <c r="M179" s="1" t="s">
        <v>68</v>
      </c>
      <c r="N179" s="1" t="s">
        <v>3993</v>
      </c>
      <c r="O179" s="1" t="s">
        <v>3994</v>
      </c>
      <c r="P179" s="1" t="s">
        <v>3995</v>
      </c>
      <c r="Q179" s="1" t="s">
        <v>3996</v>
      </c>
      <c r="R179" s="1" t="s">
        <v>3997</v>
      </c>
      <c r="S179" s="1" t="s">
        <v>3998</v>
      </c>
      <c r="T179" s="1" t="s">
        <v>3999</v>
      </c>
      <c r="U179" s="1" t="s">
        <v>4000</v>
      </c>
      <c r="V179" s="1" t="s">
        <v>4001</v>
      </c>
      <c r="W179" s="1" t="s">
        <v>4002</v>
      </c>
      <c r="X179" s="1" t="s">
        <v>4003</v>
      </c>
      <c r="Y179" s="1" t="s">
        <v>4004</v>
      </c>
      <c r="Z179" s="1">
        <v>29.0</v>
      </c>
      <c r="AA179" s="1">
        <v>96.0</v>
      </c>
      <c r="AB179" s="1">
        <v>117.0</v>
      </c>
      <c r="AC179" s="1">
        <v>1.0</v>
      </c>
      <c r="AD179" s="1">
        <v>83.0</v>
      </c>
      <c r="AE179" s="1" t="s">
        <v>811</v>
      </c>
      <c r="AF179" s="1" t="s">
        <v>1666</v>
      </c>
      <c r="AG179" s="1" t="s">
        <v>1667</v>
      </c>
      <c r="AH179" s="1" t="s">
        <v>813</v>
      </c>
      <c r="AI179" s="1" t="s">
        <v>814</v>
      </c>
      <c r="AJ179" s="1" t="s">
        <v>68</v>
      </c>
      <c r="AK179" s="1" t="s">
        <v>815</v>
      </c>
      <c r="AL179" s="1" t="s">
        <v>816</v>
      </c>
      <c r="AM179" s="1" t="s">
        <v>428</v>
      </c>
      <c r="AN179" s="1">
        <v>2017.0</v>
      </c>
      <c r="AO179" s="1">
        <v>214.0</v>
      </c>
      <c r="AP179" s="1" t="s">
        <v>68</v>
      </c>
      <c r="AQ179" s="1" t="s">
        <v>68</v>
      </c>
      <c r="AR179" s="1" t="s">
        <v>68</v>
      </c>
      <c r="AS179" s="1" t="s">
        <v>68</v>
      </c>
      <c r="AT179" s="1" t="s">
        <v>68</v>
      </c>
      <c r="AU179" s="1">
        <v>343.0</v>
      </c>
      <c r="AV179" s="1">
        <v>346.0</v>
      </c>
      <c r="AW179" s="1" t="s">
        <v>68</v>
      </c>
      <c r="AX179" s="1" t="s">
        <v>4005</v>
      </c>
      <c r="AY179" s="3" t="str">
        <f>HYPERLINK("http://dx.doi.org/10.1016/j.biocon.2017.08.019","http://dx.doi.org/10.1016/j.biocon.2017.08.019")</f>
        <v>http://dx.doi.org/10.1016/j.biocon.2017.08.019</v>
      </c>
      <c r="AZ179" s="1" t="s">
        <v>68</v>
      </c>
      <c r="BA179" s="1" t="s">
        <v>68</v>
      </c>
      <c r="BB179" s="1">
        <v>4.0</v>
      </c>
      <c r="BC179" s="1" t="s">
        <v>122</v>
      </c>
      <c r="BD179" s="1" t="s">
        <v>92</v>
      </c>
      <c r="BE179" s="1" t="s">
        <v>123</v>
      </c>
      <c r="BF179" s="1" t="s">
        <v>4006</v>
      </c>
      <c r="BG179" s="1" t="s">
        <v>68</v>
      </c>
      <c r="BH179" s="1" t="s">
        <v>68</v>
      </c>
      <c r="BI179" s="1" t="s">
        <v>68</v>
      </c>
      <c r="BJ179" s="1" t="s">
        <v>68</v>
      </c>
      <c r="BK179" s="1" t="s">
        <v>95</v>
      </c>
      <c r="BL179" s="1" t="s">
        <v>4007</v>
      </c>
      <c r="BM179" s="1" t="str">
        <f>HYPERLINK("https%3A%2F%2Fwww.webofscience.com%2Fwos%2Fwoscc%2Ffull-record%2FWOS:000412788100038","View Full Record in Web of Science")</f>
        <v>View Full Record in Web of Science</v>
      </c>
    </row>
    <row r="180" ht="12.75" customHeight="1">
      <c r="A180" s="1" t="s">
        <v>65</v>
      </c>
      <c r="B180" s="1" t="s">
        <v>4008</v>
      </c>
      <c r="C180" s="1" t="s">
        <v>4009</v>
      </c>
      <c r="D180" s="1" t="s">
        <v>68</v>
      </c>
      <c r="E180" s="1" t="s">
        <v>4010</v>
      </c>
      <c r="F180" s="1" t="s">
        <v>4011</v>
      </c>
      <c r="G180" s="1" t="s">
        <v>68</v>
      </c>
      <c r="H180" s="1" t="s">
        <v>71</v>
      </c>
      <c r="I180" s="1" t="s">
        <v>72</v>
      </c>
      <c r="J180" s="1" t="s">
        <v>68</v>
      </c>
      <c r="K180" s="1" t="s">
        <v>68</v>
      </c>
      <c r="L180" s="1" t="s">
        <v>68</v>
      </c>
      <c r="M180" s="1" t="s">
        <v>68</v>
      </c>
      <c r="N180" s="1" t="s">
        <v>68</v>
      </c>
      <c r="O180" s="1" t="s">
        <v>4012</v>
      </c>
      <c r="P180" s="1" t="s">
        <v>4013</v>
      </c>
      <c r="Q180" s="1" t="s">
        <v>4014</v>
      </c>
      <c r="R180" s="1" t="s">
        <v>4015</v>
      </c>
      <c r="S180" s="1" t="s">
        <v>4016</v>
      </c>
      <c r="T180" s="1" t="s">
        <v>4017</v>
      </c>
      <c r="U180" s="1" t="s">
        <v>4018</v>
      </c>
      <c r="V180" s="1" t="s">
        <v>4019</v>
      </c>
      <c r="W180" s="1" t="s">
        <v>4020</v>
      </c>
      <c r="X180" s="1" t="s">
        <v>4021</v>
      </c>
      <c r="Y180" s="1" t="s">
        <v>4022</v>
      </c>
      <c r="Z180" s="1">
        <v>47.0</v>
      </c>
      <c r="AA180" s="1">
        <v>30.0</v>
      </c>
      <c r="AB180" s="1">
        <v>46.0</v>
      </c>
      <c r="AC180" s="1">
        <v>1.0</v>
      </c>
      <c r="AD180" s="1">
        <v>62.0</v>
      </c>
      <c r="AE180" s="1" t="s">
        <v>3445</v>
      </c>
      <c r="AF180" s="1" t="s">
        <v>3446</v>
      </c>
      <c r="AG180" s="1" t="s">
        <v>3447</v>
      </c>
      <c r="AH180" s="1" t="s">
        <v>4023</v>
      </c>
      <c r="AI180" s="1" t="s">
        <v>4024</v>
      </c>
      <c r="AJ180" s="1" t="s">
        <v>68</v>
      </c>
      <c r="AK180" s="1" t="s">
        <v>4025</v>
      </c>
      <c r="AL180" s="1" t="s">
        <v>4026</v>
      </c>
      <c r="AM180" s="1" t="s">
        <v>4027</v>
      </c>
      <c r="AN180" s="1">
        <v>2017.0</v>
      </c>
      <c r="AO180" s="1">
        <v>21.0</v>
      </c>
      <c r="AP180" s="1">
        <v>2.0</v>
      </c>
      <c r="AQ180" s="1" t="s">
        <v>68</v>
      </c>
      <c r="AR180" s="1" t="s">
        <v>68</v>
      </c>
      <c r="AS180" s="1" t="s">
        <v>68</v>
      </c>
      <c r="AT180" s="1" t="s">
        <v>68</v>
      </c>
      <c r="AU180" s="1">
        <v>949.0</v>
      </c>
      <c r="AV180" s="1">
        <v>961.0</v>
      </c>
      <c r="AW180" s="1" t="s">
        <v>68</v>
      </c>
      <c r="AX180" s="1" t="s">
        <v>4028</v>
      </c>
      <c r="AY180" s="3" t="str">
        <f>HYPERLINK("http://dx.doi.org/10.5194/hess-21-949-2017","http://dx.doi.org/10.5194/hess-21-949-2017")</f>
        <v>http://dx.doi.org/10.5194/hess-21-949-2017</v>
      </c>
      <c r="AZ180" s="1" t="s">
        <v>68</v>
      </c>
      <c r="BA180" s="1" t="s">
        <v>68</v>
      </c>
      <c r="BB180" s="1">
        <v>13.0</v>
      </c>
      <c r="BC180" s="1" t="s">
        <v>1646</v>
      </c>
      <c r="BD180" s="1" t="s">
        <v>279</v>
      </c>
      <c r="BE180" s="1" t="s">
        <v>1647</v>
      </c>
      <c r="BF180" s="1" t="s">
        <v>4029</v>
      </c>
      <c r="BG180" s="1" t="s">
        <v>68</v>
      </c>
      <c r="BH180" s="1" t="s">
        <v>94</v>
      </c>
      <c r="BI180" s="1" t="s">
        <v>68</v>
      </c>
      <c r="BJ180" s="1" t="s">
        <v>68</v>
      </c>
      <c r="BK180" s="1" t="s">
        <v>95</v>
      </c>
      <c r="BL180" s="1" t="s">
        <v>4030</v>
      </c>
      <c r="BM180" s="1" t="str">
        <f>HYPERLINK("https%3A%2F%2Fwww.webofscience.com%2Fwos%2Fwoscc%2Ffull-record%2FWOS:000395162900002","View Full Record in Web of Science")</f>
        <v>View Full Record in Web of Science</v>
      </c>
    </row>
    <row r="181" ht="12.75" customHeight="1">
      <c r="A181" s="1" t="s">
        <v>65</v>
      </c>
      <c r="B181" s="1" t="s">
        <v>4031</v>
      </c>
      <c r="C181" s="1" t="s">
        <v>4032</v>
      </c>
      <c r="D181" s="1" t="s">
        <v>68</v>
      </c>
      <c r="E181" s="1" t="s">
        <v>4033</v>
      </c>
      <c r="F181" s="1" t="s">
        <v>4034</v>
      </c>
      <c r="G181" s="1" t="s">
        <v>68</v>
      </c>
      <c r="H181" s="1" t="s">
        <v>71</v>
      </c>
      <c r="I181" s="1" t="s">
        <v>72</v>
      </c>
      <c r="J181" s="1" t="s">
        <v>68</v>
      </c>
      <c r="K181" s="1" t="s">
        <v>68</v>
      </c>
      <c r="L181" s="1" t="s">
        <v>68</v>
      </c>
      <c r="M181" s="1" t="s">
        <v>68</v>
      </c>
      <c r="N181" s="1" t="s">
        <v>4035</v>
      </c>
      <c r="O181" s="1" t="s">
        <v>4036</v>
      </c>
      <c r="P181" s="1" t="s">
        <v>4037</v>
      </c>
      <c r="Q181" s="1" t="s">
        <v>4038</v>
      </c>
      <c r="R181" s="1" t="s">
        <v>3154</v>
      </c>
      <c r="S181" s="1" t="s">
        <v>4039</v>
      </c>
      <c r="T181" s="1" t="s">
        <v>4040</v>
      </c>
      <c r="U181" s="1" t="s">
        <v>68</v>
      </c>
      <c r="V181" s="1" t="s">
        <v>3157</v>
      </c>
      <c r="W181" s="1" t="s">
        <v>4041</v>
      </c>
      <c r="X181" s="1" t="s">
        <v>4042</v>
      </c>
      <c r="Y181" s="1" t="s">
        <v>4043</v>
      </c>
      <c r="Z181" s="1">
        <v>40.0</v>
      </c>
      <c r="AA181" s="1">
        <v>64.0</v>
      </c>
      <c r="AB181" s="1">
        <v>76.0</v>
      </c>
      <c r="AC181" s="1">
        <v>0.0</v>
      </c>
      <c r="AD181" s="1">
        <v>64.0</v>
      </c>
      <c r="AE181" s="1" t="s">
        <v>1932</v>
      </c>
      <c r="AF181" s="1" t="s">
        <v>1933</v>
      </c>
      <c r="AG181" s="1" t="s">
        <v>1934</v>
      </c>
      <c r="AH181" s="1" t="s">
        <v>4044</v>
      </c>
      <c r="AI181" s="1" t="s">
        <v>4045</v>
      </c>
      <c r="AJ181" s="1" t="s">
        <v>68</v>
      </c>
      <c r="AK181" s="1" t="s">
        <v>4046</v>
      </c>
      <c r="AL181" s="1" t="s">
        <v>4047</v>
      </c>
      <c r="AM181" s="1" t="s">
        <v>68</v>
      </c>
      <c r="AN181" s="1">
        <v>2017.0</v>
      </c>
      <c r="AO181" s="1">
        <v>26.0</v>
      </c>
      <c r="AP181" s="1">
        <v>1.0</v>
      </c>
      <c r="AQ181" s="1" t="s">
        <v>68</v>
      </c>
      <c r="AR181" s="1" t="s">
        <v>68</v>
      </c>
      <c r="AS181" s="1" t="s">
        <v>563</v>
      </c>
      <c r="AT181" s="1" t="s">
        <v>68</v>
      </c>
      <c r="AU181" s="1">
        <v>88.0</v>
      </c>
      <c r="AV181" s="1">
        <v>110.0</v>
      </c>
      <c r="AW181" s="1" t="s">
        <v>68</v>
      </c>
      <c r="AX181" s="1" t="s">
        <v>4048</v>
      </c>
      <c r="AY181" s="3" t="str">
        <f>HYPERLINK("http://dx.doi.org/10.1080/09505431.2016.1223113","http://dx.doi.org/10.1080/09505431.2016.1223113")</f>
        <v>http://dx.doi.org/10.1080/09505431.2016.1223113</v>
      </c>
      <c r="AZ181" s="1" t="s">
        <v>68</v>
      </c>
      <c r="BA181" s="1" t="s">
        <v>68</v>
      </c>
      <c r="BB181" s="1">
        <v>23.0</v>
      </c>
      <c r="BC181" s="1" t="s">
        <v>4049</v>
      </c>
      <c r="BD181" s="1" t="s">
        <v>4050</v>
      </c>
      <c r="BE181" s="1" t="s">
        <v>4051</v>
      </c>
      <c r="BF181" s="1" t="s">
        <v>4052</v>
      </c>
      <c r="BG181" s="1" t="s">
        <v>68</v>
      </c>
      <c r="BH181" s="1" t="s">
        <v>68</v>
      </c>
      <c r="BI181" s="1" t="s">
        <v>68</v>
      </c>
      <c r="BJ181" s="1" t="s">
        <v>68</v>
      </c>
      <c r="BK181" s="1" t="s">
        <v>95</v>
      </c>
      <c r="BL181" s="1" t="s">
        <v>4053</v>
      </c>
      <c r="BM181" s="1" t="str">
        <f>HYPERLINK("https%3A%2F%2Fwww.webofscience.com%2Fwos%2Fwoscc%2Ffull-record%2FWOS:000392673000008","View Full Record in Web of Science")</f>
        <v>View Full Record in Web of Science</v>
      </c>
    </row>
    <row r="182" ht="12.75" customHeight="1">
      <c r="A182" s="1" t="s">
        <v>65</v>
      </c>
      <c r="B182" s="1" t="s">
        <v>4054</v>
      </c>
      <c r="C182" s="1" t="s">
        <v>4055</v>
      </c>
      <c r="D182" s="1" t="s">
        <v>68</v>
      </c>
      <c r="E182" s="1" t="s">
        <v>4056</v>
      </c>
      <c r="F182" s="1" t="s">
        <v>4057</v>
      </c>
      <c r="G182" s="1" t="s">
        <v>68</v>
      </c>
      <c r="H182" s="1" t="s">
        <v>71</v>
      </c>
      <c r="I182" s="1" t="s">
        <v>72</v>
      </c>
      <c r="J182" s="1" t="s">
        <v>68</v>
      </c>
      <c r="K182" s="1" t="s">
        <v>68</v>
      </c>
      <c r="L182" s="1" t="s">
        <v>68</v>
      </c>
      <c r="M182" s="1" t="s">
        <v>68</v>
      </c>
      <c r="N182" s="1" t="s">
        <v>4058</v>
      </c>
      <c r="O182" s="1" t="s">
        <v>4059</v>
      </c>
      <c r="P182" s="1" t="s">
        <v>4060</v>
      </c>
      <c r="Q182" s="1" t="s">
        <v>4061</v>
      </c>
      <c r="R182" s="1" t="s">
        <v>4062</v>
      </c>
      <c r="S182" s="1" t="s">
        <v>4063</v>
      </c>
      <c r="T182" s="1" t="s">
        <v>4064</v>
      </c>
      <c r="U182" s="1" t="s">
        <v>4065</v>
      </c>
      <c r="V182" s="1" t="s">
        <v>4066</v>
      </c>
      <c r="W182" s="1" t="s">
        <v>4067</v>
      </c>
      <c r="X182" s="1" t="s">
        <v>4068</v>
      </c>
      <c r="Y182" s="1" t="s">
        <v>4069</v>
      </c>
      <c r="Z182" s="1">
        <v>95.0</v>
      </c>
      <c r="AA182" s="1">
        <v>4.0</v>
      </c>
      <c r="AB182" s="1">
        <v>4.0</v>
      </c>
      <c r="AC182" s="1">
        <v>8.0</v>
      </c>
      <c r="AD182" s="1">
        <v>12.0</v>
      </c>
      <c r="AE182" s="1" t="s">
        <v>422</v>
      </c>
      <c r="AF182" s="1" t="s">
        <v>423</v>
      </c>
      <c r="AG182" s="1" t="s">
        <v>424</v>
      </c>
      <c r="AH182" s="1" t="s">
        <v>4070</v>
      </c>
      <c r="AI182" s="1" t="s">
        <v>68</v>
      </c>
      <c r="AJ182" s="1" t="s">
        <v>68</v>
      </c>
      <c r="AK182" s="1" t="s">
        <v>4057</v>
      </c>
      <c r="AL182" s="1" t="s">
        <v>4071</v>
      </c>
      <c r="AM182" s="1" t="s">
        <v>3782</v>
      </c>
      <c r="AN182" s="1">
        <v>2025.0</v>
      </c>
      <c r="AO182" s="1">
        <v>17.0</v>
      </c>
      <c r="AP182" s="1">
        <v>3.0</v>
      </c>
      <c r="AQ182" s="1" t="s">
        <v>68</v>
      </c>
      <c r="AR182" s="1" t="s">
        <v>68</v>
      </c>
      <c r="AS182" s="1" t="s">
        <v>68</v>
      </c>
      <c r="AT182" s="1" t="s">
        <v>68</v>
      </c>
      <c r="AU182" s="1" t="s">
        <v>68</v>
      </c>
      <c r="AV182" s="1" t="s">
        <v>68</v>
      </c>
      <c r="AW182" s="1" t="s">
        <v>4072</v>
      </c>
      <c r="AX182" s="1" t="s">
        <v>4073</v>
      </c>
      <c r="AY182" s="3" t="str">
        <f>HYPERLINK("http://dx.doi.org/10.1093/aobpla/plaf023","http://dx.doi.org/10.1093/aobpla/plaf023")</f>
        <v>http://dx.doi.org/10.1093/aobpla/plaf023</v>
      </c>
      <c r="AZ182" s="1" t="s">
        <v>68</v>
      </c>
      <c r="BA182" s="1" t="s">
        <v>68</v>
      </c>
      <c r="BB182" s="1">
        <v>14.0</v>
      </c>
      <c r="BC182" s="1" t="s">
        <v>4074</v>
      </c>
      <c r="BD182" s="1" t="s">
        <v>92</v>
      </c>
      <c r="BE182" s="1" t="s">
        <v>4075</v>
      </c>
      <c r="BF182" s="1" t="s">
        <v>4076</v>
      </c>
      <c r="BG182" s="1">
        <v>4.0574896E7</v>
      </c>
      <c r="BH182" s="1" t="s">
        <v>672</v>
      </c>
      <c r="BI182" s="1" t="s">
        <v>68</v>
      </c>
      <c r="BJ182" s="1" t="s">
        <v>68</v>
      </c>
      <c r="BK182" s="1" t="s">
        <v>95</v>
      </c>
      <c r="BL182" s="1" t="s">
        <v>4077</v>
      </c>
      <c r="BM182" s="1" t="str">
        <f>HYPERLINK("https%3A%2F%2Fwww.webofscience.com%2Fwos%2Fwoscc%2Ffull-record%2FWOS:001514615900001","View Full Record in Web of Science")</f>
        <v>View Full Record in Web of Science</v>
      </c>
    </row>
    <row r="183" ht="12.75" customHeight="1">
      <c r="A183" s="1" t="s">
        <v>65</v>
      </c>
      <c r="B183" s="1" t="s">
        <v>4078</v>
      </c>
      <c r="C183" s="1" t="s">
        <v>4079</v>
      </c>
      <c r="D183" s="1" t="s">
        <v>68</v>
      </c>
      <c r="E183" s="1" t="s">
        <v>4080</v>
      </c>
      <c r="F183" s="1" t="s">
        <v>798</v>
      </c>
      <c r="G183" s="1" t="s">
        <v>68</v>
      </c>
      <c r="H183" s="1" t="s">
        <v>71</v>
      </c>
      <c r="I183" s="1" t="s">
        <v>72</v>
      </c>
      <c r="J183" s="1" t="s">
        <v>68</v>
      </c>
      <c r="K183" s="1" t="s">
        <v>68</v>
      </c>
      <c r="L183" s="1" t="s">
        <v>68</v>
      </c>
      <c r="M183" s="1" t="s">
        <v>68</v>
      </c>
      <c r="N183" s="1" t="s">
        <v>4081</v>
      </c>
      <c r="O183" s="1" t="s">
        <v>4082</v>
      </c>
      <c r="P183" s="1" t="s">
        <v>4083</v>
      </c>
      <c r="Q183" s="1" t="s">
        <v>4084</v>
      </c>
      <c r="R183" s="1" t="s">
        <v>4085</v>
      </c>
      <c r="S183" s="1" t="s">
        <v>4086</v>
      </c>
      <c r="T183" s="1" t="s">
        <v>4087</v>
      </c>
      <c r="U183" s="1" t="s">
        <v>4088</v>
      </c>
      <c r="V183" s="1" t="s">
        <v>4089</v>
      </c>
      <c r="W183" s="1" t="s">
        <v>68</v>
      </c>
      <c r="X183" s="1" t="s">
        <v>68</v>
      </c>
      <c r="Y183" s="1" t="s">
        <v>68</v>
      </c>
      <c r="Z183" s="1">
        <v>107.0</v>
      </c>
      <c r="AA183" s="1">
        <v>20.0</v>
      </c>
      <c r="AB183" s="1">
        <v>26.0</v>
      </c>
      <c r="AC183" s="1">
        <v>2.0</v>
      </c>
      <c r="AD183" s="1">
        <v>35.0</v>
      </c>
      <c r="AE183" s="1" t="s">
        <v>811</v>
      </c>
      <c r="AF183" s="1" t="s">
        <v>1666</v>
      </c>
      <c r="AG183" s="1" t="s">
        <v>1667</v>
      </c>
      <c r="AH183" s="1" t="s">
        <v>813</v>
      </c>
      <c r="AI183" s="1" t="s">
        <v>814</v>
      </c>
      <c r="AJ183" s="1" t="s">
        <v>68</v>
      </c>
      <c r="AK183" s="1" t="s">
        <v>815</v>
      </c>
      <c r="AL183" s="1" t="s">
        <v>816</v>
      </c>
      <c r="AM183" s="1" t="s">
        <v>1264</v>
      </c>
      <c r="AN183" s="1">
        <v>2021.0</v>
      </c>
      <c r="AO183" s="1">
        <v>263.0</v>
      </c>
      <c r="AP183" s="1" t="s">
        <v>68</v>
      </c>
      <c r="AQ183" s="1" t="s">
        <v>68</v>
      </c>
      <c r="AR183" s="1" t="s">
        <v>68</v>
      </c>
      <c r="AS183" s="1" t="s">
        <v>68</v>
      </c>
      <c r="AT183" s="1" t="s">
        <v>68</v>
      </c>
      <c r="AU183" s="1" t="s">
        <v>68</v>
      </c>
      <c r="AV183" s="1" t="s">
        <v>68</v>
      </c>
      <c r="AW183" s="1">
        <v>109325.0</v>
      </c>
      <c r="AX183" s="1" t="s">
        <v>4090</v>
      </c>
      <c r="AY183" s="3" t="str">
        <f>HYPERLINK("http://dx.doi.org/10.1016/j.biocon.2021.109325","http://dx.doi.org/10.1016/j.biocon.2021.109325")</f>
        <v>http://dx.doi.org/10.1016/j.biocon.2021.109325</v>
      </c>
      <c r="AZ183" s="1" t="s">
        <v>68</v>
      </c>
      <c r="BA183" s="1" t="s">
        <v>2692</v>
      </c>
      <c r="BB183" s="1">
        <v>13.0</v>
      </c>
      <c r="BC183" s="1" t="s">
        <v>122</v>
      </c>
      <c r="BD183" s="1" t="s">
        <v>279</v>
      </c>
      <c r="BE183" s="1" t="s">
        <v>123</v>
      </c>
      <c r="BF183" s="1" t="s">
        <v>4091</v>
      </c>
      <c r="BG183" s="1" t="s">
        <v>68</v>
      </c>
      <c r="BH183" s="1" t="s">
        <v>644</v>
      </c>
      <c r="BI183" s="1" t="s">
        <v>68</v>
      </c>
      <c r="BJ183" s="1" t="s">
        <v>68</v>
      </c>
      <c r="BK183" s="1" t="s">
        <v>95</v>
      </c>
      <c r="BL183" s="1" t="s">
        <v>4092</v>
      </c>
      <c r="BM183" s="1" t="str">
        <f>HYPERLINK("https%3A%2F%2Fwww.webofscience.com%2Fwos%2Fwoscc%2Ffull-record%2FWOS:000710783000008","View Full Record in Web of Science")</f>
        <v>View Full Record in Web of Science</v>
      </c>
    </row>
    <row r="184" ht="12.75" customHeight="1">
      <c r="A184" s="1" t="s">
        <v>65</v>
      </c>
      <c r="B184" s="1" t="s">
        <v>4093</v>
      </c>
      <c r="C184" s="1" t="s">
        <v>4094</v>
      </c>
      <c r="D184" s="1" t="s">
        <v>68</v>
      </c>
      <c r="E184" s="1" t="s">
        <v>4095</v>
      </c>
      <c r="F184" s="1" t="s">
        <v>1895</v>
      </c>
      <c r="G184" s="1" t="s">
        <v>68</v>
      </c>
      <c r="H184" s="1" t="s">
        <v>71</v>
      </c>
      <c r="I184" s="1" t="s">
        <v>72</v>
      </c>
      <c r="J184" s="1" t="s">
        <v>68</v>
      </c>
      <c r="K184" s="1" t="s">
        <v>68</v>
      </c>
      <c r="L184" s="1" t="s">
        <v>68</v>
      </c>
      <c r="M184" s="1" t="s">
        <v>68</v>
      </c>
      <c r="N184" s="1" t="s">
        <v>68</v>
      </c>
      <c r="O184" s="1" t="s">
        <v>4096</v>
      </c>
      <c r="P184" s="1" t="s">
        <v>4097</v>
      </c>
      <c r="Q184" s="1" t="s">
        <v>4098</v>
      </c>
      <c r="R184" s="1" t="s">
        <v>4099</v>
      </c>
      <c r="S184" s="1" t="s">
        <v>4100</v>
      </c>
      <c r="T184" s="1" t="s">
        <v>4101</v>
      </c>
      <c r="U184" s="1" t="s">
        <v>68</v>
      </c>
      <c r="V184" s="1" t="s">
        <v>4102</v>
      </c>
      <c r="W184" s="1" t="s">
        <v>4103</v>
      </c>
      <c r="X184" s="1" t="s">
        <v>4103</v>
      </c>
      <c r="Y184" s="1" t="s">
        <v>4104</v>
      </c>
      <c r="Z184" s="1">
        <v>38.0</v>
      </c>
      <c r="AA184" s="1">
        <v>77.0</v>
      </c>
      <c r="AB184" s="1">
        <v>86.0</v>
      </c>
      <c r="AC184" s="1">
        <v>0.0</v>
      </c>
      <c r="AD184" s="1">
        <v>69.0</v>
      </c>
      <c r="AE184" s="1" t="s">
        <v>1906</v>
      </c>
      <c r="AF184" s="1" t="s">
        <v>1907</v>
      </c>
      <c r="AG184" s="1" t="s">
        <v>1908</v>
      </c>
      <c r="AH184" s="1" t="s">
        <v>1909</v>
      </c>
      <c r="AI184" s="1" t="s">
        <v>68</v>
      </c>
      <c r="AJ184" s="1" t="s">
        <v>68</v>
      </c>
      <c r="AK184" s="1" t="s">
        <v>1895</v>
      </c>
      <c r="AL184" s="1" t="s">
        <v>1910</v>
      </c>
      <c r="AM184" s="1" t="s">
        <v>4105</v>
      </c>
      <c r="AN184" s="1">
        <v>2014.0</v>
      </c>
      <c r="AO184" s="1">
        <v>9.0</v>
      </c>
      <c r="AP184" s="1">
        <v>4.0</v>
      </c>
      <c r="AQ184" s="1" t="s">
        <v>68</v>
      </c>
      <c r="AR184" s="1" t="s">
        <v>68</v>
      </c>
      <c r="AS184" s="1" t="s">
        <v>68</v>
      </c>
      <c r="AT184" s="1" t="s">
        <v>68</v>
      </c>
      <c r="AU184" s="1" t="s">
        <v>68</v>
      </c>
      <c r="AV184" s="1" t="s">
        <v>68</v>
      </c>
      <c r="AW184" s="1" t="s">
        <v>4106</v>
      </c>
      <c r="AX184" s="1" t="s">
        <v>4107</v>
      </c>
      <c r="AY184" s="3" t="str">
        <f>HYPERLINK("http://dx.doi.org/10.1371/journal.pone.0095565","http://dx.doi.org/10.1371/journal.pone.0095565")</f>
        <v>http://dx.doi.org/10.1371/journal.pone.0095565</v>
      </c>
      <c r="AZ184" s="1" t="s">
        <v>68</v>
      </c>
      <c r="BA184" s="1" t="s">
        <v>68</v>
      </c>
      <c r="BB184" s="1">
        <v>12.0</v>
      </c>
      <c r="BC184" s="1" t="s">
        <v>742</v>
      </c>
      <c r="BD184" s="1" t="s">
        <v>92</v>
      </c>
      <c r="BE184" s="1" t="s">
        <v>743</v>
      </c>
      <c r="BF184" s="1" t="s">
        <v>4108</v>
      </c>
      <c r="BG184" s="1">
        <v>2.4760081E7</v>
      </c>
      <c r="BH184" s="1" t="s">
        <v>618</v>
      </c>
      <c r="BI184" s="1" t="s">
        <v>68</v>
      </c>
      <c r="BJ184" s="1" t="s">
        <v>68</v>
      </c>
      <c r="BK184" s="1" t="s">
        <v>95</v>
      </c>
      <c r="BL184" s="1" t="s">
        <v>4109</v>
      </c>
      <c r="BM184" s="1" t="str">
        <f>HYPERLINK("https%3A%2F%2Fwww.webofscience.com%2Fwos%2Fwoscc%2Ffull-record%2FWOS:000335298200065","View Full Record in Web of Science")</f>
        <v>View Full Record in Web of Science</v>
      </c>
    </row>
    <row r="185" ht="12.75" customHeight="1">
      <c r="A185" s="1" t="s">
        <v>65</v>
      </c>
      <c r="B185" s="1" t="s">
        <v>4110</v>
      </c>
      <c r="C185" s="1" t="s">
        <v>4111</v>
      </c>
      <c r="D185" s="1" t="s">
        <v>68</v>
      </c>
      <c r="E185" s="1" t="s">
        <v>4112</v>
      </c>
      <c r="F185" s="1" t="s">
        <v>4113</v>
      </c>
      <c r="G185" s="1" t="s">
        <v>68</v>
      </c>
      <c r="H185" s="1" t="s">
        <v>71</v>
      </c>
      <c r="I185" s="1" t="s">
        <v>72</v>
      </c>
      <c r="J185" s="1" t="s">
        <v>68</v>
      </c>
      <c r="K185" s="1" t="s">
        <v>68</v>
      </c>
      <c r="L185" s="1" t="s">
        <v>68</v>
      </c>
      <c r="M185" s="1" t="s">
        <v>68</v>
      </c>
      <c r="N185" s="1" t="s">
        <v>4114</v>
      </c>
      <c r="O185" s="1" t="s">
        <v>4115</v>
      </c>
      <c r="P185" s="1" t="s">
        <v>4116</v>
      </c>
      <c r="Q185" s="1" t="s">
        <v>4117</v>
      </c>
      <c r="R185" s="1" t="s">
        <v>4118</v>
      </c>
      <c r="S185" s="1" t="s">
        <v>4119</v>
      </c>
      <c r="T185" s="1" t="s">
        <v>4120</v>
      </c>
      <c r="U185" s="1" t="s">
        <v>68</v>
      </c>
      <c r="V185" s="1" t="s">
        <v>4121</v>
      </c>
      <c r="W185" s="1" t="s">
        <v>68</v>
      </c>
      <c r="X185" s="1" t="s">
        <v>68</v>
      </c>
      <c r="Y185" s="1" t="s">
        <v>68</v>
      </c>
      <c r="Z185" s="1">
        <v>39.0</v>
      </c>
      <c r="AA185" s="1">
        <v>1.0</v>
      </c>
      <c r="AB185" s="1">
        <v>2.0</v>
      </c>
      <c r="AC185" s="1">
        <v>0.0</v>
      </c>
      <c r="AD185" s="1">
        <v>16.0</v>
      </c>
      <c r="AE185" s="1" t="s">
        <v>503</v>
      </c>
      <c r="AF185" s="1" t="s">
        <v>504</v>
      </c>
      <c r="AG185" s="1" t="s">
        <v>505</v>
      </c>
      <c r="AH185" s="1" t="s">
        <v>4122</v>
      </c>
      <c r="AI185" s="1" t="s">
        <v>68</v>
      </c>
      <c r="AJ185" s="1" t="s">
        <v>68</v>
      </c>
      <c r="AK185" s="1" t="s">
        <v>4113</v>
      </c>
      <c r="AL185" s="1" t="s">
        <v>4123</v>
      </c>
      <c r="AM185" s="1" t="s">
        <v>1264</v>
      </c>
      <c r="AN185" s="1">
        <v>2022.0</v>
      </c>
      <c r="AO185" s="1">
        <v>13.0</v>
      </c>
      <c r="AP185" s="1">
        <v>11.0</v>
      </c>
      <c r="AQ185" s="1" t="s">
        <v>68</v>
      </c>
      <c r="AR185" s="1" t="s">
        <v>68</v>
      </c>
      <c r="AS185" s="1" t="s">
        <v>68</v>
      </c>
      <c r="AT185" s="1" t="s">
        <v>68</v>
      </c>
      <c r="AU185" s="1" t="s">
        <v>68</v>
      </c>
      <c r="AV185" s="1" t="s">
        <v>68</v>
      </c>
      <c r="AW185" s="1" t="s">
        <v>4124</v>
      </c>
      <c r="AX185" s="1" t="s">
        <v>4125</v>
      </c>
      <c r="AY185" s="3" t="str">
        <f>HYPERLINK("http://dx.doi.org/10.1002/ecs2.4300","http://dx.doi.org/10.1002/ecs2.4300")</f>
        <v>http://dx.doi.org/10.1002/ecs2.4300</v>
      </c>
      <c r="AZ185" s="1" t="s">
        <v>68</v>
      </c>
      <c r="BA185" s="1" t="s">
        <v>68</v>
      </c>
      <c r="BB185" s="1">
        <v>15.0</v>
      </c>
      <c r="BC185" s="1" t="s">
        <v>332</v>
      </c>
      <c r="BD185" s="1" t="s">
        <v>92</v>
      </c>
      <c r="BE185" s="1" t="s">
        <v>333</v>
      </c>
      <c r="BF185" s="1" t="s">
        <v>4126</v>
      </c>
      <c r="BG185" s="1" t="s">
        <v>68</v>
      </c>
      <c r="BH185" s="1" t="s">
        <v>94</v>
      </c>
      <c r="BI185" s="1" t="s">
        <v>68</v>
      </c>
      <c r="BJ185" s="1" t="s">
        <v>68</v>
      </c>
      <c r="BK185" s="1" t="s">
        <v>95</v>
      </c>
      <c r="BL185" s="1" t="s">
        <v>4127</v>
      </c>
      <c r="BM185" s="1" t="str">
        <f>HYPERLINK("https%3A%2F%2Fwww.webofscience.com%2Fwos%2Fwoscc%2Ffull-record%2FWOS:000891192100001","View Full Record in Web of Science")</f>
        <v>View Full Record in Web of Science</v>
      </c>
    </row>
    <row r="186" ht="12.75" customHeight="1">
      <c r="A186" s="1" t="s">
        <v>65</v>
      </c>
      <c r="B186" s="1" t="s">
        <v>4128</v>
      </c>
      <c r="C186" s="1" t="s">
        <v>4129</v>
      </c>
      <c r="D186" s="1" t="s">
        <v>68</v>
      </c>
      <c r="E186" s="1" t="s">
        <v>4130</v>
      </c>
      <c r="F186" s="1" t="s">
        <v>4131</v>
      </c>
      <c r="G186" s="1" t="s">
        <v>68</v>
      </c>
      <c r="H186" s="1" t="s">
        <v>71</v>
      </c>
      <c r="I186" s="1" t="s">
        <v>72</v>
      </c>
      <c r="J186" s="1" t="s">
        <v>68</v>
      </c>
      <c r="K186" s="1" t="s">
        <v>68</v>
      </c>
      <c r="L186" s="1" t="s">
        <v>68</v>
      </c>
      <c r="M186" s="1" t="s">
        <v>68</v>
      </c>
      <c r="N186" s="1" t="s">
        <v>4132</v>
      </c>
      <c r="O186" s="1" t="s">
        <v>4133</v>
      </c>
      <c r="P186" s="1" t="s">
        <v>4134</v>
      </c>
      <c r="Q186" s="1" t="s">
        <v>4135</v>
      </c>
      <c r="R186" s="1" t="s">
        <v>4136</v>
      </c>
      <c r="S186" s="1" t="s">
        <v>4137</v>
      </c>
      <c r="T186" s="1" t="s">
        <v>4138</v>
      </c>
      <c r="U186" s="1" t="s">
        <v>68</v>
      </c>
      <c r="V186" s="1" t="s">
        <v>4139</v>
      </c>
      <c r="W186" s="1" t="s">
        <v>4140</v>
      </c>
      <c r="X186" s="1" t="s">
        <v>4140</v>
      </c>
      <c r="Y186" s="1" t="s">
        <v>4141</v>
      </c>
      <c r="Z186" s="1">
        <v>60.0</v>
      </c>
      <c r="AA186" s="1">
        <v>0.0</v>
      </c>
      <c r="AB186" s="1">
        <v>0.0</v>
      </c>
      <c r="AC186" s="1">
        <v>2.0</v>
      </c>
      <c r="AD186" s="1">
        <v>2.0</v>
      </c>
      <c r="AE186" s="1" t="s">
        <v>2125</v>
      </c>
      <c r="AF186" s="1" t="s">
        <v>2126</v>
      </c>
      <c r="AG186" s="1" t="s">
        <v>2127</v>
      </c>
      <c r="AH186" s="1" t="s">
        <v>4142</v>
      </c>
      <c r="AI186" s="1" t="s">
        <v>4143</v>
      </c>
      <c r="AJ186" s="1" t="s">
        <v>68</v>
      </c>
      <c r="AK186" s="1" t="s">
        <v>4144</v>
      </c>
      <c r="AL186" s="1" t="s">
        <v>4145</v>
      </c>
      <c r="AM186" s="1" t="s">
        <v>4146</v>
      </c>
      <c r="AN186" s="1">
        <v>2025.0</v>
      </c>
      <c r="AO186" s="1">
        <v>41.0</v>
      </c>
      <c r="AP186" s="1">
        <v>4.0</v>
      </c>
      <c r="AQ186" s="1" t="s">
        <v>68</v>
      </c>
      <c r="AR186" s="1" t="s">
        <v>68</v>
      </c>
      <c r="AS186" s="1" t="s">
        <v>68</v>
      </c>
      <c r="AT186" s="1" t="s">
        <v>68</v>
      </c>
      <c r="AU186" s="1">
        <v>313.0</v>
      </c>
      <c r="AV186" s="1">
        <v>327.0</v>
      </c>
      <c r="AW186" s="1" t="s">
        <v>68</v>
      </c>
      <c r="AX186" s="1" t="s">
        <v>4147</v>
      </c>
      <c r="AY186" s="3" t="str">
        <f>HYPERLINK("http://dx.doi.org/10.1080/10402381.2025.2562514","http://dx.doi.org/10.1080/10402381.2025.2562514")</f>
        <v>http://dx.doi.org/10.1080/10402381.2025.2562514</v>
      </c>
      <c r="AZ186" s="1" t="s">
        <v>68</v>
      </c>
      <c r="BA186" s="1" t="s">
        <v>4148</v>
      </c>
      <c r="BB186" s="1">
        <v>15.0</v>
      </c>
      <c r="BC186" s="1" t="s">
        <v>4149</v>
      </c>
      <c r="BD186" s="1" t="s">
        <v>92</v>
      </c>
      <c r="BE186" s="1" t="s">
        <v>4150</v>
      </c>
      <c r="BF186" s="1" t="s">
        <v>4151</v>
      </c>
      <c r="BG186" s="1" t="s">
        <v>68</v>
      </c>
      <c r="BH186" s="1" t="s">
        <v>68</v>
      </c>
      <c r="BI186" s="1" t="s">
        <v>68</v>
      </c>
      <c r="BJ186" s="1" t="s">
        <v>68</v>
      </c>
      <c r="BK186" s="1" t="s">
        <v>95</v>
      </c>
      <c r="BL186" s="1" t="s">
        <v>4152</v>
      </c>
      <c r="BM186" s="1" t="str">
        <f>HYPERLINK("https%3A%2F%2Fwww.webofscience.com%2Fwos%2Fwoscc%2Ffull-record%2FWOS:001597739400001","View Full Record in Web of Science")</f>
        <v>View Full Record in Web of Science</v>
      </c>
    </row>
    <row r="187" ht="12.75" customHeight="1">
      <c r="A187" s="1" t="s">
        <v>65</v>
      </c>
      <c r="B187" s="1" t="s">
        <v>4153</v>
      </c>
      <c r="C187" s="1" t="s">
        <v>4154</v>
      </c>
      <c r="D187" s="1" t="s">
        <v>68</v>
      </c>
      <c r="E187" s="1" t="s">
        <v>4155</v>
      </c>
      <c r="F187" s="1" t="s">
        <v>315</v>
      </c>
      <c r="G187" s="1" t="s">
        <v>68</v>
      </c>
      <c r="H187" s="1" t="s">
        <v>71</v>
      </c>
      <c r="I187" s="1" t="s">
        <v>72</v>
      </c>
      <c r="J187" s="1" t="s">
        <v>68</v>
      </c>
      <c r="K187" s="1" t="s">
        <v>68</v>
      </c>
      <c r="L187" s="1" t="s">
        <v>68</v>
      </c>
      <c r="M187" s="1" t="s">
        <v>68</v>
      </c>
      <c r="N187" s="1" t="s">
        <v>4156</v>
      </c>
      <c r="O187" s="1" t="s">
        <v>4157</v>
      </c>
      <c r="P187" s="1" t="s">
        <v>4158</v>
      </c>
      <c r="Q187" s="1" t="s">
        <v>4159</v>
      </c>
      <c r="R187" s="1" t="s">
        <v>4160</v>
      </c>
      <c r="S187" s="1" t="s">
        <v>4161</v>
      </c>
      <c r="T187" s="1" t="s">
        <v>4162</v>
      </c>
      <c r="U187" s="1" t="s">
        <v>68</v>
      </c>
      <c r="V187" s="1" t="s">
        <v>68</v>
      </c>
      <c r="W187" s="1" t="s">
        <v>4163</v>
      </c>
      <c r="X187" s="1" t="s">
        <v>4163</v>
      </c>
      <c r="Y187" s="1" t="s">
        <v>4164</v>
      </c>
      <c r="Z187" s="1">
        <v>56.0</v>
      </c>
      <c r="AA187" s="1">
        <v>32.0</v>
      </c>
      <c r="AB187" s="1">
        <v>44.0</v>
      </c>
      <c r="AC187" s="1">
        <v>4.0</v>
      </c>
      <c r="AD187" s="1">
        <v>50.0</v>
      </c>
      <c r="AE187" s="1" t="s">
        <v>83</v>
      </c>
      <c r="AF187" s="1" t="s">
        <v>84</v>
      </c>
      <c r="AG187" s="1" t="s">
        <v>85</v>
      </c>
      <c r="AH187" s="1" t="s">
        <v>327</v>
      </c>
      <c r="AI187" s="1" t="s">
        <v>68</v>
      </c>
      <c r="AJ187" s="1" t="s">
        <v>68</v>
      </c>
      <c r="AK187" s="1" t="s">
        <v>328</v>
      </c>
      <c r="AL187" s="1" t="s">
        <v>329</v>
      </c>
      <c r="AM187" s="1" t="s">
        <v>4165</v>
      </c>
      <c r="AN187" s="1">
        <v>2021.0</v>
      </c>
      <c r="AO187" s="1">
        <v>9.0</v>
      </c>
      <c r="AP187" s="1" t="s">
        <v>68</v>
      </c>
      <c r="AQ187" s="1" t="s">
        <v>68</v>
      </c>
      <c r="AR187" s="1" t="s">
        <v>68</v>
      </c>
      <c r="AS187" s="1" t="s">
        <v>68</v>
      </c>
      <c r="AT187" s="1" t="s">
        <v>68</v>
      </c>
      <c r="AU187" s="1" t="s">
        <v>68</v>
      </c>
      <c r="AV187" s="1" t="s">
        <v>68</v>
      </c>
      <c r="AW187" s="1">
        <v>693602.0</v>
      </c>
      <c r="AX187" s="1" t="s">
        <v>4166</v>
      </c>
      <c r="AY187" s="3" t="str">
        <f>HYPERLINK("http://dx.doi.org/10.3389/fevo.2021.693602","http://dx.doi.org/10.3389/fevo.2021.693602")</f>
        <v>http://dx.doi.org/10.3389/fevo.2021.693602</v>
      </c>
      <c r="AZ187" s="1" t="s">
        <v>68</v>
      </c>
      <c r="BA187" s="1" t="s">
        <v>68</v>
      </c>
      <c r="BB187" s="1">
        <v>13.0</v>
      </c>
      <c r="BC187" s="1" t="s">
        <v>332</v>
      </c>
      <c r="BD187" s="1" t="s">
        <v>279</v>
      </c>
      <c r="BE187" s="1" t="s">
        <v>333</v>
      </c>
      <c r="BF187" s="1" t="s">
        <v>4167</v>
      </c>
      <c r="BG187" s="1" t="s">
        <v>68</v>
      </c>
      <c r="BH187" s="1" t="s">
        <v>94</v>
      </c>
      <c r="BI187" s="1" t="s">
        <v>68</v>
      </c>
      <c r="BJ187" s="1" t="s">
        <v>68</v>
      </c>
      <c r="BK187" s="1" t="s">
        <v>95</v>
      </c>
      <c r="BL187" s="1" t="s">
        <v>4168</v>
      </c>
      <c r="BM187" s="1" t="str">
        <f>HYPERLINK("https%3A%2F%2Fwww.webofscience.com%2Fwos%2Fwoscc%2Ffull-record%2FWOS:000680228000001","View Full Record in Web of Science")</f>
        <v>View Full Record in Web of Science</v>
      </c>
    </row>
    <row r="188" ht="12.75" customHeight="1">
      <c r="A188" s="1" t="s">
        <v>65</v>
      </c>
      <c r="B188" s="1" t="s">
        <v>4169</v>
      </c>
      <c r="C188" s="1" t="s">
        <v>4170</v>
      </c>
      <c r="D188" s="1" t="s">
        <v>68</v>
      </c>
      <c r="E188" s="1" t="s">
        <v>4171</v>
      </c>
      <c r="F188" s="1" t="s">
        <v>4172</v>
      </c>
      <c r="G188" s="1" t="s">
        <v>68</v>
      </c>
      <c r="H188" s="1" t="s">
        <v>71</v>
      </c>
      <c r="I188" s="1" t="s">
        <v>72</v>
      </c>
      <c r="J188" s="1" t="s">
        <v>68</v>
      </c>
      <c r="K188" s="1" t="s">
        <v>68</v>
      </c>
      <c r="L188" s="1" t="s">
        <v>68</v>
      </c>
      <c r="M188" s="1" t="s">
        <v>68</v>
      </c>
      <c r="N188" s="1" t="s">
        <v>4173</v>
      </c>
      <c r="O188" s="1" t="s">
        <v>4174</v>
      </c>
      <c r="P188" s="1" t="s">
        <v>4175</v>
      </c>
      <c r="Q188" s="1" t="s">
        <v>4176</v>
      </c>
      <c r="R188" s="1" t="s">
        <v>4177</v>
      </c>
      <c r="S188" s="1" t="s">
        <v>4178</v>
      </c>
      <c r="T188" s="1" t="s">
        <v>4179</v>
      </c>
      <c r="U188" s="1" t="s">
        <v>4180</v>
      </c>
      <c r="V188" s="1" t="s">
        <v>4181</v>
      </c>
      <c r="W188" s="1" t="s">
        <v>4182</v>
      </c>
      <c r="X188" s="1" t="s">
        <v>4183</v>
      </c>
      <c r="Y188" s="1" t="s">
        <v>4184</v>
      </c>
      <c r="Z188" s="1">
        <v>56.0</v>
      </c>
      <c r="AA188" s="1">
        <v>0.0</v>
      </c>
      <c r="AB188" s="1">
        <v>0.0</v>
      </c>
      <c r="AC188" s="1">
        <v>7.0</v>
      </c>
      <c r="AD188" s="1">
        <v>7.0</v>
      </c>
      <c r="AE188" s="1" t="s">
        <v>503</v>
      </c>
      <c r="AF188" s="1" t="s">
        <v>504</v>
      </c>
      <c r="AG188" s="1" t="s">
        <v>505</v>
      </c>
      <c r="AH188" s="1" t="s">
        <v>4185</v>
      </c>
      <c r="AI188" s="1" t="s">
        <v>4186</v>
      </c>
      <c r="AJ188" s="1" t="s">
        <v>68</v>
      </c>
      <c r="AK188" s="1" t="s">
        <v>4187</v>
      </c>
      <c r="AL188" s="1" t="s">
        <v>4188</v>
      </c>
      <c r="AM188" s="1" t="s">
        <v>1169</v>
      </c>
      <c r="AN188" s="1">
        <v>2026.0</v>
      </c>
      <c r="AO188" s="1">
        <v>73.0</v>
      </c>
      <c r="AP188" s="1">
        <v>2.0</v>
      </c>
      <c r="AQ188" s="1" t="s">
        <v>68</v>
      </c>
      <c r="AR188" s="1" t="s">
        <v>68</v>
      </c>
      <c r="AS188" s="1" t="s">
        <v>68</v>
      </c>
      <c r="AT188" s="1" t="s">
        <v>68</v>
      </c>
      <c r="AU188" s="1">
        <v>137.0</v>
      </c>
      <c r="AV188" s="1">
        <v>151.0</v>
      </c>
      <c r="AW188" s="1" t="s">
        <v>68</v>
      </c>
      <c r="AX188" s="1" t="s">
        <v>4189</v>
      </c>
      <c r="AY188" s="3" t="str">
        <f>HYPERLINK("http://dx.doi.org/10.1111/zph.70030","http://dx.doi.org/10.1111/zph.70030")</f>
        <v>http://dx.doi.org/10.1111/zph.70030</v>
      </c>
      <c r="AZ188" s="1" t="s">
        <v>68</v>
      </c>
      <c r="BA188" s="1" t="s">
        <v>1624</v>
      </c>
      <c r="BB188" s="1">
        <v>15.0</v>
      </c>
      <c r="BC188" s="1" t="s">
        <v>4190</v>
      </c>
      <c r="BD188" s="1" t="s">
        <v>92</v>
      </c>
      <c r="BE188" s="1" t="s">
        <v>4190</v>
      </c>
      <c r="BF188" s="1" t="s">
        <v>4191</v>
      </c>
      <c r="BG188" s="1">
        <v>4.1340029E7</v>
      </c>
      <c r="BH188" s="1" t="s">
        <v>4192</v>
      </c>
      <c r="BI188" s="1" t="s">
        <v>68</v>
      </c>
      <c r="BJ188" s="1" t="s">
        <v>68</v>
      </c>
      <c r="BK188" s="1" t="s">
        <v>95</v>
      </c>
      <c r="BL188" s="1" t="s">
        <v>4193</v>
      </c>
      <c r="BM188" s="1" t="str">
        <f>HYPERLINK("https%3A%2F%2Fwww.webofscience.com%2Fwos%2Fwoscc%2Ffull-record%2FWOS:001630050600001","View Full Record in Web of Science")</f>
        <v>View Full Record in Web of Science</v>
      </c>
    </row>
    <row r="189" ht="12.75" customHeight="1">
      <c r="A189" s="1" t="s">
        <v>65</v>
      </c>
      <c r="B189" s="1" t="s">
        <v>4194</v>
      </c>
      <c r="C189" s="1" t="s">
        <v>4195</v>
      </c>
      <c r="D189" s="1" t="s">
        <v>68</v>
      </c>
      <c r="E189" s="1" t="s">
        <v>4196</v>
      </c>
      <c r="F189" s="1" t="s">
        <v>4197</v>
      </c>
      <c r="G189" s="1" t="s">
        <v>68</v>
      </c>
      <c r="H189" s="1" t="s">
        <v>71</v>
      </c>
      <c r="I189" s="1" t="s">
        <v>72</v>
      </c>
      <c r="J189" s="1" t="s">
        <v>68</v>
      </c>
      <c r="K189" s="1" t="s">
        <v>68</v>
      </c>
      <c r="L189" s="1" t="s">
        <v>68</v>
      </c>
      <c r="M189" s="1" t="s">
        <v>68</v>
      </c>
      <c r="N189" s="1" t="s">
        <v>4198</v>
      </c>
      <c r="O189" s="1" t="s">
        <v>4199</v>
      </c>
      <c r="P189" s="1" t="s">
        <v>4200</v>
      </c>
      <c r="Q189" s="1" t="s">
        <v>4201</v>
      </c>
      <c r="R189" s="1" t="s">
        <v>4202</v>
      </c>
      <c r="S189" s="1" t="s">
        <v>1881</v>
      </c>
      <c r="T189" s="1" t="s">
        <v>1882</v>
      </c>
      <c r="U189" s="1" t="s">
        <v>4203</v>
      </c>
      <c r="V189" s="1" t="s">
        <v>4204</v>
      </c>
      <c r="W189" s="1" t="s">
        <v>4205</v>
      </c>
      <c r="X189" s="1" t="s">
        <v>4206</v>
      </c>
      <c r="Y189" s="1" t="s">
        <v>4207</v>
      </c>
      <c r="Z189" s="1">
        <v>35.0</v>
      </c>
      <c r="AA189" s="1">
        <v>14.0</v>
      </c>
      <c r="AB189" s="1">
        <v>14.0</v>
      </c>
      <c r="AC189" s="1">
        <v>2.0</v>
      </c>
      <c r="AD189" s="1">
        <v>7.0</v>
      </c>
      <c r="AE189" s="1" t="s">
        <v>1596</v>
      </c>
      <c r="AF189" s="1" t="s">
        <v>1182</v>
      </c>
      <c r="AG189" s="1" t="s">
        <v>1597</v>
      </c>
      <c r="AH189" s="1" t="s">
        <v>68</v>
      </c>
      <c r="AI189" s="1" t="s">
        <v>4208</v>
      </c>
      <c r="AJ189" s="1" t="s">
        <v>68</v>
      </c>
      <c r="AK189" s="1" t="s">
        <v>4209</v>
      </c>
      <c r="AL189" s="1" t="s">
        <v>4210</v>
      </c>
      <c r="AM189" s="1" t="s">
        <v>3782</v>
      </c>
      <c r="AN189" s="1">
        <v>2023.0</v>
      </c>
      <c r="AO189" s="1">
        <v>16.0</v>
      </c>
      <c r="AP189" s="1" t="s">
        <v>68</v>
      </c>
      <c r="AQ189" s="1" t="s">
        <v>68</v>
      </c>
      <c r="AR189" s="1" t="s">
        <v>68</v>
      </c>
      <c r="AS189" s="1" t="s">
        <v>68</v>
      </c>
      <c r="AT189" s="1" t="s">
        <v>68</v>
      </c>
      <c r="AU189" s="1" t="s">
        <v>68</v>
      </c>
      <c r="AV189" s="1" t="s">
        <v>68</v>
      </c>
      <c r="AW189" s="1">
        <v>100480.0</v>
      </c>
      <c r="AX189" s="1" t="s">
        <v>4211</v>
      </c>
      <c r="AY189" s="3" t="str">
        <f>HYPERLINK("http://dx.doi.org/10.1016/j.onehlt.2022.100480","http://dx.doi.org/10.1016/j.onehlt.2022.100480")</f>
        <v>http://dx.doi.org/10.1016/j.onehlt.2022.100480</v>
      </c>
      <c r="AZ189" s="1" t="s">
        <v>68</v>
      </c>
      <c r="BA189" s="1" t="s">
        <v>4212</v>
      </c>
      <c r="BB189" s="1">
        <v>6.0</v>
      </c>
      <c r="BC189" s="1" t="s">
        <v>4213</v>
      </c>
      <c r="BD189" s="1" t="s">
        <v>92</v>
      </c>
      <c r="BE189" s="1" t="s">
        <v>4213</v>
      </c>
      <c r="BF189" s="1" t="s">
        <v>4214</v>
      </c>
      <c r="BG189" s="1">
        <v>3.6632478E7</v>
      </c>
      <c r="BH189" s="1" t="s">
        <v>94</v>
      </c>
      <c r="BI189" s="1" t="s">
        <v>68</v>
      </c>
      <c r="BJ189" s="1" t="s">
        <v>68</v>
      </c>
      <c r="BK189" s="1" t="s">
        <v>95</v>
      </c>
      <c r="BL189" s="1" t="s">
        <v>4215</v>
      </c>
      <c r="BM189" s="1" t="str">
        <f>HYPERLINK("https%3A%2F%2Fwww.webofscience.com%2Fwos%2Fwoscc%2Ffull-record%2FWOS:000995316100001","View Full Record in Web of Science")</f>
        <v>View Full Record in Web of Science</v>
      </c>
    </row>
    <row r="190" ht="12.75" customHeight="1">
      <c r="A190" s="1" t="s">
        <v>65</v>
      </c>
      <c r="B190" s="1" t="s">
        <v>4216</v>
      </c>
      <c r="C190" s="1" t="s">
        <v>4217</v>
      </c>
      <c r="D190" s="1" t="s">
        <v>68</v>
      </c>
      <c r="E190" s="1" t="s">
        <v>4218</v>
      </c>
      <c r="F190" s="1" t="s">
        <v>4219</v>
      </c>
      <c r="G190" s="1" t="s">
        <v>68</v>
      </c>
      <c r="H190" s="1" t="s">
        <v>71</v>
      </c>
      <c r="I190" s="1" t="s">
        <v>72</v>
      </c>
      <c r="J190" s="1" t="s">
        <v>68</v>
      </c>
      <c r="K190" s="1" t="s">
        <v>68</v>
      </c>
      <c r="L190" s="1" t="s">
        <v>68</v>
      </c>
      <c r="M190" s="1" t="s">
        <v>68</v>
      </c>
      <c r="N190" s="1" t="s">
        <v>4220</v>
      </c>
      <c r="O190" s="1" t="s">
        <v>4221</v>
      </c>
      <c r="P190" s="1" t="s">
        <v>4222</v>
      </c>
      <c r="Q190" s="1" t="s">
        <v>4223</v>
      </c>
      <c r="R190" s="1" t="s">
        <v>4224</v>
      </c>
      <c r="S190" s="1" t="s">
        <v>4225</v>
      </c>
      <c r="T190" s="1" t="s">
        <v>4226</v>
      </c>
      <c r="U190" s="1" t="s">
        <v>4227</v>
      </c>
      <c r="V190" s="1" t="s">
        <v>4228</v>
      </c>
      <c r="W190" s="1" t="s">
        <v>68</v>
      </c>
      <c r="X190" s="1" t="s">
        <v>68</v>
      </c>
      <c r="Y190" s="1" t="s">
        <v>68</v>
      </c>
      <c r="Z190" s="1">
        <v>23.0</v>
      </c>
      <c r="AA190" s="1">
        <v>3.0</v>
      </c>
      <c r="AB190" s="1">
        <v>3.0</v>
      </c>
      <c r="AC190" s="1">
        <v>0.0</v>
      </c>
      <c r="AD190" s="1">
        <v>5.0</v>
      </c>
      <c r="AE190" s="1" t="s">
        <v>247</v>
      </c>
      <c r="AF190" s="1" t="s">
        <v>248</v>
      </c>
      <c r="AG190" s="1" t="s">
        <v>351</v>
      </c>
      <c r="AH190" s="1" t="s">
        <v>68</v>
      </c>
      <c r="AI190" s="1" t="s">
        <v>4229</v>
      </c>
      <c r="AJ190" s="1" t="s">
        <v>68</v>
      </c>
      <c r="AK190" s="1" t="s">
        <v>4230</v>
      </c>
      <c r="AL190" s="1" t="s">
        <v>4231</v>
      </c>
      <c r="AM190" s="1" t="s">
        <v>1789</v>
      </c>
      <c r="AN190" s="1">
        <v>2022.0</v>
      </c>
      <c r="AO190" s="1">
        <v>9.0</v>
      </c>
      <c r="AP190" s="1">
        <v>1.0</v>
      </c>
      <c r="AQ190" s="1" t="s">
        <v>68</v>
      </c>
      <c r="AR190" s="1" t="s">
        <v>68</v>
      </c>
      <c r="AS190" s="1" t="s">
        <v>68</v>
      </c>
      <c r="AT190" s="1" t="s">
        <v>68</v>
      </c>
      <c r="AU190" s="1" t="s">
        <v>68</v>
      </c>
      <c r="AV190" s="1" t="s">
        <v>68</v>
      </c>
      <c r="AW190" s="1">
        <v>11.0</v>
      </c>
      <c r="AX190" s="1" t="s">
        <v>4232</v>
      </c>
      <c r="AY190" s="3" t="str">
        <f>HYPERLINK("http://dx.doi.org/10.3390/hydrology9010011","http://dx.doi.org/10.3390/hydrology9010011")</f>
        <v>http://dx.doi.org/10.3390/hydrology9010011</v>
      </c>
      <c r="AZ190" s="1" t="s">
        <v>68</v>
      </c>
      <c r="BA190" s="1" t="s">
        <v>68</v>
      </c>
      <c r="BB190" s="1">
        <v>13.0</v>
      </c>
      <c r="BC190" s="1" t="s">
        <v>2221</v>
      </c>
      <c r="BD190" s="1" t="s">
        <v>197</v>
      </c>
      <c r="BE190" s="1" t="s">
        <v>2221</v>
      </c>
      <c r="BF190" s="1" t="s">
        <v>4233</v>
      </c>
      <c r="BG190" s="1" t="s">
        <v>68</v>
      </c>
      <c r="BH190" s="1" t="s">
        <v>94</v>
      </c>
      <c r="BI190" s="1" t="s">
        <v>68</v>
      </c>
      <c r="BJ190" s="1" t="s">
        <v>68</v>
      </c>
      <c r="BK190" s="1" t="s">
        <v>95</v>
      </c>
      <c r="BL190" s="1" t="s">
        <v>4234</v>
      </c>
      <c r="BM190" s="1" t="str">
        <f>HYPERLINK("https%3A%2F%2Fwww.webofscience.com%2Fwos%2Fwoscc%2Ffull-record%2FWOS:000757624400001","View Full Record in Web of Science")</f>
        <v>View Full Record in Web of Science</v>
      </c>
    </row>
    <row r="191" ht="12.75" customHeight="1">
      <c r="A191" s="1" t="s">
        <v>65</v>
      </c>
      <c r="B191" s="1" t="s">
        <v>4235</v>
      </c>
      <c r="C191" s="1" t="s">
        <v>4236</v>
      </c>
      <c r="D191" s="1" t="s">
        <v>68</v>
      </c>
      <c r="E191" s="1" t="s">
        <v>4237</v>
      </c>
      <c r="F191" s="1" t="s">
        <v>1772</v>
      </c>
      <c r="G191" s="1" t="s">
        <v>68</v>
      </c>
      <c r="H191" s="1" t="s">
        <v>71</v>
      </c>
      <c r="I191" s="1" t="s">
        <v>72</v>
      </c>
      <c r="J191" s="1" t="s">
        <v>68</v>
      </c>
      <c r="K191" s="1" t="s">
        <v>68</v>
      </c>
      <c r="L191" s="1" t="s">
        <v>68</v>
      </c>
      <c r="M191" s="1" t="s">
        <v>68</v>
      </c>
      <c r="N191" s="1" t="s">
        <v>4238</v>
      </c>
      <c r="O191" s="1" t="s">
        <v>4239</v>
      </c>
      <c r="P191" s="1" t="s">
        <v>4240</v>
      </c>
      <c r="Q191" s="1" t="s">
        <v>4241</v>
      </c>
      <c r="R191" s="1" t="s">
        <v>4242</v>
      </c>
      <c r="S191" s="1" t="s">
        <v>4243</v>
      </c>
      <c r="T191" s="1" t="s">
        <v>4244</v>
      </c>
      <c r="U191" s="1" t="s">
        <v>4245</v>
      </c>
      <c r="V191" s="1" t="s">
        <v>4246</v>
      </c>
      <c r="W191" s="1" t="s">
        <v>4247</v>
      </c>
      <c r="X191" s="1" t="s">
        <v>4247</v>
      </c>
      <c r="Y191" s="1" t="s">
        <v>4248</v>
      </c>
      <c r="Z191" s="1">
        <v>69.0</v>
      </c>
      <c r="AA191" s="1">
        <v>17.0</v>
      </c>
      <c r="AB191" s="1">
        <v>19.0</v>
      </c>
      <c r="AC191" s="1">
        <v>5.0</v>
      </c>
      <c r="AD191" s="1">
        <v>19.0</v>
      </c>
      <c r="AE191" s="1" t="s">
        <v>1782</v>
      </c>
      <c r="AF191" s="1" t="s">
        <v>1783</v>
      </c>
      <c r="AG191" s="1" t="s">
        <v>1784</v>
      </c>
      <c r="AH191" s="1" t="s">
        <v>1785</v>
      </c>
      <c r="AI191" s="1" t="s">
        <v>1786</v>
      </c>
      <c r="AJ191" s="1" t="s">
        <v>68</v>
      </c>
      <c r="AK191" s="1" t="s">
        <v>1787</v>
      </c>
      <c r="AL191" s="1" t="s">
        <v>1788</v>
      </c>
      <c r="AM191" s="1" t="s">
        <v>404</v>
      </c>
      <c r="AN191" s="1">
        <v>2024.0</v>
      </c>
      <c r="AO191" s="1">
        <v>97.0</v>
      </c>
      <c r="AP191" s="1">
        <v>4.0</v>
      </c>
      <c r="AQ191" s="1" t="s">
        <v>68</v>
      </c>
      <c r="AR191" s="1" t="s">
        <v>68</v>
      </c>
      <c r="AS191" s="1" t="s">
        <v>68</v>
      </c>
      <c r="AT191" s="1" t="s">
        <v>68</v>
      </c>
      <c r="AU191" s="1">
        <v>2073.0</v>
      </c>
      <c r="AV191" s="1">
        <v>2085.0</v>
      </c>
      <c r="AW191" s="1" t="s">
        <v>68</v>
      </c>
      <c r="AX191" s="1" t="s">
        <v>4249</v>
      </c>
      <c r="AY191" s="3" t="str">
        <f>HYPERLINK("http://dx.doi.org/10.1007/s10340-024-01744-7","http://dx.doi.org/10.1007/s10340-024-01744-7")</f>
        <v>http://dx.doi.org/10.1007/s10340-024-01744-7</v>
      </c>
      <c r="AZ191" s="1" t="s">
        <v>68</v>
      </c>
      <c r="BA191" s="1" t="s">
        <v>4250</v>
      </c>
      <c r="BB191" s="1">
        <v>13.0</v>
      </c>
      <c r="BC191" s="1" t="s">
        <v>309</v>
      </c>
      <c r="BD191" s="1" t="s">
        <v>92</v>
      </c>
      <c r="BE191" s="1" t="s">
        <v>309</v>
      </c>
      <c r="BF191" s="1" t="s">
        <v>4251</v>
      </c>
      <c r="BG191" s="1">
        <v>3.9323576E7</v>
      </c>
      <c r="BH191" s="1" t="s">
        <v>644</v>
      </c>
      <c r="BI191" s="1" t="s">
        <v>68</v>
      </c>
      <c r="BJ191" s="1" t="s">
        <v>68</v>
      </c>
      <c r="BK191" s="1" t="s">
        <v>95</v>
      </c>
      <c r="BL191" s="1" t="s">
        <v>4252</v>
      </c>
      <c r="BM191" s="1" t="str">
        <f>HYPERLINK("https%3A%2F%2Fwww.webofscience.com%2Fwos%2Fwoscc%2Ffull-record%2FWOS:001150861100001","View Full Record in Web of Science")</f>
        <v>View Full Record in Web of Science</v>
      </c>
    </row>
    <row r="192" ht="12.75" customHeight="1">
      <c r="A192" s="1" t="s">
        <v>65</v>
      </c>
      <c r="B192" s="1" t="s">
        <v>4253</v>
      </c>
      <c r="C192" s="1" t="s">
        <v>4254</v>
      </c>
      <c r="D192" s="1" t="s">
        <v>68</v>
      </c>
      <c r="E192" s="1" t="s">
        <v>4255</v>
      </c>
      <c r="F192" s="1" t="s">
        <v>3294</v>
      </c>
      <c r="G192" s="1" t="s">
        <v>68</v>
      </c>
      <c r="H192" s="1" t="s">
        <v>71</v>
      </c>
      <c r="I192" s="1" t="s">
        <v>72</v>
      </c>
      <c r="J192" s="1" t="s">
        <v>68</v>
      </c>
      <c r="K192" s="1" t="s">
        <v>68</v>
      </c>
      <c r="L192" s="1" t="s">
        <v>68</v>
      </c>
      <c r="M192" s="1" t="s">
        <v>68</v>
      </c>
      <c r="N192" s="1" t="s">
        <v>4256</v>
      </c>
      <c r="O192" s="1" t="s">
        <v>4257</v>
      </c>
      <c r="P192" s="1" t="s">
        <v>4258</v>
      </c>
      <c r="Q192" s="1" t="s">
        <v>4259</v>
      </c>
      <c r="R192" s="1" t="s">
        <v>4260</v>
      </c>
      <c r="S192" s="1" t="s">
        <v>4261</v>
      </c>
      <c r="T192" s="1" t="s">
        <v>4262</v>
      </c>
      <c r="U192" s="1" t="s">
        <v>4263</v>
      </c>
      <c r="V192" s="1" t="s">
        <v>4264</v>
      </c>
      <c r="W192" s="1" t="s">
        <v>4265</v>
      </c>
      <c r="X192" s="1" t="s">
        <v>4266</v>
      </c>
      <c r="Y192" s="1" t="s">
        <v>4267</v>
      </c>
      <c r="Z192" s="1">
        <v>48.0</v>
      </c>
      <c r="AA192" s="1">
        <v>0.0</v>
      </c>
      <c r="AB192" s="1">
        <v>0.0</v>
      </c>
      <c r="AC192" s="1">
        <v>1.0</v>
      </c>
      <c r="AD192" s="1">
        <v>1.0</v>
      </c>
      <c r="AE192" s="1" t="s">
        <v>247</v>
      </c>
      <c r="AF192" s="1" t="s">
        <v>248</v>
      </c>
      <c r="AG192" s="1" t="s">
        <v>249</v>
      </c>
      <c r="AH192" s="1" t="s">
        <v>68</v>
      </c>
      <c r="AI192" s="1" t="s">
        <v>3307</v>
      </c>
      <c r="AJ192" s="1" t="s">
        <v>68</v>
      </c>
      <c r="AK192" s="1" t="s">
        <v>3294</v>
      </c>
      <c r="AL192" s="1" t="s">
        <v>3308</v>
      </c>
      <c r="AM192" s="1" t="s">
        <v>4268</v>
      </c>
      <c r="AN192" s="1">
        <v>2025.0</v>
      </c>
      <c r="AO192" s="1">
        <v>16.0</v>
      </c>
      <c r="AP192" s="1">
        <v>9.0</v>
      </c>
      <c r="AQ192" s="1" t="s">
        <v>68</v>
      </c>
      <c r="AR192" s="1" t="s">
        <v>68</v>
      </c>
      <c r="AS192" s="1" t="s">
        <v>68</v>
      </c>
      <c r="AT192" s="1" t="s">
        <v>68</v>
      </c>
      <c r="AU192" s="1" t="s">
        <v>68</v>
      </c>
      <c r="AV192" s="1" t="s">
        <v>68</v>
      </c>
      <c r="AW192" s="1">
        <v>929.0</v>
      </c>
      <c r="AX192" s="1" t="s">
        <v>4269</v>
      </c>
      <c r="AY192" s="3" t="str">
        <f>HYPERLINK("http://dx.doi.org/10.3390/insects16090929","http://dx.doi.org/10.3390/insects16090929")</f>
        <v>http://dx.doi.org/10.3390/insects16090929</v>
      </c>
      <c r="AZ192" s="1" t="s">
        <v>68</v>
      </c>
      <c r="BA192" s="1" t="s">
        <v>68</v>
      </c>
      <c r="BB192" s="1">
        <v>13.0</v>
      </c>
      <c r="BC192" s="1" t="s">
        <v>309</v>
      </c>
      <c r="BD192" s="1" t="s">
        <v>92</v>
      </c>
      <c r="BE192" s="1" t="s">
        <v>309</v>
      </c>
      <c r="BF192" s="1" t="s">
        <v>4270</v>
      </c>
      <c r="BG192" s="1">
        <v>4.100911E7</v>
      </c>
      <c r="BH192" s="1" t="s">
        <v>94</v>
      </c>
      <c r="BI192" s="1" t="s">
        <v>68</v>
      </c>
      <c r="BJ192" s="1" t="s">
        <v>68</v>
      </c>
      <c r="BK192" s="1" t="s">
        <v>95</v>
      </c>
      <c r="BL192" s="1" t="s">
        <v>4271</v>
      </c>
      <c r="BM192" s="1" t="str">
        <f>HYPERLINK("https%3A%2F%2Fwww.webofscience.com%2Fwos%2Fwoscc%2Ffull-record%2FWOS:001580079500001","View Full Record in Web of Science")</f>
        <v>View Full Record in Web of Science</v>
      </c>
    </row>
    <row r="193" ht="12.75" customHeight="1">
      <c r="A193" s="1" t="s">
        <v>65</v>
      </c>
      <c r="B193" s="1" t="s">
        <v>4272</v>
      </c>
      <c r="C193" s="1" t="s">
        <v>4273</v>
      </c>
      <c r="D193" s="1" t="s">
        <v>68</v>
      </c>
      <c r="E193" s="1" t="s">
        <v>4274</v>
      </c>
      <c r="F193" s="1" t="s">
        <v>3848</v>
      </c>
      <c r="G193" s="1" t="s">
        <v>68</v>
      </c>
      <c r="H193" s="1" t="s">
        <v>71</v>
      </c>
      <c r="I193" s="1" t="s">
        <v>72</v>
      </c>
      <c r="J193" s="1" t="s">
        <v>68</v>
      </c>
      <c r="K193" s="1" t="s">
        <v>68</v>
      </c>
      <c r="L193" s="1" t="s">
        <v>68</v>
      </c>
      <c r="M193" s="1" t="s">
        <v>68</v>
      </c>
      <c r="N193" s="1" t="s">
        <v>4275</v>
      </c>
      <c r="O193" s="1" t="s">
        <v>4276</v>
      </c>
      <c r="P193" s="1" t="s">
        <v>4277</v>
      </c>
      <c r="Q193" s="1" t="s">
        <v>4278</v>
      </c>
      <c r="R193" s="1" t="s">
        <v>4279</v>
      </c>
      <c r="S193" s="1" t="s">
        <v>4280</v>
      </c>
      <c r="T193" s="1" t="s">
        <v>4281</v>
      </c>
      <c r="U193" s="1" t="s">
        <v>68</v>
      </c>
      <c r="V193" s="1" t="s">
        <v>4282</v>
      </c>
      <c r="W193" s="1" t="s">
        <v>4283</v>
      </c>
      <c r="X193" s="1" t="s">
        <v>4284</v>
      </c>
      <c r="Y193" s="1" t="s">
        <v>4285</v>
      </c>
      <c r="Z193" s="1">
        <v>79.0</v>
      </c>
      <c r="AA193" s="1">
        <v>5.0</v>
      </c>
      <c r="AB193" s="1">
        <v>5.0</v>
      </c>
      <c r="AC193" s="1">
        <v>2.0</v>
      </c>
      <c r="AD193" s="1">
        <v>13.0</v>
      </c>
      <c r="AE193" s="1" t="s">
        <v>422</v>
      </c>
      <c r="AF193" s="1" t="s">
        <v>423</v>
      </c>
      <c r="AG193" s="1" t="s">
        <v>424</v>
      </c>
      <c r="AH193" s="1" t="s">
        <v>3853</v>
      </c>
      <c r="AI193" s="1" t="s">
        <v>3854</v>
      </c>
      <c r="AJ193" s="1" t="s">
        <v>68</v>
      </c>
      <c r="AK193" s="1" t="s">
        <v>3855</v>
      </c>
      <c r="AL193" s="1" t="s">
        <v>3856</v>
      </c>
      <c r="AM193" s="1" t="s">
        <v>404</v>
      </c>
      <c r="AN193" s="1">
        <v>2024.0</v>
      </c>
      <c r="AO193" s="1">
        <v>20.0</v>
      </c>
      <c r="AP193" s="1">
        <v>5.0</v>
      </c>
      <c r="AQ193" s="1" t="s">
        <v>68</v>
      </c>
      <c r="AR193" s="1" t="s">
        <v>68</v>
      </c>
      <c r="AS193" s="1" t="s">
        <v>68</v>
      </c>
      <c r="AT193" s="1" t="s">
        <v>68</v>
      </c>
      <c r="AU193" s="1">
        <v>1463.0</v>
      </c>
      <c r="AV193" s="1">
        <v>1472.0</v>
      </c>
      <c r="AW193" s="1" t="s">
        <v>68</v>
      </c>
      <c r="AX193" s="1" t="s">
        <v>4286</v>
      </c>
      <c r="AY193" s="3" t="str">
        <f>HYPERLINK("http://dx.doi.org/10.1002/ieam.4937","http://dx.doi.org/10.1002/ieam.4937")</f>
        <v>http://dx.doi.org/10.1002/ieam.4937</v>
      </c>
      <c r="AZ193" s="1" t="s">
        <v>68</v>
      </c>
      <c r="BA193" s="1" t="s">
        <v>4287</v>
      </c>
      <c r="BB193" s="1">
        <v>10.0</v>
      </c>
      <c r="BC193" s="1" t="s">
        <v>3858</v>
      </c>
      <c r="BD193" s="1" t="s">
        <v>92</v>
      </c>
      <c r="BE193" s="1" t="s">
        <v>3859</v>
      </c>
      <c r="BF193" s="1" t="s">
        <v>4288</v>
      </c>
      <c r="BG193" s="1">
        <v>3.8712817E7</v>
      </c>
      <c r="BH193" s="1" t="s">
        <v>867</v>
      </c>
      <c r="BI193" s="1" t="s">
        <v>68</v>
      </c>
      <c r="BJ193" s="1" t="s">
        <v>68</v>
      </c>
      <c r="BK193" s="1" t="s">
        <v>95</v>
      </c>
      <c r="BL193" s="1" t="s">
        <v>4289</v>
      </c>
      <c r="BM193" s="1" t="str">
        <f>HYPERLINK("https%3A%2F%2Fwww.webofscience.com%2Fwos%2Fwoscc%2Ffull-record%2FWOS:001214938300001","View Full Record in Web of Science")</f>
        <v>View Full Record in Web of Science</v>
      </c>
    </row>
    <row r="194" ht="12.75" customHeight="1">
      <c r="A194" s="1" t="s">
        <v>65</v>
      </c>
      <c r="B194" s="1" t="s">
        <v>4290</v>
      </c>
      <c r="C194" s="1" t="s">
        <v>4291</v>
      </c>
      <c r="D194" s="1" t="s">
        <v>68</v>
      </c>
      <c r="E194" s="1" t="s">
        <v>4292</v>
      </c>
      <c r="F194" s="1" t="s">
        <v>3546</v>
      </c>
      <c r="G194" s="1" t="s">
        <v>68</v>
      </c>
      <c r="H194" s="1" t="s">
        <v>71</v>
      </c>
      <c r="I194" s="1" t="s">
        <v>72</v>
      </c>
      <c r="J194" s="1" t="s">
        <v>68</v>
      </c>
      <c r="K194" s="1" t="s">
        <v>68</v>
      </c>
      <c r="L194" s="1" t="s">
        <v>68</v>
      </c>
      <c r="M194" s="1" t="s">
        <v>68</v>
      </c>
      <c r="N194" s="1" t="s">
        <v>4293</v>
      </c>
      <c r="O194" s="1" t="s">
        <v>4294</v>
      </c>
      <c r="P194" s="1" t="s">
        <v>4295</v>
      </c>
      <c r="Q194" s="1" t="s">
        <v>4296</v>
      </c>
      <c r="R194" s="1" t="s">
        <v>4297</v>
      </c>
      <c r="S194" s="1" t="s">
        <v>4298</v>
      </c>
      <c r="T194" s="1" t="s">
        <v>4299</v>
      </c>
      <c r="U194" s="1" t="s">
        <v>4300</v>
      </c>
      <c r="V194" s="1" t="s">
        <v>4301</v>
      </c>
      <c r="W194" s="1" t="s">
        <v>4302</v>
      </c>
      <c r="X194" s="1" t="s">
        <v>4302</v>
      </c>
      <c r="Y194" s="1" t="s">
        <v>4303</v>
      </c>
      <c r="Z194" s="1">
        <v>113.0</v>
      </c>
      <c r="AA194" s="1">
        <v>0.0</v>
      </c>
      <c r="AB194" s="1">
        <v>0.0</v>
      </c>
      <c r="AC194" s="1">
        <v>9.0</v>
      </c>
      <c r="AD194" s="1">
        <v>9.0</v>
      </c>
      <c r="AE194" s="1" t="s">
        <v>1596</v>
      </c>
      <c r="AF194" s="1" t="s">
        <v>1182</v>
      </c>
      <c r="AG194" s="1" t="s">
        <v>1597</v>
      </c>
      <c r="AH194" s="1" t="s">
        <v>3558</v>
      </c>
      <c r="AI194" s="1" t="s">
        <v>3559</v>
      </c>
      <c r="AJ194" s="1" t="s">
        <v>68</v>
      </c>
      <c r="AK194" s="1" t="s">
        <v>3560</v>
      </c>
      <c r="AL194" s="1" t="s">
        <v>3561</v>
      </c>
      <c r="AM194" s="1" t="s">
        <v>120</v>
      </c>
      <c r="AN194" s="1">
        <v>2025.0</v>
      </c>
      <c r="AO194" s="1">
        <v>92.0</v>
      </c>
      <c r="AP194" s="1" t="s">
        <v>68</v>
      </c>
      <c r="AQ194" s="1" t="s">
        <v>68</v>
      </c>
      <c r="AR194" s="1" t="s">
        <v>68</v>
      </c>
      <c r="AS194" s="1" t="s">
        <v>68</v>
      </c>
      <c r="AT194" s="1" t="s">
        <v>68</v>
      </c>
      <c r="AU194" s="1" t="s">
        <v>68</v>
      </c>
      <c r="AV194" s="1" t="s">
        <v>68</v>
      </c>
      <c r="AW194" s="1">
        <v>103457.0</v>
      </c>
      <c r="AX194" s="1" t="s">
        <v>4304</v>
      </c>
      <c r="AY194" s="3" t="str">
        <f>HYPERLINK("http://dx.doi.org/10.1016/j.ecoinf.2025.103457","http://dx.doi.org/10.1016/j.ecoinf.2025.103457")</f>
        <v>http://dx.doi.org/10.1016/j.ecoinf.2025.103457</v>
      </c>
      <c r="AZ194" s="1" t="s">
        <v>68</v>
      </c>
      <c r="BA194" s="1" t="s">
        <v>4305</v>
      </c>
      <c r="BB194" s="1">
        <v>15.0</v>
      </c>
      <c r="BC194" s="1" t="s">
        <v>332</v>
      </c>
      <c r="BD194" s="1" t="s">
        <v>92</v>
      </c>
      <c r="BE194" s="1" t="s">
        <v>333</v>
      </c>
      <c r="BF194" s="1" t="s">
        <v>4306</v>
      </c>
      <c r="BG194" s="1" t="s">
        <v>68</v>
      </c>
      <c r="BH194" s="1" t="s">
        <v>94</v>
      </c>
      <c r="BI194" s="1" t="s">
        <v>68</v>
      </c>
      <c r="BJ194" s="1" t="s">
        <v>68</v>
      </c>
      <c r="BK194" s="1" t="s">
        <v>95</v>
      </c>
      <c r="BL194" s="1" t="s">
        <v>4307</v>
      </c>
      <c r="BM194" s="1" t="str">
        <f>HYPERLINK("https%3A%2F%2Fwww.webofscience.com%2Fwos%2Fwoscc%2Ffull-record%2FWOS:001605799600002","View Full Record in Web of Science")</f>
        <v>View Full Record in Web of Science</v>
      </c>
    </row>
    <row r="195" ht="12.75" customHeight="1">
      <c r="A195" s="1" t="s">
        <v>65</v>
      </c>
      <c r="B195" s="1" t="s">
        <v>4308</v>
      </c>
      <c r="C195" s="1" t="s">
        <v>4309</v>
      </c>
      <c r="D195" s="1" t="s">
        <v>68</v>
      </c>
      <c r="E195" s="1" t="s">
        <v>4310</v>
      </c>
      <c r="F195" s="1" t="s">
        <v>1996</v>
      </c>
      <c r="G195" s="1" t="s">
        <v>68</v>
      </c>
      <c r="H195" s="1" t="s">
        <v>71</v>
      </c>
      <c r="I195" s="1" t="s">
        <v>101</v>
      </c>
      <c r="J195" s="1" t="s">
        <v>68</v>
      </c>
      <c r="K195" s="1" t="s">
        <v>68</v>
      </c>
      <c r="L195" s="1" t="s">
        <v>68</v>
      </c>
      <c r="M195" s="1" t="s">
        <v>68</v>
      </c>
      <c r="N195" s="1" t="s">
        <v>4311</v>
      </c>
      <c r="O195" s="1" t="s">
        <v>4312</v>
      </c>
      <c r="P195" s="1" t="s">
        <v>4313</v>
      </c>
      <c r="Q195" s="1" t="s">
        <v>4314</v>
      </c>
      <c r="R195" s="1" t="s">
        <v>4315</v>
      </c>
      <c r="S195" s="1" t="s">
        <v>4316</v>
      </c>
      <c r="T195" s="1" t="s">
        <v>4317</v>
      </c>
      <c r="U195" s="1" t="s">
        <v>4318</v>
      </c>
      <c r="V195" s="1" t="s">
        <v>4319</v>
      </c>
      <c r="W195" s="1" t="s">
        <v>4320</v>
      </c>
      <c r="X195" s="1" t="s">
        <v>4321</v>
      </c>
      <c r="Y195" s="1" t="s">
        <v>4322</v>
      </c>
      <c r="Z195" s="1">
        <v>176.0</v>
      </c>
      <c r="AA195" s="1">
        <v>6.0</v>
      </c>
      <c r="AB195" s="1">
        <v>6.0</v>
      </c>
      <c r="AC195" s="1">
        <v>12.0</v>
      </c>
      <c r="AD195" s="1">
        <v>18.0</v>
      </c>
      <c r="AE195" s="1" t="s">
        <v>247</v>
      </c>
      <c r="AF195" s="1" t="s">
        <v>248</v>
      </c>
      <c r="AG195" s="1" t="s">
        <v>249</v>
      </c>
      <c r="AH195" s="1" t="s">
        <v>68</v>
      </c>
      <c r="AI195" s="1" t="s">
        <v>2007</v>
      </c>
      <c r="AJ195" s="1" t="s">
        <v>68</v>
      </c>
      <c r="AK195" s="1" t="s">
        <v>2008</v>
      </c>
      <c r="AL195" s="1" t="s">
        <v>2009</v>
      </c>
      <c r="AM195" s="1" t="s">
        <v>4323</v>
      </c>
      <c r="AN195" s="1">
        <v>2025.0</v>
      </c>
      <c r="AO195" s="1">
        <v>17.0</v>
      </c>
      <c r="AP195" s="1">
        <v>11.0</v>
      </c>
      <c r="AQ195" s="1" t="s">
        <v>68</v>
      </c>
      <c r="AR195" s="1" t="s">
        <v>68</v>
      </c>
      <c r="AS195" s="1" t="s">
        <v>68</v>
      </c>
      <c r="AT195" s="1" t="s">
        <v>68</v>
      </c>
      <c r="AU195" s="1" t="s">
        <v>68</v>
      </c>
      <c r="AV195" s="1" t="s">
        <v>68</v>
      </c>
      <c r="AW195" s="1">
        <v>4972.0</v>
      </c>
      <c r="AX195" s="1" t="s">
        <v>4324</v>
      </c>
      <c r="AY195" s="3" t="str">
        <f>HYPERLINK("http://dx.doi.org/10.3390/su17114972","http://dx.doi.org/10.3390/su17114972")</f>
        <v>http://dx.doi.org/10.3390/su17114972</v>
      </c>
      <c r="AZ195" s="1" t="s">
        <v>68</v>
      </c>
      <c r="BA195" s="1" t="s">
        <v>68</v>
      </c>
      <c r="BB195" s="1">
        <v>25.0</v>
      </c>
      <c r="BC195" s="1" t="s">
        <v>1052</v>
      </c>
      <c r="BD195" s="1" t="s">
        <v>279</v>
      </c>
      <c r="BE195" s="1" t="s">
        <v>1053</v>
      </c>
      <c r="BF195" s="1" t="s">
        <v>4325</v>
      </c>
      <c r="BG195" s="1" t="s">
        <v>68</v>
      </c>
      <c r="BH195" s="1" t="s">
        <v>462</v>
      </c>
      <c r="BI195" s="1" t="s">
        <v>68</v>
      </c>
      <c r="BJ195" s="1" t="s">
        <v>68</v>
      </c>
      <c r="BK195" s="1" t="s">
        <v>95</v>
      </c>
      <c r="BL195" s="1" t="s">
        <v>4326</v>
      </c>
      <c r="BM195" s="1" t="str">
        <f>HYPERLINK("https%3A%2F%2Fwww.webofscience.com%2Fwos%2Fwoscc%2Ffull-record%2FWOS:001506201900001","View Full Record in Web of Science")</f>
        <v>View Full Record in Web of Science</v>
      </c>
    </row>
    <row r="196" ht="12.75" customHeight="1">
      <c r="A196" s="1" t="s">
        <v>65</v>
      </c>
      <c r="B196" s="1" t="s">
        <v>4327</v>
      </c>
      <c r="C196" s="1" t="s">
        <v>4328</v>
      </c>
      <c r="D196" s="1" t="s">
        <v>68</v>
      </c>
      <c r="E196" s="1" t="s">
        <v>4329</v>
      </c>
      <c r="F196" s="1" t="s">
        <v>1540</v>
      </c>
      <c r="G196" s="1" t="s">
        <v>68</v>
      </c>
      <c r="H196" s="1" t="s">
        <v>71</v>
      </c>
      <c r="I196" s="1" t="s">
        <v>4330</v>
      </c>
      <c r="J196" s="1" t="s">
        <v>68</v>
      </c>
      <c r="K196" s="1" t="s">
        <v>68</v>
      </c>
      <c r="L196" s="1" t="s">
        <v>68</v>
      </c>
      <c r="M196" s="1" t="s">
        <v>68</v>
      </c>
      <c r="N196" s="1" t="s">
        <v>68</v>
      </c>
      <c r="O196" s="1" t="s">
        <v>68</v>
      </c>
      <c r="P196" s="1" t="s">
        <v>68</v>
      </c>
      <c r="Q196" s="1" t="s">
        <v>4331</v>
      </c>
      <c r="R196" s="1" t="s">
        <v>1545</v>
      </c>
      <c r="S196" s="1" t="s">
        <v>1546</v>
      </c>
      <c r="T196" s="1" t="s">
        <v>1547</v>
      </c>
      <c r="U196" s="1" t="s">
        <v>68</v>
      </c>
      <c r="V196" s="1" t="s">
        <v>68</v>
      </c>
      <c r="W196" s="1" t="s">
        <v>68</v>
      </c>
      <c r="X196" s="1" t="s">
        <v>68</v>
      </c>
      <c r="Y196" s="1" t="s">
        <v>68</v>
      </c>
      <c r="Z196" s="1">
        <v>1.0</v>
      </c>
      <c r="AA196" s="1">
        <v>0.0</v>
      </c>
      <c r="AB196" s="1">
        <v>0.0</v>
      </c>
      <c r="AC196" s="1">
        <v>2.0</v>
      </c>
      <c r="AD196" s="1">
        <v>8.0</v>
      </c>
      <c r="AE196" s="1" t="s">
        <v>662</v>
      </c>
      <c r="AF196" s="1" t="s">
        <v>663</v>
      </c>
      <c r="AG196" s="1" t="s">
        <v>664</v>
      </c>
      <c r="AH196" s="1" t="s">
        <v>68</v>
      </c>
      <c r="AI196" s="1" t="s">
        <v>1550</v>
      </c>
      <c r="AJ196" s="1" t="s">
        <v>68</v>
      </c>
      <c r="AK196" s="1" t="s">
        <v>1551</v>
      </c>
      <c r="AL196" s="1" t="s">
        <v>1552</v>
      </c>
      <c r="AM196" s="1" t="s">
        <v>4332</v>
      </c>
      <c r="AN196" s="1">
        <v>2025.0</v>
      </c>
      <c r="AO196" s="1">
        <v>25.0</v>
      </c>
      <c r="AP196" s="1">
        <v>1.0</v>
      </c>
      <c r="AQ196" s="1" t="s">
        <v>68</v>
      </c>
      <c r="AR196" s="1" t="s">
        <v>68</v>
      </c>
      <c r="AS196" s="1" t="s">
        <v>68</v>
      </c>
      <c r="AT196" s="1" t="s">
        <v>68</v>
      </c>
      <c r="AU196" s="1" t="s">
        <v>68</v>
      </c>
      <c r="AV196" s="1" t="s">
        <v>68</v>
      </c>
      <c r="AW196" s="1">
        <v>4.0</v>
      </c>
      <c r="AX196" s="1" t="s">
        <v>4333</v>
      </c>
      <c r="AY196" s="3" t="str">
        <f>HYPERLINK("http://dx.doi.org/10.1186/s12862-025-02348-0","http://dx.doi.org/10.1186/s12862-025-02348-0")</f>
        <v>http://dx.doi.org/10.1186/s12862-025-02348-0</v>
      </c>
      <c r="AZ196" s="1" t="s">
        <v>68</v>
      </c>
      <c r="BA196" s="1" t="s">
        <v>68</v>
      </c>
      <c r="BB196" s="1">
        <v>1.0</v>
      </c>
      <c r="BC196" s="1" t="s">
        <v>1555</v>
      </c>
      <c r="BD196" s="1" t="s">
        <v>92</v>
      </c>
      <c r="BE196" s="1" t="s">
        <v>1556</v>
      </c>
      <c r="BF196" s="1" t="s">
        <v>4334</v>
      </c>
      <c r="BG196" s="1">
        <v>3.9773447E7</v>
      </c>
      <c r="BH196" s="1" t="s">
        <v>94</v>
      </c>
      <c r="BI196" s="1" t="s">
        <v>68</v>
      </c>
      <c r="BJ196" s="1" t="s">
        <v>68</v>
      </c>
      <c r="BK196" s="1" t="s">
        <v>95</v>
      </c>
      <c r="BL196" s="1" t="s">
        <v>4335</v>
      </c>
      <c r="BM196" s="1" t="str">
        <f>HYPERLINK("https%3A%2F%2Fwww.webofscience.com%2Fwos%2Fwoscc%2Ffull-record%2FWOS:001392982200001","View Full Record in Web of Science")</f>
        <v>View Full Record in Web of Science</v>
      </c>
    </row>
    <row r="197" ht="12.75" customHeight="1">
      <c r="A197" s="1" t="s">
        <v>65</v>
      </c>
      <c r="B197" s="1" t="s">
        <v>4336</v>
      </c>
      <c r="C197" s="1" t="s">
        <v>4337</v>
      </c>
      <c r="D197" s="1" t="s">
        <v>68</v>
      </c>
      <c r="E197" s="1" t="s">
        <v>4338</v>
      </c>
      <c r="F197" s="1" t="s">
        <v>1586</v>
      </c>
      <c r="G197" s="1" t="s">
        <v>68</v>
      </c>
      <c r="H197" s="1" t="s">
        <v>71</v>
      </c>
      <c r="I197" s="1" t="s">
        <v>72</v>
      </c>
      <c r="J197" s="1" t="s">
        <v>68</v>
      </c>
      <c r="K197" s="1" t="s">
        <v>68</v>
      </c>
      <c r="L197" s="1" t="s">
        <v>68</v>
      </c>
      <c r="M197" s="1" t="s">
        <v>68</v>
      </c>
      <c r="N197" s="1" t="s">
        <v>4339</v>
      </c>
      <c r="O197" s="1" t="s">
        <v>4340</v>
      </c>
      <c r="P197" s="1" t="s">
        <v>4341</v>
      </c>
      <c r="Q197" s="1" t="s">
        <v>4342</v>
      </c>
      <c r="R197" s="1" t="s">
        <v>4343</v>
      </c>
      <c r="S197" s="1" t="s">
        <v>4344</v>
      </c>
      <c r="T197" s="1" t="s">
        <v>4345</v>
      </c>
      <c r="U197" s="1" t="s">
        <v>4346</v>
      </c>
      <c r="V197" s="1" t="s">
        <v>4347</v>
      </c>
      <c r="W197" s="1" t="s">
        <v>4348</v>
      </c>
      <c r="X197" s="1" t="s">
        <v>4349</v>
      </c>
      <c r="Y197" s="1" t="s">
        <v>4350</v>
      </c>
      <c r="Z197" s="1">
        <v>45.0</v>
      </c>
      <c r="AA197" s="1">
        <v>62.0</v>
      </c>
      <c r="AB197" s="1">
        <v>68.0</v>
      </c>
      <c r="AC197" s="1">
        <v>1.0</v>
      </c>
      <c r="AD197" s="1">
        <v>156.0</v>
      </c>
      <c r="AE197" s="1" t="s">
        <v>1596</v>
      </c>
      <c r="AF197" s="1" t="s">
        <v>1182</v>
      </c>
      <c r="AG197" s="1" t="s">
        <v>1597</v>
      </c>
      <c r="AH197" s="1" t="s">
        <v>1598</v>
      </c>
      <c r="AI197" s="1" t="s">
        <v>1599</v>
      </c>
      <c r="AJ197" s="1" t="s">
        <v>68</v>
      </c>
      <c r="AK197" s="1" t="s">
        <v>1600</v>
      </c>
      <c r="AL197" s="1" t="s">
        <v>1601</v>
      </c>
      <c r="AM197" s="1" t="s">
        <v>4027</v>
      </c>
      <c r="AN197" s="1">
        <v>2019.0</v>
      </c>
      <c r="AO197" s="1">
        <v>651.0</v>
      </c>
      <c r="AP197" s="1" t="s">
        <v>68</v>
      </c>
      <c r="AQ197" s="1">
        <v>1.0</v>
      </c>
      <c r="AR197" s="1" t="s">
        <v>68</v>
      </c>
      <c r="AS197" s="1" t="s">
        <v>68</v>
      </c>
      <c r="AT197" s="1" t="s">
        <v>68</v>
      </c>
      <c r="AU197" s="1">
        <v>1166.0</v>
      </c>
      <c r="AV197" s="1">
        <v>1179.0</v>
      </c>
      <c r="AW197" s="1" t="s">
        <v>68</v>
      </c>
      <c r="AX197" s="1" t="s">
        <v>4351</v>
      </c>
      <c r="AY197" s="3" t="str">
        <f>HYPERLINK("http://dx.doi.org/10.1016/j.scitotenv.2018.09.257","http://dx.doi.org/10.1016/j.scitotenv.2018.09.257")</f>
        <v>http://dx.doi.org/10.1016/j.scitotenv.2018.09.257</v>
      </c>
      <c r="AZ197" s="1" t="s">
        <v>68</v>
      </c>
      <c r="BA197" s="1" t="s">
        <v>68</v>
      </c>
      <c r="BB197" s="1">
        <v>14.0</v>
      </c>
      <c r="BC197" s="1" t="s">
        <v>484</v>
      </c>
      <c r="BD197" s="1" t="s">
        <v>92</v>
      </c>
      <c r="BE197" s="1" t="s">
        <v>333</v>
      </c>
      <c r="BF197" s="1" t="s">
        <v>4352</v>
      </c>
      <c r="BG197" s="1">
        <v>3.0360248E7</v>
      </c>
      <c r="BH197" s="1" t="s">
        <v>4353</v>
      </c>
      <c r="BI197" s="1" t="s">
        <v>68</v>
      </c>
      <c r="BJ197" s="1" t="s">
        <v>68</v>
      </c>
      <c r="BK197" s="1" t="s">
        <v>95</v>
      </c>
      <c r="BL197" s="1" t="s">
        <v>4354</v>
      </c>
      <c r="BM197" s="1" t="str">
        <f>HYPERLINK("https%3A%2F%2Fwww.webofscience.com%2Fwos%2Fwoscc%2Ffull-record%2FWOS:000447915400114","View Full Record in Web of Science")</f>
        <v>View Full Record in Web of Science</v>
      </c>
    </row>
    <row r="198" ht="12.75" customHeight="1">
      <c r="A198" s="1" t="s">
        <v>65</v>
      </c>
      <c r="B198" s="1" t="s">
        <v>4355</v>
      </c>
      <c r="C198" s="1" t="s">
        <v>4356</v>
      </c>
      <c r="D198" s="1" t="s">
        <v>4357</v>
      </c>
      <c r="E198" s="1" t="s">
        <v>4358</v>
      </c>
      <c r="F198" s="1" t="s">
        <v>4359</v>
      </c>
      <c r="G198" s="1" t="s">
        <v>68</v>
      </c>
      <c r="H198" s="1" t="s">
        <v>71</v>
      </c>
      <c r="I198" s="1" t="s">
        <v>72</v>
      </c>
      <c r="J198" s="1" t="s">
        <v>68</v>
      </c>
      <c r="K198" s="1" t="s">
        <v>68</v>
      </c>
      <c r="L198" s="1" t="s">
        <v>68</v>
      </c>
      <c r="M198" s="1" t="s">
        <v>68</v>
      </c>
      <c r="N198" s="1" t="s">
        <v>4360</v>
      </c>
      <c r="O198" s="1" t="s">
        <v>4361</v>
      </c>
      <c r="P198" s="1" t="s">
        <v>4362</v>
      </c>
      <c r="Q198" s="1" t="s">
        <v>4363</v>
      </c>
      <c r="R198" s="1" t="s">
        <v>4364</v>
      </c>
      <c r="S198" s="1" t="s">
        <v>4365</v>
      </c>
      <c r="T198" s="1" t="s">
        <v>4366</v>
      </c>
      <c r="U198" s="1" t="s">
        <v>68</v>
      </c>
      <c r="V198" s="1" t="s">
        <v>4367</v>
      </c>
      <c r="W198" s="1" t="s">
        <v>4368</v>
      </c>
      <c r="X198" s="1" t="s">
        <v>4369</v>
      </c>
      <c r="Y198" s="1" t="s">
        <v>4370</v>
      </c>
      <c r="Z198" s="1">
        <v>18.0</v>
      </c>
      <c r="AA198" s="1">
        <v>0.0</v>
      </c>
      <c r="AB198" s="1">
        <v>0.0</v>
      </c>
      <c r="AC198" s="1">
        <v>0.0</v>
      </c>
      <c r="AD198" s="1">
        <v>0.0</v>
      </c>
      <c r="AE198" s="1" t="s">
        <v>4371</v>
      </c>
      <c r="AF198" s="1" t="s">
        <v>4372</v>
      </c>
      <c r="AG198" s="1" t="s">
        <v>4373</v>
      </c>
      <c r="AH198" s="1" t="s">
        <v>4374</v>
      </c>
      <c r="AI198" s="1" t="s">
        <v>4375</v>
      </c>
      <c r="AJ198" s="1" t="s">
        <v>68</v>
      </c>
      <c r="AK198" s="1" t="s">
        <v>4376</v>
      </c>
      <c r="AL198" s="1" t="s">
        <v>4377</v>
      </c>
      <c r="AM198" s="1" t="s">
        <v>4378</v>
      </c>
      <c r="AN198" s="1">
        <v>2026.0</v>
      </c>
      <c r="AO198" s="1">
        <v>46.0</v>
      </c>
      <c r="AP198" s="1">
        <v>1.0</v>
      </c>
      <c r="AQ198" s="1" t="s">
        <v>68</v>
      </c>
      <c r="AR198" s="1" t="s">
        <v>68</v>
      </c>
      <c r="AS198" s="1" t="s">
        <v>68</v>
      </c>
      <c r="AT198" s="1" t="s">
        <v>68</v>
      </c>
      <c r="AU198" s="1" t="s">
        <v>68</v>
      </c>
      <c r="AV198" s="1" t="s">
        <v>68</v>
      </c>
      <c r="AW198" s="1">
        <v>13001.0</v>
      </c>
      <c r="AX198" s="1" t="s">
        <v>4379</v>
      </c>
      <c r="AY198" s="3" t="str">
        <f>HYPERLINK("http://dx.doi.org/10.1088/1361-6498/ae4522","http://dx.doi.org/10.1088/1361-6498/ae4522")</f>
        <v>http://dx.doi.org/10.1088/1361-6498/ae4522</v>
      </c>
      <c r="AZ198" s="1" t="s">
        <v>68</v>
      </c>
      <c r="BA198" s="1" t="s">
        <v>68</v>
      </c>
      <c r="BB198" s="1">
        <v>7.0</v>
      </c>
      <c r="BC198" s="1" t="s">
        <v>4380</v>
      </c>
      <c r="BD198" s="1" t="s">
        <v>92</v>
      </c>
      <c r="BE198" s="1" t="s">
        <v>4381</v>
      </c>
      <c r="BF198" s="1" t="s">
        <v>4382</v>
      </c>
      <c r="BG198" s="1">
        <v>4.1678846E7</v>
      </c>
      <c r="BH198" s="1" t="s">
        <v>68</v>
      </c>
      <c r="BI198" s="1" t="s">
        <v>68</v>
      </c>
      <c r="BJ198" s="1" t="s">
        <v>68</v>
      </c>
      <c r="BK198" s="1" t="s">
        <v>95</v>
      </c>
      <c r="BL198" s="1" t="s">
        <v>4383</v>
      </c>
      <c r="BM198" s="1" t="str">
        <f>HYPERLINK("https%3A%2F%2Fwww.webofscience.com%2Fwos%2Fwoscc%2Ffull-record%2FWOS:001698031400001","View Full Record in Web of Science")</f>
        <v>View Full Record in Web of Science</v>
      </c>
    </row>
    <row r="199" ht="12.75" customHeight="1">
      <c r="A199" s="1" t="s">
        <v>65</v>
      </c>
      <c r="B199" s="1" t="s">
        <v>4384</v>
      </c>
      <c r="C199" s="1" t="s">
        <v>4385</v>
      </c>
      <c r="D199" s="1" t="s">
        <v>68</v>
      </c>
      <c r="E199" s="1" t="s">
        <v>4386</v>
      </c>
      <c r="F199" s="1" t="s">
        <v>1493</v>
      </c>
      <c r="G199" s="1" t="s">
        <v>68</v>
      </c>
      <c r="H199" s="1" t="s">
        <v>71</v>
      </c>
      <c r="I199" s="1" t="s">
        <v>72</v>
      </c>
      <c r="J199" s="1" t="s">
        <v>68</v>
      </c>
      <c r="K199" s="1" t="s">
        <v>68</v>
      </c>
      <c r="L199" s="1" t="s">
        <v>68</v>
      </c>
      <c r="M199" s="1" t="s">
        <v>68</v>
      </c>
      <c r="N199" s="1" t="s">
        <v>4387</v>
      </c>
      <c r="O199" s="1" t="s">
        <v>4388</v>
      </c>
      <c r="P199" s="1" t="s">
        <v>4389</v>
      </c>
      <c r="Q199" s="1" t="s">
        <v>4390</v>
      </c>
      <c r="R199" s="1" t="s">
        <v>68</v>
      </c>
      <c r="S199" s="1" t="s">
        <v>4391</v>
      </c>
      <c r="T199" s="1" t="s">
        <v>4392</v>
      </c>
      <c r="U199" s="1" t="s">
        <v>4393</v>
      </c>
      <c r="V199" s="1" t="s">
        <v>4394</v>
      </c>
      <c r="W199" s="1" t="s">
        <v>4395</v>
      </c>
      <c r="X199" s="1" t="s">
        <v>4395</v>
      </c>
      <c r="Y199" s="1" t="s">
        <v>4396</v>
      </c>
      <c r="Z199" s="1">
        <v>34.0</v>
      </c>
      <c r="AA199" s="1">
        <v>6.0</v>
      </c>
      <c r="AB199" s="1">
        <v>6.0</v>
      </c>
      <c r="AC199" s="1">
        <v>0.0</v>
      </c>
      <c r="AD199" s="1">
        <v>9.0</v>
      </c>
      <c r="AE199" s="1" t="s">
        <v>114</v>
      </c>
      <c r="AF199" s="1" t="s">
        <v>1505</v>
      </c>
      <c r="AG199" s="1" t="s">
        <v>1506</v>
      </c>
      <c r="AH199" s="1" t="s">
        <v>1507</v>
      </c>
      <c r="AI199" s="1" t="s">
        <v>1508</v>
      </c>
      <c r="AJ199" s="1" t="s">
        <v>68</v>
      </c>
      <c r="AK199" s="1" t="s">
        <v>1509</v>
      </c>
      <c r="AL199" s="1" t="s">
        <v>1510</v>
      </c>
      <c r="AM199" s="1" t="s">
        <v>404</v>
      </c>
      <c r="AN199" s="1">
        <v>2022.0</v>
      </c>
      <c r="AO199" s="1">
        <v>31.0</v>
      </c>
      <c r="AP199" s="1">
        <v>11.0</v>
      </c>
      <c r="AQ199" s="1" t="s">
        <v>68</v>
      </c>
      <c r="AR199" s="1" t="s">
        <v>68</v>
      </c>
      <c r="AS199" s="1" t="s">
        <v>68</v>
      </c>
      <c r="AT199" s="1" t="s">
        <v>68</v>
      </c>
      <c r="AU199" s="1">
        <v>2781.0</v>
      </c>
      <c r="AV199" s="1">
        <v>2796.0</v>
      </c>
      <c r="AW199" s="1" t="s">
        <v>68</v>
      </c>
      <c r="AX199" s="1" t="s">
        <v>4397</v>
      </c>
      <c r="AY199" s="3" t="str">
        <f>HYPERLINK("http://dx.doi.org/10.1007/s10531-022-02457-y","http://dx.doi.org/10.1007/s10531-022-02457-y")</f>
        <v>http://dx.doi.org/10.1007/s10531-022-02457-y</v>
      </c>
      <c r="AZ199" s="1" t="s">
        <v>68</v>
      </c>
      <c r="BA199" s="1" t="s">
        <v>4398</v>
      </c>
      <c r="BB199" s="1">
        <v>16.0</v>
      </c>
      <c r="BC199" s="1" t="s">
        <v>122</v>
      </c>
      <c r="BD199" s="1" t="s">
        <v>92</v>
      </c>
      <c r="BE199" s="1" t="s">
        <v>123</v>
      </c>
      <c r="BF199" s="1" t="s">
        <v>4399</v>
      </c>
      <c r="BG199" s="1" t="s">
        <v>68</v>
      </c>
      <c r="BH199" s="1" t="s">
        <v>867</v>
      </c>
      <c r="BI199" s="1" t="s">
        <v>68</v>
      </c>
      <c r="BJ199" s="1" t="s">
        <v>68</v>
      </c>
      <c r="BK199" s="1" t="s">
        <v>95</v>
      </c>
      <c r="BL199" s="1" t="s">
        <v>4400</v>
      </c>
      <c r="BM199" s="1" t="str">
        <f>HYPERLINK("https%3A%2F%2Fwww.webofscience.com%2Fwos%2Fwoscc%2Ffull-record%2FWOS:000826844400001","View Full Record in Web of Science")</f>
        <v>View Full Record in Web of Science</v>
      </c>
    </row>
    <row r="200" ht="12.75" customHeight="1">
      <c r="A200" s="1" t="s">
        <v>65</v>
      </c>
      <c r="B200" s="1" t="s">
        <v>4401</v>
      </c>
      <c r="C200" s="1" t="s">
        <v>4402</v>
      </c>
      <c r="D200" s="1" t="s">
        <v>68</v>
      </c>
      <c r="E200" s="1" t="s">
        <v>4403</v>
      </c>
      <c r="F200" s="1" t="s">
        <v>1586</v>
      </c>
      <c r="G200" s="1" t="s">
        <v>68</v>
      </c>
      <c r="H200" s="1" t="s">
        <v>71</v>
      </c>
      <c r="I200" s="1" t="s">
        <v>72</v>
      </c>
      <c r="J200" s="1" t="s">
        <v>68</v>
      </c>
      <c r="K200" s="1" t="s">
        <v>68</v>
      </c>
      <c r="L200" s="1" t="s">
        <v>68</v>
      </c>
      <c r="M200" s="1" t="s">
        <v>68</v>
      </c>
      <c r="N200" s="1" t="s">
        <v>4404</v>
      </c>
      <c r="O200" s="1" t="s">
        <v>4405</v>
      </c>
      <c r="P200" s="1" t="s">
        <v>4406</v>
      </c>
      <c r="Q200" s="1" t="s">
        <v>4407</v>
      </c>
      <c r="R200" s="1" t="s">
        <v>4408</v>
      </c>
      <c r="S200" s="1" t="s">
        <v>4409</v>
      </c>
      <c r="T200" s="1" t="s">
        <v>4410</v>
      </c>
      <c r="U200" s="1" t="s">
        <v>4411</v>
      </c>
      <c r="V200" s="1" t="s">
        <v>4412</v>
      </c>
      <c r="W200" s="1" t="s">
        <v>4413</v>
      </c>
      <c r="X200" s="1" t="s">
        <v>4414</v>
      </c>
      <c r="Y200" s="1" t="s">
        <v>4415</v>
      </c>
      <c r="Z200" s="1">
        <v>81.0</v>
      </c>
      <c r="AA200" s="1">
        <v>25.0</v>
      </c>
      <c r="AB200" s="1">
        <v>29.0</v>
      </c>
      <c r="AC200" s="1">
        <v>3.0</v>
      </c>
      <c r="AD200" s="1">
        <v>87.0</v>
      </c>
      <c r="AE200" s="1" t="s">
        <v>1596</v>
      </c>
      <c r="AF200" s="1" t="s">
        <v>1182</v>
      </c>
      <c r="AG200" s="1" t="s">
        <v>1597</v>
      </c>
      <c r="AH200" s="1" t="s">
        <v>1598</v>
      </c>
      <c r="AI200" s="1" t="s">
        <v>1599</v>
      </c>
      <c r="AJ200" s="1" t="s">
        <v>68</v>
      </c>
      <c r="AK200" s="1" t="s">
        <v>1600</v>
      </c>
      <c r="AL200" s="1" t="s">
        <v>1601</v>
      </c>
      <c r="AM200" s="1" t="s">
        <v>3522</v>
      </c>
      <c r="AN200" s="1">
        <v>2023.0</v>
      </c>
      <c r="AO200" s="1">
        <v>874.0</v>
      </c>
      <c r="AP200" s="1" t="s">
        <v>68</v>
      </c>
      <c r="AQ200" s="1" t="s">
        <v>68</v>
      </c>
      <c r="AR200" s="1" t="s">
        <v>68</v>
      </c>
      <c r="AS200" s="1" t="s">
        <v>68</v>
      </c>
      <c r="AT200" s="1" t="s">
        <v>68</v>
      </c>
      <c r="AU200" s="1" t="s">
        <v>68</v>
      </c>
      <c r="AV200" s="1" t="s">
        <v>68</v>
      </c>
      <c r="AW200" s="1">
        <v>162527.0</v>
      </c>
      <c r="AX200" s="1" t="s">
        <v>4416</v>
      </c>
      <c r="AY200" s="3" t="str">
        <f>HYPERLINK("http://dx.doi.org/10.1016/j.scitotenv.2023.162527","http://dx.doi.org/10.1016/j.scitotenv.2023.162527")</f>
        <v>http://dx.doi.org/10.1016/j.scitotenv.2023.162527</v>
      </c>
      <c r="AZ200" s="1" t="s">
        <v>68</v>
      </c>
      <c r="BA200" s="1" t="s">
        <v>459</v>
      </c>
      <c r="BB200" s="1">
        <v>14.0</v>
      </c>
      <c r="BC200" s="1" t="s">
        <v>484</v>
      </c>
      <c r="BD200" s="1" t="s">
        <v>92</v>
      </c>
      <c r="BE200" s="1" t="s">
        <v>333</v>
      </c>
      <c r="BF200" s="1" t="s">
        <v>4417</v>
      </c>
      <c r="BG200" s="1">
        <v>3.6870506E7</v>
      </c>
      <c r="BH200" s="1" t="s">
        <v>644</v>
      </c>
      <c r="BI200" s="1" t="s">
        <v>68</v>
      </c>
      <c r="BJ200" s="1" t="s">
        <v>68</v>
      </c>
      <c r="BK200" s="1" t="s">
        <v>95</v>
      </c>
      <c r="BL200" s="1" t="s">
        <v>4418</v>
      </c>
      <c r="BM200" s="1" t="str">
        <f>HYPERLINK("https%3A%2F%2Fwww.webofscience.com%2Fwos%2Fwoscc%2Ffull-record%2FWOS:000972598100001","View Full Record in Web of Science")</f>
        <v>View Full Record in Web of Science</v>
      </c>
    </row>
    <row r="201" ht="12.75" customHeight="1">
      <c r="A201" s="1" t="s">
        <v>65</v>
      </c>
      <c r="B201" s="1" t="s">
        <v>4419</v>
      </c>
      <c r="C201" s="1" t="s">
        <v>4420</v>
      </c>
      <c r="D201" s="1" t="s">
        <v>68</v>
      </c>
      <c r="E201" s="1" t="s">
        <v>4421</v>
      </c>
      <c r="F201" s="1" t="s">
        <v>4422</v>
      </c>
      <c r="G201" s="1" t="s">
        <v>68</v>
      </c>
      <c r="H201" s="1" t="s">
        <v>71</v>
      </c>
      <c r="I201" s="1" t="s">
        <v>72</v>
      </c>
      <c r="J201" s="1" t="s">
        <v>68</v>
      </c>
      <c r="K201" s="1" t="s">
        <v>68</v>
      </c>
      <c r="L201" s="1" t="s">
        <v>68</v>
      </c>
      <c r="M201" s="1" t="s">
        <v>68</v>
      </c>
      <c r="N201" s="1" t="s">
        <v>4423</v>
      </c>
      <c r="O201" s="1" t="s">
        <v>4424</v>
      </c>
      <c r="P201" s="1" t="s">
        <v>4425</v>
      </c>
      <c r="Q201" s="1" t="s">
        <v>4426</v>
      </c>
      <c r="R201" s="1" t="s">
        <v>4427</v>
      </c>
      <c r="S201" s="1" t="s">
        <v>68</v>
      </c>
      <c r="T201" s="1" t="s">
        <v>4428</v>
      </c>
      <c r="U201" s="1" t="s">
        <v>68</v>
      </c>
      <c r="V201" s="1" t="s">
        <v>4429</v>
      </c>
      <c r="W201" s="1" t="s">
        <v>4430</v>
      </c>
      <c r="X201" s="1" t="s">
        <v>4430</v>
      </c>
      <c r="Y201" s="1" t="s">
        <v>4431</v>
      </c>
      <c r="Z201" s="1">
        <v>21.0</v>
      </c>
      <c r="AA201" s="1">
        <v>25.0</v>
      </c>
      <c r="AB201" s="1">
        <v>31.0</v>
      </c>
      <c r="AC201" s="1">
        <v>1.0</v>
      </c>
      <c r="AD201" s="1">
        <v>33.0</v>
      </c>
      <c r="AE201" s="1" t="s">
        <v>503</v>
      </c>
      <c r="AF201" s="1" t="s">
        <v>504</v>
      </c>
      <c r="AG201" s="1" t="s">
        <v>505</v>
      </c>
      <c r="AH201" s="1" t="s">
        <v>4432</v>
      </c>
      <c r="AI201" s="1" t="s">
        <v>4433</v>
      </c>
      <c r="AJ201" s="1" t="s">
        <v>68</v>
      </c>
      <c r="AK201" s="1" t="s">
        <v>4434</v>
      </c>
      <c r="AL201" s="1" t="s">
        <v>4435</v>
      </c>
      <c r="AM201" s="1" t="s">
        <v>790</v>
      </c>
      <c r="AN201" s="1">
        <v>2017.0</v>
      </c>
      <c r="AO201" s="1">
        <v>31.0</v>
      </c>
      <c r="AP201" s="1">
        <v>3.0</v>
      </c>
      <c r="AQ201" s="1" t="s">
        <v>68</v>
      </c>
      <c r="AR201" s="1" t="s">
        <v>68</v>
      </c>
      <c r="AS201" s="1" t="s">
        <v>68</v>
      </c>
      <c r="AT201" s="1" t="s">
        <v>68</v>
      </c>
      <c r="AU201" s="1">
        <v>418.0</v>
      </c>
      <c r="AV201" s="1">
        <v>424.0</v>
      </c>
      <c r="AW201" s="1" t="s">
        <v>68</v>
      </c>
      <c r="AX201" s="1" t="s">
        <v>4436</v>
      </c>
      <c r="AY201" s="3" t="str">
        <f>HYPERLINK("http://dx.doi.org/10.1111/wej.12259","http://dx.doi.org/10.1111/wej.12259")</f>
        <v>http://dx.doi.org/10.1111/wej.12259</v>
      </c>
      <c r="AZ201" s="1" t="s">
        <v>68</v>
      </c>
      <c r="BA201" s="1" t="s">
        <v>68</v>
      </c>
      <c r="BB201" s="1">
        <v>7.0</v>
      </c>
      <c r="BC201" s="1" t="s">
        <v>4437</v>
      </c>
      <c r="BD201" s="1" t="s">
        <v>92</v>
      </c>
      <c r="BE201" s="1" t="s">
        <v>2694</v>
      </c>
      <c r="BF201" s="1" t="s">
        <v>4438</v>
      </c>
      <c r="BG201" s="1" t="s">
        <v>68</v>
      </c>
      <c r="BH201" s="1" t="s">
        <v>591</v>
      </c>
      <c r="BI201" s="1" t="s">
        <v>68</v>
      </c>
      <c r="BJ201" s="1" t="s">
        <v>68</v>
      </c>
      <c r="BK201" s="1" t="s">
        <v>95</v>
      </c>
      <c r="BL201" s="1" t="s">
        <v>4439</v>
      </c>
      <c r="BM201" s="1" t="str">
        <f>HYPERLINK("https%3A%2F%2Fwww.webofscience.com%2Fwos%2Fwoscc%2Ffull-record%2FWOS:000408947500015","View Full Record in Web of Science")</f>
        <v>View Full Record in Web of Science</v>
      </c>
    </row>
    <row r="202" ht="12.75" customHeight="1">
      <c r="A202" s="1" t="s">
        <v>65</v>
      </c>
      <c r="B202" s="1" t="s">
        <v>4440</v>
      </c>
      <c r="C202" s="1" t="s">
        <v>4441</v>
      </c>
      <c r="D202" s="1" t="s">
        <v>68</v>
      </c>
      <c r="E202" s="1" t="s">
        <v>4442</v>
      </c>
      <c r="F202" s="1" t="s">
        <v>4443</v>
      </c>
      <c r="G202" s="1" t="s">
        <v>68</v>
      </c>
      <c r="H202" s="1" t="s">
        <v>71</v>
      </c>
      <c r="I202" s="1" t="s">
        <v>72</v>
      </c>
      <c r="J202" s="1" t="s">
        <v>68</v>
      </c>
      <c r="K202" s="1" t="s">
        <v>68</v>
      </c>
      <c r="L202" s="1" t="s">
        <v>68</v>
      </c>
      <c r="M202" s="1" t="s">
        <v>68</v>
      </c>
      <c r="N202" s="1" t="s">
        <v>4444</v>
      </c>
      <c r="O202" s="1" t="s">
        <v>4445</v>
      </c>
      <c r="P202" s="1" t="s">
        <v>4446</v>
      </c>
      <c r="Q202" s="1" t="s">
        <v>4447</v>
      </c>
      <c r="R202" s="1" t="s">
        <v>4448</v>
      </c>
      <c r="S202" s="1" t="s">
        <v>4449</v>
      </c>
      <c r="T202" s="1" t="s">
        <v>4450</v>
      </c>
      <c r="U202" s="1" t="s">
        <v>4451</v>
      </c>
      <c r="V202" s="1" t="s">
        <v>68</v>
      </c>
      <c r="W202" s="1" t="s">
        <v>4452</v>
      </c>
      <c r="X202" s="1" t="s">
        <v>4452</v>
      </c>
      <c r="Y202" s="1" t="s">
        <v>4453</v>
      </c>
      <c r="Z202" s="1">
        <v>129.0</v>
      </c>
      <c r="AA202" s="1">
        <v>0.0</v>
      </c>
      <c r="AB202" s="1">
        <v>0.0</v>
      </c>
      <c r="AC202" s="1">
        <v>3.0</v>
      </c>
      <c r="AD202" s="1">
        <v>3.0</v>
      </c>
      <c r="AE202" s="1" t="s">
        <v>4454</v>
      </c>
      <c r="AF202" s="1" t="s">
        <v>663</v>
      </c>
      <c r="AG202" s="1" t="s">
        <v>4455</v>
      </c>
      <c r="AH202" s="1" t="s">
        <v>4456</v>
      </c>
      <c r="AI202" s="1" t="s">
        <v>4457</v>
      </c>
      <c r="AJ202" s="1" t="s">
        <v>68</v>
      </c>
      <c r="AK202" s="1" t="s">
        <v>4458</v>
      </c>
      <c r="AL202" s="1" t="s">
        <v>4459</v>
      </c>
      <c r="AM202" s="1" t="s">
        <v>224</v>
      </c>
      <c r="AN202" s="1">
        <v>2026.0</v>
      </c>
      <c r="AO202" s="1">
        <v>50.0</v>
      </c>
      <c r="AP202" s="1">
        <v>1.0</v>
      </c>
      <c r="AQ202" s="1" t="s">
        <v>68</v>
      </c>
      <c r="AR202" s="1" t="s">
        <v>68</v>
      </c>
      <c r="AS202" s="1" t="s">
        <v>68</v>
      </c>
      <c r="AT202" s="1" t="s">
        <v>68</v>
      </c>
      <c r="AU202" s="1">
        <v>79.0</v>
      </c>
      <c r="AV202" s="1">
        <v>99.0</v>
      </c>
      <c r="AW202" s="1" t="s">
        <v>68</v>
      </c>
      <c r="AX202" s="1" t="s">
        <v>4460</v>
      </c>
      <c r="AY202" s="3" t="str">
        <f>HYPERLINK("http://dx.doi.org/10.1177/03091333251391047","http://dx.doi.org/10.1177/03091333251391047")</f>
        <v>http://dx.doi.org/10.1177/03091333251391047</v>
      </c>
      <c r="AZ202" s="1" t="s">
        <v>68</v>
      </c>
      <c r="BA202" s="1" t="s">
        <v>4461</v>
      </c>
      <c r="BB202" s="1">
        <v>21.0</v>
      </c>
      <c r="BC202" s="1" t="s">
        <v>4462</v>
      </c>
      <c r="BD202" s="1" t="s">
        <v>92</v>
      </c>
      <c r="BE202" s="1" t="s">
        <v>4463</v>
      </c>
      <c r="BF202" s="1" t="s">
        <v>4464</v>
      </c>
      <c r="BG202" s="1" t="s">
        <v>68</v>
      </c>
      <c r="BH202" s="1" t="s">
        <v>867</v>
      </c>
      <c r="BI202" s="1" t="s">
        <v>68</v>
      </c>
      <c r="BJ202" s="1" t="s">
        <v>68</v>
      </c>
      <c r="BK202" s="1" t="s">
        <v>95</v>
      </c>
      <c r="BL202" s="1" t="s">
        <v>4465</v>
      </c>
      <c r="BM202" s="1" t="str">
        <f>HYPERLINK("https%3A%2F%2Fwww.webofscience.com%2Fwos%2Fwoscc%2Ffull-record%2FWOS:001610392200001","View Full Record in Web of Science")</f>
        <v>View Full Record in Web of Science</v>
      </c>
    </row>
    <row r="203" ht="12.75" customHeight="1">
      <c r="A203" s="1" t="s">
        <v>65</v>
      </c>
      <c r="B203" s="1" t="s">
        <v>4466</v>
      </c>
      <c r="C203" s="1" t="s">
        <v>4467</v>
      </c>
      <c r="D203" s="1" t="s">
        <v>68</v>
      </c>
      <c r="E203" s="1" t="s">
        <v>4468</v>
      </c>
      <c r="F203" s="1" t="s">
        <v>4469</v>
      </c>
      <c r="G203" s="1" t="s">
        <v>68</v>
      </c>
      <c r="H203" s="1" t="s">
        <v>71</v>
      </c>
      <c r="I203" s="1" t="s">
        <v>72</v>
      </c>
      <c r="J203" s="1" t="s">
        <v>68</v>
      </c>
      <c r="K203" s="1" t="s">
        <v>68</v>
      </c>
      <c r="L203" s="1" t="s">
        <v>68</v>
      </c>
      <c r="M203" s="1" t="s">
        <v>68</v>
      </c>
      <c r="N203" s="1" t="s">
        <v>4470</v>
      </c>
      <c r="O203" s="1" t="s">
        <v>4471</v>
      </c>
      <c r="P203" s="1" t="s">
        <v>4472</v>
      </c>
      <c r="Q203" s="1" t="s">
        <v>4473</v>
      </c>
      <c r="R203" s="1" t="s">
        <v>4474</v>
      </c>
      <c r="S203" s="1" t="s">
        <v>4475</v>
      </c>
      <c r="T203" s="1" t="s">
        <v>4476</v>
      </c>
      <c r="U203" s="1" t="s">
        <v>4477</v>
      </c>
      <c r="V203" s="1" t="s">
        <v>4478</v>
      </c>
      <c r="W203" s="1" t="s">
        <v>4479</v>
      </c>
      <c r="X203" s="1" t="s">
        <v>4479</v>
      </c>
      <c r="Y203" s="1" t="s">
        <v>4480</v>
      </c>
      <c r="Z203" s="1">
        <v>47.0</v>
      </c>
      <c r="AA203" s="1">
        <v>1.0</v>
      </c>
      <c r="AB203" s="1">
        <v>1.0</v>
      </c>
      <c r="AC203" s="1">
        <v>4.0</v>
      </c>
      <c r="AD203" s="1">
        <v>11.0</v>
      </c>
      <c r="AE203" s="1" t="s">
        <v>114</v>
      </c>
      <c r="AF203" s="1" t="s">
        <v>1505</v>
      </c>
      <c r="AG203" s="1" t="s">
        <v>1506</v>
      </c>
      <c r="AH203" s="1" t="s">
        <v>4481</v>
      </c>
      <c r="AI203" s="1" t="s">
        <v>4482</v>
      </c>
      <c r="AJ203" s="1" t="s">
        <v>68</v>
      </c>
      <c r="AK203" s="1" t="s">
        <v>4483</v>
      </c>
      <c r="AL203" s="1" t="s">
        <v>4484</v>
      </c>
      <c r="AM203" s="1" t="s">
        <v>4485</v>
      </c>
      <c r="AN203" s="1">
        <v>2025.0</v>
      </c>
      <c r="AO203" s="1">
        <v>28.0</v>
      </c>
      <c r="AP203" s="1">
        <v>4.0</v>
      </c>
      <c r="AQ203" s="1" t="s">
        <v>68</v>
      </c>
      <c r="AR203" s="1" t="s">
        <v>68</v>
      </c>
      <c r="AS203" s="1" t="s">
        <v>68</v>
      </c>
      <c r="AT203" s="1" t="s">
        <v>68</v>
      </c>
      <c r="AU203" s="1" t="s">
        <v>68</v>
      </c>
      <c r="AV203" s="1" t="s">
        <v>68</v>
      </c>
      <c r="AW203" s="1">
        <v>151.0</v>
      </c>
      <c r="AX203" s="1" t="s">
        <v>4486</v>
      </c>
      <c r="AY203" s="3" t="str">
        <f>HYPERLINK("http://dx.doi.org/10.1007/s11252-025-01749-9","http://dx.doi.org/10.1007/s11252-025-01749-9")</f>
        <v>http://dx.doi.org/10.1007/s11252-025-01749-9</v>
      </c>
      <c r="AZ203" s="1" t="s">
        <v>68</v>
      </c>
      <c r="BA203" s="1" t="s">
        <v>68</v>
      </c>
      <c r="BB203" s="1">
        <v>11.0</v>
      </c>
      <c r="BC203" s="1" t="s">
        <v>4487</v>
      </c>
      <c r="BD203" s="1" t="s">
        <v>92</v>
      </c>
      <c r="BE203" s="1" t="s">
        <v>4488</v>
      </c>
      <c r="BF203" s="1" t="s">
        <v>4489</v>
      </c>
      <c r="BG203" s="1" t="s">
        <v>68</v>
      </c>
      <c r="BH203" s="1" t="s">
        <v>68</v>
      </c>
      <c r="BI203" s="1" t="s">
        <v>68</v>
      </c>
      <c r="BJ203" s="1" t="s">
        <v>68</v>
      </c>
      <c r="BK203" s="1" t="s">
        <v>95</v>
      </c>
      <c r="BL203" s="1" t="s">
        <v>4490</v>
      </c>
      <c r="BM203" s="1" t="str">
        <f>HYPERLINK("https%3A%2F%2Fwww.webofscience.com%2Fwos%2Fwoscc%2Ffull-record%2FWOS:001518252400002","View Full Record in Web of Science")</f>
        <v>View Full Record in Web of Science</v>
      </c>
    </row>
    <row r="204" ht="12.75" customHeight="1">
      <c r="A204" s="1" t="s">
        <v>65</v>
      </c>
      <c r="B204" s="1" t="s">
        <v>4491</v>
      </c>
      <c r="C204" s="1" t="s">
        <v>4492</v>
      </c>
      <c r="D204" s="1" t="s">
        <v>68</v>
      </c>
      <c r="E204" s="1" t="s">
        <v>4493</v>
      </c>
      <c r="F204" s="1" t="s">
        <v>3409</v>
      </c>
      <c r="G204" s="1" t="s">
        <v>68</v>
      </c>
      <c r="H204" s="1" t="s">
        <v>71</v>
      </c>
      <c r="I204" s="1" t="s">
        <v>72</v>
      </c>
      <c r="J204" s="1" t="s">
        <v>68</v>
      </c>
      <c r="K204" s="1" t="s">
        <v>68</v>
      </c>
      <c r="L204" s="1" t="s">
        <v>68</v>
      </c>
      <c r="M204" s="1" t="s">
        <v>68</v>
      </c>
      <c r="N204" s="1" t="s">
        <v>4494</v>
      </c>
      <c r="O204" s="1" t="s">
        <v>4495</v>
      </c>
      <c r="P204" s="1" t="s">
        <v>4496</v>
      </c>
      <c r="Q204" s="1" t="s">
        <v>4497</v>
      </c>
      <c r="R204" s="1" t="s">
        <v>4498</v>
      </c>
      <c r="S204" s="1" t="s">
        <v>4499</v>
      </c>
      <c r="T204" s="1" t="s">
        <v>4500</v>
      </c>
      <c r="U204" s="1" t="s">
        <v>68</v>
      </c>
      <c r="V204" s="1" t="s">
        <v>4501</v>
      </c>
      <c r="W204" s="1" t="s">
        <v>4502</v>
      </c>
      <c r="X204" s="1" t="s">
        <v>4502</v>
      </c>
      <c r="Y204" s="1" t="s">
        <v>4503</v>
      </c>
      <c r="Z204" s="1">
        <v>74.0</v>
      </c>
      <c r="AA204" s="1">
        <v>23.0</v>
      </c>
      <c r="AB204" s="1">
        <v>27.0</v>
      </c>
      <c r="AC204" s="1">
        <v>1.0</v>
      </c>
      <c r="AD204" s="1">
        <v>13.0</v>
      </c>
      <c r="AE204" s="1" t="s">
        <v>3420</v>
      </c>
      <c r="AF204" s="1" t="s">
        <v>3421</v>
      </c>
      <c r="AG204" s="1" t="s">
        <v>3422</v>
      </c>
      <c r="AH204" s="1" t="s">
        <v>3423</v>
      </c>
      <c r="AI204" s="1" t="s">
        <v>3424</v>
      </c>
      <c r="AJ204" s="1" t="s">
        <v>68</v>
      </c>
      <c r="AK204" s="1" t="s">
        <v>3425</v>
      </c>
      <c r="AL204" s="1" t="s">
        <v>3426</v>
      </c>
      <c r="AM204" s="1" t="s">
        <v>1264</v>
      </c>
      <c r="AN204" s="1">
        <v>2021.0</v>
      </c>
      <c r="AO204" s="1">
        <v>16.0</v>
      </c>
      <c r="AP204" s="1">
        <v>6.0</v>
      </c>
      <c r="AQ204" s="1" t="s">
        <v>68</v>
      </c>
      <c r="AR204" s="1" t="s">
        <v>68</v>
      </c>
      <c r="AS204" s="1" t="s">
        <v>68</v>
      </c>
      <c r="AT204" s="1" t="s">
        <v>68</v>
      </c>
      <c r="AU204" s="1">
        <v>1945.0</v>
      </c>
      <c r="AV204" s="1">
        <v>1962.0</v>
      </c>
      <c r="AW204" s="1" t="s">
        <v>68</v>
      </c>
      <c r="AX204" s="1" t="s">
        <v>4504</v>
      </c>
      <c r="AY204" s="3" t="str">
        <f>HYPERLINK("http://dx.doi.org/10.1007/s11625-021-01001-1","http://dx.doi.org/10.1007/s11625-021-01001-1")</f>
        <v>http://dx.doi.org/10.1007/s11625-021-01001-1</v>
      </c>
      <c r="AZ204" s="1" t="s">
        <v>68</v>
      </c>
      <c r="BA204" s="1" t="s">
        <v>4505</v>
      </c>
      <c r="BB204" s="1">
        <v>18.0</v>
      </c>
      <c r="BC204" s="1" t="s">
        <v>3429</v>
      </c>
      <c r="BD204" s="1" t="s">
        <v>92</v>
      </c>
      <c r="BE204" s="1" t="s">
        <v>1053</v>
      </c>
      <c r="BF204" s="1" t="s">
        <v>4506</v>
      </c>
      <c r="BG204" s="1">
        <v>3.4316319E7</v>
      </c>
      <c r="BH204" s="1" t="s">
        <v>644</v>
      </c>
      <c r="BI204" s="1" t="s">
        <v>68</v>
      </c>
      <c r="BJ204" s="1" t="s">
        <v>68</v>
      </c>
      <c r="BK204" s="1" t="s">
        <v>95</v>
      </c>
      <c r="BL204" s="1" t="s">
        <v>4507</v>
      </c>
      <c r="BM204" s="1" t="str">
        <f>HYPERLINK("https%3A%2F%2Fwww.webofscience.com%2Fwos%2Fwoscc%2Ffull-record%2FWOS:000675751900001","View Full Record in Web of Science")</f>
        <v>View Full Record in Web of Science</v>
      </c>
    </row>
    <row r="205" ht="12.75" customHeight="1">
      <c r="A205" s="1" t="s">
        <v>65</v>
      </c>
      <c r="B205" s="1" t="s">
        <v>4508</v>
      </c>
      <c r="C205" s="1" t="s">
        <v>4509</v>
      </c>
      <c r="D205" s="1" t="s">
        <v>68</v>
      </c>
      <c r="E205" s="1" t="s">
        <v>4510</v>
      </c>
      <c r="F205" s="1" t="s">
        <v>4511</v>
      </c>
      <c r="G205" s="1" t="s">
        <v>68</v>
      </c>
      <c r="H205" s="1" t="s">
        <v>71</v>
      </c>
      <c r="I205" s="1" t="s">
        <v>72</v>
      </c>
      <c r="J205" s="1" t="s">
        <v>68</v>
      </c>
      <c r="K205" s="1" t="s">
        <v>68</v>
      </c>
      <c r="L205" s="1" t="s">
        <v>68</v>
      </c>
      <c r="M205" s="1" t="s">
        <v>68</v>
      </c>
      <c r="N205" s="1" t="s">
        <v>4512</v>
      </c>
      <c r="O205" s="1" t="s">
        <v>4513</v>
      </c>
      <c r="P205" s="1" t="s">
        <v>4514</v>
      </c>
      <c r="Q205" s="1" t="s">
        <v>4515</v>
      </c>
      <c r="R205" s="1" t="s">
        <v>4516</v>
      </c>
      <c r="S205" s="1" t="s">
        <v>4517</v>
      </c>
      <c r="T205" s="1" t="s">
        <v>4518</v>
      </c>
      <c r="U205" s="1" t="s">
        <v>4519</v>
      </c>
      <c r="V205" s="1" t="s">
        <v>4520</v>
      </c>
      <c r="W205" s="1" t="s">
        <v>4521</v>
      </c>
      <c r="X205" s="1" t="s">
        <v>4522</v>
      </c>
      <c r="Y205" s="1" t="s">
        <v>4523</v>
      </c>
      <c r="Z205" s="1">
        <v>30.0</v>
      </c>
      <c r="AA205" s="1">
        <v>5.0</v>
      </c>
      <c r="AB205" s="1">
        <v>8.0</v>
      </c>
      <c r="AC205" s="1">
        <v>1.0</v>
      </c>
      <c r="AD205" s="1">
        <v>18.0</v>
      </c>
      <c r="AE205" s="1" t="s">
        <v>503</v>
      </c>
      <c r="AF205" s="1" t="s">
        <v>504</v>
      </c>
      <c r="AG205" s="1" t="s">
        <v>505</v>
      </c>
      <c r="AH205" s="1" t="s">
        <v>4524</v>
      </c>
      <c r="AI205" s="1" t="s">
        <v>4525</v>
      </c>
      <c r="AJ205" s="1" t="s">
        <v>68</v>
      </c>
      <c r="AK205" s="1" t="s">
        <v>4526</v>
      </c>
      <c r="AL205" s="1" t="s">
        <v>4527</v>
      </c>
      <c r="AM205" s="1" t="s">
        <v>428</v>
      </c>
      <c r="AN205" s="1">
        <v>2021.0</v>
      </c>
      <c r="AO205" s="1">
        <v>37.0</v>
      </c>
      <c r="AP205" s="1">
        <v>5.0</v>
      </c>
      <c r="AQ205" s="1" t="s">
        <v>68</v>
      </c>
      <c r="AR205" s="1" t="s">
        <v>68</v>
      </c>
      <c r="AS205" s="1" t="s">
        <v>68</v>
      </c>
      <c r="AT205" s="1" t="s">
        <v>68</v>
      </c>
      <c r="AU205" s="1">
        <v>779.0</v>
      </c>
      <c r="AV205" s="1">
        <v>785.0</v>
      </c>
      <c r="AW205" s="1" t="s">
        <v>68</v>
      </c>
      <c r="AX205" s="1" t="s">
        <v>4528</v>
      </c>
      <c r="AY205" s="3" t="str">
        <f>HYPERLINK("http://dx.doi.org/10.1111/jai.14231","http://dx.doi.org/10.1111/jai.14231")</f>
        <v>http://dx.doi.org/10.1111/jai.14231</v>
      </c>
      <c r="AZ205" s="1" t="s">
        <v>68</v>
      </c>
      <c r="BA205" s="1" t="s">
        <v>961</v>
      </c>
      <c r="BB205" s="1">
        <v>7.0</v>
      </c>
      <c r="BC205" s="1" t="s">
        <v>4529</v>
      </c>
      <c r="BD205" s="1" t="s">
        <v>92</v>
      </c>
      <c r="BE205" s="1" t="s">
        <v>4529</v>
      </c>
      <c r="BF205" s="1" t="s">
        <v>4530</v>
      </c>
      <c r="BG205" s="1" t="s">
        <v>68</v>
      </c>
      <c r="BH205" s="1" t="s">
        <v>68</v>
      </c>
      <c r="BI205" s="1" t="s">
        <v>68</v>
      </c>
      <c r="BJ205" s="1" t="s">
        <v>68</v>
      </c>
      <c r="BK205" s="1" t="s">
        <v>95</v>
      </c>
      <c r="BL205" s="1" t="s">
        <v>4531</v>
      </c>
      <c r="BM205" s="1" t="str">
        <f>HYPERLINK("https%3A%2F%2Fwww.webofscience.com%2Fwos%2Fwoscc%2Ffull-record%2FWOS:000659920300001","View Full Record in Web of Science")</f>
        <v>View Full Record in Web of Science</v>
      </c>
    </row>
    <row r="206" ht="12.75" customHeight="1">
      <c r="A206" s="1" t="s">
        <v>65</v>
      </c>
      <c r="B206" s="1" t="s">
        <v>4532</v>
      </c>
      <c r="C206" s="1" t="s">
        <v>4533</v>
      </c>
      <c r="D206" s="1" t="s">
        <v>68</v>
      </c>
      <c r="E206" s="1" t="s">
        <v>4534</v>
      </c>
      <c r="F206" s="1" t="s">
        <v>2089</v>
      </c>
      <c r="G206" s="1" t="s">
        <v>68</v>
      </c>
      <c r="H206" s="1" t="s">
        <v>71</v>
      </c>
      <c r="I206" s="1" t="s">
        <v>72</v>
      </c>
      <c r="J206" s="1" t="s">
        <v>68</v>
      </c>
      <c r="K206" s="1" t="s">
        <v>68</v>
      </c>
      <c r="L206" s="1" t="s">
        <v>68</v>
      </c>
      <c r="M206" s="1" t="s">
        <v>68</v>
      </c>
      <c r="N206" s="1" t="s">
        <v>4535</v>
      </c>
      <c r="O206" s="1" t="s">
        <v>4536</v>
      </c>
      <c r="P206" s="1" t="s">
        <v>4537</v>
      </c>
      <c r="Q206" s="1" t="s">
        <v>4538</v>
      </c>
      <c r="R206" s="1" t="s">
        <v>4539</v>
      </c>
      <c r="S206" s="1" t="s">
        <v>4540</v>
      </c>
      <c r="T206" s="1" t="s">
        <v>4541</v>
      </c>
      <c r="U206" s="1" t="s">
        <v>68</v>
      </c>
      <c r="V206" s="1" t="s">
        <v>4542</v>
      </c>
      <c r="W206" s="1" t="s">
        <v>68</v>
      </c>
      <c r="X206" s="1" t="s">
        <v>68</v>
      </c>
      <c r="Y206" s="1" t="s">
        <v>68</v>
      </c>
      <c r="Z206" s="1">
        <v>70.0</v>
      </c>
      <c r="AA206" s="1">
        <v>10.0</v>
      </c>
      <c r="AB206" s="1">
        <v>11.0</v>
      </c>
      <c r="AC206" s="1">
        <v>1.0</v>
      </c>
      <c r="AD206" s="1">
        <v>17.0</v>
      </c>
      <c r="AE206" s="1" t="s">
        <v>114</v>
      </c>
      <c r="AF206" s="1" t="s">
        <v>1505</v>
      </c>
      <c r="AG206" s="1" t="s">
        <v>1506</v>
      </c>
      <c r="AH206" s="1" t="s">
        <v>2102</v>
      </c>
      <c r="AI206" s="1" t="s">
        <v>2103</v>
      </c>
      <c r="AJ206" s="1" t="s">
        <v>68</v>
      </c>
      <c r="AK206" s="1" t="s">
        <v>2104</v>
      </c>
      <c r="AL206" s="1" t="s">
        <v>2105</v>
      </c>
      <c r="AM206" s="1" t="s">
        <v>224</v>
      </c>
      <c r="AN206" s="1">
        <v>2023.0</v>
      </c>
      <c r="AO206" s="1">
        <v>195.0</v>
      </c>
      <c r="AP206" s="1">
        <v>2.0</v>
      </c>
      <c r="AQ206" s="1" t="s">
        <v>68</v>
      </c>
      <c r="AR206" s="1" t="s">
        <v>68</v>
      </c>
      <c r="AS206" s="1" t="s">
        <v>68</v>
      </c>
      <c r="AT206" s="1" t="s">
        <v>68</v>
      </c>
      <c r="AU206" s="1" t="s">
        <v>68</v>
      </c>
      <c r="AV206" s="1" t="s">
        <v>68</v>
      </c>
      <c r="AW206" s="1">
        <v>295.0</v>
      </c>
      <c r="AX206" s="1" t="s">
        <v>4543</v>
      </c>
      <c r="AY206" s="3" t="str">
        <f>HYPERLINK("http://dx.doi.org/10.1007/s10661-022-10887-y","http://dx.doi.org/10.1007/s10661-022-10887-y")</f>
        <v>http://dx.doi.org/10.1007/s10661-022-10887-y</v>
      </c>
      <c r="AZ206" s="1" t="s">
        <v>68</v>
      </c>
      <c r="BA206" s="1" t="s">
        <v>68</v>
      </c>
      <c r="BB206" s="1">
        <v>14.0</v>
      </c>
      <c r="BC206" s="1" t="s">
        <v>484</v>
      </c>
      <c r="BD206" s="1" t="s">
        <v>92</v>
      </c>
      <c r="BE206" s="1" t="s">
        <v>333</v>
      </c>
      <c r="BF206" s="1" t="s">
        <v>4544</v>
      </c>
      <c r="BG206" s="1">
        <v>3.6633699E7</v>
      </c>
      <c r="BH206" s="1" t="s">
        <v>644</v>
      </c>
      <c r="BI206" s="1" t="s">
        <v>68</v>
      </c>
      <c r="BJ206" s="1" t="s">
        <v>68</v>
      </c>
      <c r="BK206" s="1" t="s">
        <v>95</v>
      </c>
      <c r="BL206" s="1" t="s">
        <v>4545</v>
      </c>
      <c r="BM206" s="1" t="str">
        <f>HYPERLINK("https%3A%2F%2Fwww.webofscience.com%2Fwos%2Fwoscc%2Ffull-record%2FWOS:000914792100005","View Full Record in Web of Science")</f>
        <v>View Full Record in Web of Science</v>
      </c>
    </row>
    <row r="207" ht="12.75" customHeight="1">
      <c r="A207" s="1" t="s">
        <v>65</v>
      </c>
      <c r="B207" s="1" t="s">
        <v>4546</v>
      </c>
      <c r="C207" s="1" t="s">
        <v>4547</v>
      </c>
      <c r="D207" s="1" t="s">
        <v>68</v>
      </c>
      <c r="E207" s="1" t="s">
        <v>4548</v>
      </c>
      <c r="F207" s="1" t="s">
        <v>4549</v>
      </c>
      <c r="G207" s="1" t="s">
        <v>68</v>
      </c>
      <c r="H207" s="1" t="s">
        <v>71</v>
      </c>
      <c r="I207" s="1" t="s">
        <v>72</v>
      </c>
      <c r="J207" s="1" t="s">
        <v>68</v>
      </c>
      <c r="K207" s="1" t="s">
        <v>68</v>
      </c>
      <c r="L207" s="1" t="s">
        <v>68</v>
      </c>
      <c r="M207" s="1" t="s">
        <v>68</v>
      </c>
      <c r="N207" s="1" t="s">
        <v>4550</v>
      </c>
      <c r="O207" s="1" t="s">
        <v>4551</v>
      </c>
      <c r="P207" s="1" t="s">
        <v>4552</v>
      </c>
      <c r="Q207" s="1" t="s">
        <v>4553</v>
      </c>
      <c r="R207" s="1" t="s">
        <v>4554</v>
      </c>
      <c r="S207" s="1" t="s">
        <v>4555</v>
      </c>
      <c r="T207" s="1" t="s">
        <v>4556</v>
      </c>
      <c r="U207" s="1" t="s">
        <v>4557</v>
      </c>
      <c r="V207" s="1" t="s">
        <v>4558</v>
      </c>
      <c r="W207" s="1" t="s">
        <v>4559</v>
      </c>
      <c r="X207" s="1" t="s">
        <v>4560</v>
      </c>
      <c r="Y207" s="1" t="s">
        <v>4561</v>
      </c>
      <c r="Z207" s="1">
        <v>53.0</v>
      </c>
      <c r="AA207" s="1">
        <v>35.0</v>
      </c>
      <c r="AB207" s="1">
        <v>46.0</v>
      </c>
      <c r="AC207" s="1">
        <v>1.0</v>
      </c>
      <c r="AD207" s="1">
        <v>73.0</v>
      </c>
      <c r="AE207" s="1" t="s">
        <v>422</v>
      </c>
      <c r="AF207" s="1" t="s">
        <v>423</v>
      </c>
      <c r="AG207" s="1" t="s">
        <v>424</v>
      </c>
      <c r="AH207" s="1" t="s">
        <v>4562</v>
      </c>
      <c r="AI207" s="1" t="s">
        <v>4563</v>
      </c>
      <c r="AJ207" s="1" t="s">
        <v>68</v>
      </c>
      <c r="AK207" s="1" t="s">
        <v>4564</v>
      </c>
      <c r="AL207" s="1" t="s">
        <v>4565</v>
      </c>
      <c r="AM207" s="1" t="s">
        <v>252</v>
      </c>
      <c r="AN207" s="1">
        <v>2015.0</v>
      </c>
      <c r="AO207" s="1">
        <v>115.0</v>
      </c>
      <c r="AP207" s="1">
        <v>3.0</v>
      </c>
      <c r="AQ207" s="1" t="s">
        <v>68</v>
      </c>
      <c r="AR207" s="1" t="s">
        <v>68</v>
      </c>
      <c r="AS207" s="1" t="s">
        <v>563</v>
      </c>
      <c r="AT207" s="1" t="s">
        <v>68</v>
      </c>
      <c r="AU207" s="1">
        <v>779.0</v>
      </c>
      <c r="AV207" s="1">
        <v>784.0</v>
      </c>
      <c r="AW207" s="1" t="s">
        <v>68</v>
      </c>
      <c r="AX207" s="1" t="s">
        <v>4566</v>
      </c>
      <c r="AY207" s="3" t="str">
        <f>HYPERLINK("http://dx.doi.org/10.1111/bij.12576","http://dx.doi.org/10.1111/bij.12576")</f>
        <v>http://dx.doi.org/10.1111/bij.12576</v>
      </c>
      <c r="AZ207" s="1" t="s">
        <v>68</v>
      </c>
      <c r="BA207" s="1" t="s">
        <v>68</v>
      </c>
      <c r="BB207" s="1">
        <v>6.0</v>
      </c>
      <c r="BC207" s="1" t="s">
        <v>4567</v>
      </c>
      <c r="BD207" s="1" t="s">
        <v>92</v>
      </c>
      <c r="BE207" s="1" t="s">
        <v>4567</v>
      </c>
      <c r="BF207" s="1" t="s">
        <v>4568</v>
      </c>
      <c r="BG207" s="1" t="s">
        <v>68</v>
      </c>
      <c r="BH207" s="1" t="s">
        <v>68</v>
      </c>
      <c r="BI207" s="1" t="s">
        <v>68</v>
      </c>
      <c r="BJ207" s="1" t="s">
        <v>68</v>
      </c>
      <c r="BK207" s="1" t="s">
        <v>95</v>
      </c>
      <c r="BL207" s="1" t="s">
        <v>4569</v>
      </c>
      <c r="BM207" s="1" t="str">
        <f>HYPERLINK("https%3A%2F%2Fwww.webofscience.com%2Fwos%2Fwoscc%2Ffull-record%2FWOS:000356368400023","View Full Record in Web of Science")</f>
        <v>View Full Record in Web of Science</v>
      </c>
    </row>
    <row r="208" ht="12.75" customHeight="1">
      <c r="A208" s="1" t="s">
        <v>65</v>
      </c>
      <c r="B208" s="1" t="s">
        <v>4570</v>
      </c>
      <c r="C208" s="1" t="s">
        <v>4571</v>
      </c>
      <c r="D208" s="1" t="s">
        <v>68</v>
      </c>
      <c r="E208" s="1" t="s">
        <v>4572</v>
      </c>
      <c r="F208" s="1" t="s">
        <v>4573</v>
      </c>
      <c r="G208" s="1" t="s">
        <v>68</v>
      </c>
      <c r="H208" s="1" t="s">
        <v>71</v>
      </c>
      <c r="I208" s="1" t="s">
        <v>72</v>
      </c>
      <c r="J208" s="1" t="s">
        <v>68</v>
      </c>
      <c r="K208" s="1" t="s">
        <v>68</v>
      </c>
      <c r="L208" s="1" t="s">
        <v>68</v>
      </c>
      <c r="M208" s="1" t="s">
        <v>68</v>
      </c>
      <c r="N208" s="1" t="s">
        <v>4574</v>
      </c>
      <c r="O208" s="1" t="s">
        <v>4575</v>
      </c>
      <c r="P208" s="1" t="s">
        <v>4576</v>
      </c>
      <c r="Q208" s="1" t="s">
        <v>4577</v>
      </c>
      <c r="R208" s="1" t="s">
        <v>4578</v>
      </c>
      <c r="S208" s="1" t="s">
        <v>4579</v>
      </c>
      <c r="T208" s="1" t="s">
        <v>4580</v>
      </c>
      <c r="U208" s="1" t="s">
        <v>68</v>
      </c>
      <c r="V208" s="1" t="s">
        <v>4581</v>
      </c>
      <c r="W208" s="1" t="s">
        <v>4582</v>
      </c>
      <c r="X208" s="1" t="s">
        <v>4582</v>
      </c>
      <c r="Y208" s="1" t="s">
        <v>4583</v>
      </c>
      <c r="Z208" s="1">
        <v>39.0</v>
      </c>
      <c r="AA208" s="1">
        <v>21.0</v>
      </c>
      <c r="AB208" s="1">
        <v>25.0</v>
      </c>
      <c r="AC208" s="1">
        <v>8.0</v>
      </c>
      <c r="AD208" s="1">
        <v>64.0</v>
      </c>
      <c r="AE208" s="1" t="s">
        <v>4584</v>
      </c>
      <c r="AF208" s="1" t="s">
        <v>4585</v>
      </c>
      <c r="AG208" s="1" t="s">
        <v>4586</v>
      </c>
      <c r="AH208" s="1" t="s">
        <v>4587</v>
      </c>
      <c r="AI208" s="1" t="s">
        <v>4588</v>
      </c>
      <c r="AJ208" s="1" t="s">
        <v>68</v>
      </c>
      <c r="AK208" s="1" t="s">
        <v>4589</v>
      </c>
      <c r="AL208" s="1" t="s">
        <v>4590</v>
      </c>
      <c r="AM208" s="1" t="s">
        <v>4591</v>
      </c>
      <c r="AN208" s="1">
        <v>2019.0</v>
      </c>
      <c r="AO208" s="1">
        <v>38.0</v>
      </c>
      <c r="AP208" s="1">
        <v>2.0</v>
      </c>
      <c r="AQ208" s="1" t="s">
        <v>68</v>
      </c>
      <c r="AR208" s="1" t="s">
        <v>68</v>
      </c>
      <c r="AS208" s="1" t="s">
        <v>68</v>
      </c>
      <c r="AT208" s="1" t="s">
        <v>68</v>
      </c>
      <c r="AU208" s="1">
        <v>342.0</v>
      </c>
      <c r="AV208" s="1">
        <v>351.0</v>
      </c>
      <c r="AW208" s="1" t="s">
        <v>68</v>
      </c>
      <c r="AX208" s="1" t="s">
        <v>4592</v>
      </c>
      <c r="AY208" s="3" t="str">
        <f>HYPERLINK("http://dx.doi.org/10.1086/703395","http://dx.doi.org/10.1086/703395")</f>
        <v>http://dx.doi.org/10.1086/703395</v>
      </c>
      <c r="AZ208" s="1" t="s">
        <v>68</v>
      </c>
      <c r="BA208" s="1" t="s">
        <v>68</v>
      </c>
      <c r="BB208" s="1">
        <v>10.0</v>
      </c>
      <c r="BC208" s="1" t="s">
        <v>4593</v>
      </c>
      <c r="BD208" s="1" t="s">
        <v>279</v>
      </c>
      <c r="BE208" s="1" t="s">
        <v>2350</v>
      </c>
      <c r="BF208" s="1" t="s">
        <v>4594</v>
      </c>
      <c r="BG208" s="1" t="s">
        <v>68</v>
      </c>
      <c r="BH208" s="1" t="s">
        <v>68</v>
      </c>
      <c r="BI208" s="1" t="s">
        <v>68</v>
      </c>
      <c r="BJ208" s="1" t="s">
        <v>68</v>
      </c>
      <c r="BK208" s="1" t="s">
        <v>95</v>
      </c>
      <c r="BL208" s="1" t="s">
        <v>4595</v>
      </c>
      <c r="BM208" s="1" t="str">
        <f>HYPERLINK("https%3A%2F%2Fwww.webofscience.com%2Fwos%2Fwoscc%2Ffull-record%2FWOS:000474076400011","View Full Record in Web of Science")</f>
        <v>View Full Record in Web of Science</v>
      </c>
    </row>
    <row r="209" ht="12.75" customHeight="1">
      <c r="A209" s="1" t="s">
        <v>65</v>
      </c>
      <c r="B209" s="1" t="s">
        <v>4596</v>
      </c>
      <c r="C209" s="1" t="s">
        <v>4597</v>
      </c>
      <c r="D209" s="1" t="s">
        <v>68</v>
      </c>
      <c r="E209" s="1" t="s">
        <v>4598</v>
      </c>
      <c r="F209" s="1" t="s">
        <v>1996</v>
      </c>
      <c r="G209" s="1" t="s">
        <v>68</v>
      </c>
      <c r="H209" s="1" t="s">
        <v>71</v>
      </c>
      <c r="I209" s="1" t="s">
        <v>72</v>
      </c>
      <c r="J209" s="1" t="s">
        <v>68</v>
      </c>
      <c r="K209" s="1" t="s">
        <v>68</v>
      </c>
      <c r="L209" s="1" t="s">
        <v>68</v>
      </c>
      <c r="M209" s="1" t="s">
        <v>68</v>
      </c>
      <c r="N209" s="1" t="s">
        <v>4599</v>
      </c>
      <c r="O209" s="1" t="s">
        <v>2956</v>
      </c>
      <c r="P209" s="1" t="s">
        <v>4600</v>
      </c>
      <c r="Q209" s="1" t="s">
        <v>4601</v>
      </c>
      <c r="R209" s="1" t="s">
        <v>4602</v>
      </c>
      <c r="S209" s="1" t="s">
        <v>4603</v>
      </c>
      <c r="T209" s="1" t="s">
        <v>4604</v>
      </c>
      <c r="U209" s="1" t="s">
        <v>4605</v>
      </c>
      <c r="V209" s="1" t="s">
        <v>4606</v>
      </c>
      <c r="W209" s="1" t="s">
        <v>4607</v>
      </c>
      <c r="X209" s="1" t="s">
        <v>4608</v>
      </c>
      <c r="Y209" s="1" t="s">
        <v>4609</v>
      </c>
      <c r="Z209" s="1">
        <v>45.0</v>
      </c>
      <c r="AA209" s="1">
        <v>5.0</v>
      </c>
      <c r="AB209" s="1">
        <v>9.0</v>
      </c>
      <c r="AC209" s="1">
        <v>1.0</v>
      </c>
      <c r="AD209" s="1">
        <v>11.0</v>
      </c>
      <c r="AE209" s="1" t="s">
        <v>247</v>
      </c>
      <c r="AF209" s="1" t="s">
        <v>248</v>
      </c>
      <c r="AG209" s="1" t="s">
        <v>249</v>
      </c>
      <c r="AH209" s="1" t="s">
        <v>68</v>
      </c>
      <c r="AI209" s="1" t="s">
        <v>2007</v>
      </c>
      <c r="AJ209" s="1" t="s">
        <v>68</v>
      </c>
      <c r="AK209" s="1" t="s">
        <v>2008</v>
      </c>
      <c r="AL209" s="1" t="s">
        <v>2009</v>
      </c>
      <c r="AM209" s="1" t="s">
        <v>252</v>
      </c>
      <c r="AN209" s="1">
        <v>2022.0</v>
      </c>
      <c r="AO209" s="1">
        <v>14.0</v>
      </c>
      <c r="AP209" s="1">
        <v>13.0</v>
      </c>
      <c r="AQ209" s="1" t="s">
        <v>68</v>
      </c>
      <c r="AR209" s="1" t="s">
        <v>68</v>
      </c>
      <c r="AS209" s="1" t="s">
        <v>68</v>
      </c>
      <c r="AT209" s="1" t="s">
        <v>68</v>
      </c>
      <c r="AU209" s="1" t="s">
        <v>68</v>
      </c>
      <c r="AV209" s="1" t="s">
        <v>68</v>
      </c>
      <c r="AW209" s="1">
        <v>8107.0</v>
      </c>
      <c r="AX209" s="1" t="s">
        <v>4610</v>
      </c>
      <c r="AY209" s="3" t="str">
        <f>HYPERLINK("http://dx.doi.org/10.3390/su14138107","http://dx.doi.org/10.3390/su14138107")</f>
        <v>http://dx.doi.org/10.3390/su14138107</v>
      </c>
      <c r="AZ209" s="1" t="s">
        <v>68</v>
      </c>
      <c r="BA209" s="1" t="s">
        <v>68</v>
      </c>
      <c r="BB209" s="1">
        <v>21.0</v>
      </c>
      <c r="BC209" s="1" t="s">
        <v>1052</v>
      </c>
      <c r="BD209" s="1" t="s">
        <v>279</v>
      </c>
      <c r="BE209" s="1" t="s">
        <v>1053</v>
      </c>
      <c r="BF209" s="1" t="s">
        <v>4611</v>
      </c>
      <c r="BG209" s="1" t="s">
        <v>68</v>
      </c>
      <c r="BH209" s="1" t="s">
        <v>94</v>
      </c>
      <c r="BI209" s="1" t="s">
        <v>68</v>
      </c>
      <c r="BJ209" s="1" t="s">
        <v>68</v>
      </c>
      <c r="BK209" s="1" t="s">
        <v>95</v>
      </c>
      <c r="BL209" s="1" t="s">
        <v>4612</v>
      </c>
      <c r="BM209" s="1" t="str">
        <f>HYPERLINK("https%3A%2F%2Fwww.webofscience.com%2Fwos%2Fwoscc%2Ffull-record%2FWOS:000823473400001","View Full Record in Web of Science")</f>
        <v>View Full Record in Web of Science</v>
      </c>
    </row>
    <row r="210" ht="12.75" customHeight="1">
      <c r="A210" s="1" t="s">
        <v>65</v>
      </c>
      <c r="B210" s="1" t="s">
        <v>4613</v>
      </c>
      <c r="C210" s="1" t="s">
        <v>4614</v>
      </c>
      <c r="D210" s="1" t="s">
        <v>68</v>
      </c>
      <c r="E210" s="1" t="s">
        <v>4615</v>
      </c>
      <c r="F210" s="1" t="s">
        <v>4616</v>
      </c>
      <c r="G210" s="1" t="s">
        <v>68</v>
      </c>
      <c r="H210" s="1" t="s">
        <v>71</v>
      </c>
      <c r="I210" s="1" t="s">
        <v>101</v>
      </c>
      <c r="J210" s="1" t="s">
        <v>68</v>
      </c>
      <c r="K210" s="1" t="s">
        <v>68</v>
      </c>
      <c r="L210" s="1" t="s">
        <v>68</v>
      </c>
      <c r="M210" s="1" t="s">
        <v>68</v>
      </c>
      <c r="N210" s="1" t="s">
        <v>4617</v>
      </c>
      <c r="O210" s="1" t="s">
        <v>4618</v>
      </c>
      <c r="P210" s="1" t="s">
        <v>4619</v>
      </c>
      <c r="Q210" s="1" t="s">
        <v>4620</v>
      </c>
      <c r="R210" s="1" t="s">
        <v>4621</v>
      </c>
      <c r="S210" s="1" t="s">
        <v>4622</v>
      </c>
      <c r="T210" s="1" t="s">
        <v>4623</v>
      </c>
      <c r="U210" s="1" t="s">
        <v>68</v>
      </c>
      <c r="V210" s="1" t="s">
        <v>68</v>
      </c>
      <c r="W210" s="1" t="s">
        <v>4624</v>
      </c>
      <c r="X210" s="1" t="s">
        <v>4625</v>
      </c>
      <c r="Y210" s="1" t="s">
        <v>4624</v>
      </c>
      <c r="Z210" s="1">
        <v>75.0</v>
      </c>
      <c r="AA210" s="1">
        <v>11.0</v>
      </c>
      <c r="AB210" s="1">
        <v>12.0</v>
      </c>
      <c r="AC210" s="1">
        <v>0.0</v>
      </c>
      <c r="AD210" s="1">
        <v>37.0</v>
      </c>
      <c r="AE210" s="1" t="s">
        <v>503</v>
      </c>
      <c r="AF210" s="1" t="s">
        <v>504</v>
      </c>
      <c r="AG210" s="1" t="s">
        <v>505</v>
      </c>
      <c r="AH210" s="1" t="s">
        <v>68</v>
      </c>
      <c r="AI210" s="1" t="s">
        <v>4626</v>
      </c>
      <c r="AJ210" s="1" t="s">
        <v>68</v>
      </c>
      <c r="AK210" s="1" t="s">
        <v>4616</v>
      </c>
      <c r="AL210" s="1" t="s">
        <v>4627</v>
      </c>
      <c r="AM210" s="1" t="s">
        <v>1169</v>
      </c>
      <c r="AN210" s="1">
        <v>2020.0</v>
      </c>
      <c r="AO210" s="1">
        <v>2.0</v>
      </c>
      <c r="AP210" s="1">
        <v>2.0</v>
      </c>
      <c r="AQ210" s="1" t="s">
        <v>68</v>
      </c>
      <c r="AR210" s="1" t="s">
        <v>68</v>
      </c>
      <c r="AS210" s="1" t="s">
        <v>68</v>
      </c>
      <c r="AT210" s="1" t="s">
        <v>68</v>
      </c>
      <c r="AU210" s="1">
        <v>111.0</v>
      </c>
      <c r="AV210" s="1">
        <v>120.0</v>
      </c>
      <c r="AW210" s="1" t="s">
        <v>68</v>
      </c>
      <c r="AX210" s="1" t="s">
        <v>4628</v>
      </c>
      <c r="AY210" s="3" t="str">
        <f>HYPERLINK("http://dx.doi.org/10.1002/ppp3.10068","http://dx.doi.org/10.1002/ppp3.10068")</f>
        <v>http://dx.doi.org/10.1002/ppp3.10068</v>
      </c>
      <c r="AZ210" s="1" t="s">
        <v>68</v>
      </c>
      <c r="BA210" s="1" t="s">
        <v>68</v>
      </c>
      <c r="BB210" s="1">
        <v>10.0</v>
      </c>
      <c r="BC210" s="1" t="s">
        <v>4629</v>
      </c>
      <c r="BD210" s="1" t="s">
        <v>92</v>
      </c>
      <c r="BE210" s="1" t="s">
        <v>4630</v>
      </c>
      <c r="BF210" s="1" t="s">
        <v>4631</v>
      </c>
      <c r="BG210" s="1" t="s">
        <v>68</v>
      </c>
      <c r="BH210" s="1" t="s">
        <v>94</v>
      </c>
      <c r="BI210" s="1" t="s">
        <v>68</v>
      </c>
      <c r="BJ210" s="1" t="s">
        <v>68</v>
      </c>
      <c r="BK210" s="1" t="s">
        <v>95</v>
      </c>
      <c r="BL210" s="1" t="s">
        <v>4632</v>
      </c>
      <c r="BM210" s="1" t="str">
        <f>HYPERLINK("https%3A%2F%2Fwww.webofscience.com%2Fwos%2Fwoscc%2Ffull-record%2FWOS:000683392200004","View Full Record in Web of Science")</f>
        <v>View Full Record in Web of Science</v>
      </c>
    </row>
    <row r="211" ht="12.75" customHeight="1">
      <c r="A211" s="1" t="s">
        <v>65</v>
      </c>
      <c r="B211" s="1" t="s">
        <v>4633</v>
      </c>
      <c r="C211" s="1" t="s">
        <v>4634</v>
      </c>
      <c r="D211" s="1" t="s">
        <v>68</v>
      </c>
      <c r="E211" s="1" t="s">
        <v>4635</v>
      </c>
      <c r="F211" s="1" t="s">
        <v>4573</v>
      </c>
      <c r="G211" s="1" t="s">
        <v>68</v>
      </c>
      <c r="H211" s="1" t="s">
        <v>71</v>
      </c>
      <c r="I211" s="1" t="s">
        <v>72</v>
      </c>
      <c r="J211" s="1" t="s">
        <v>68</v>
      </c>
      <c r="K211" s="1" t="s">
        <v>68</v>
      </c>
      <c r="L211" s="1" t="s">
        <v>68</v>
      </c>
      <c r="M211" s="1" t="s">
        <v>68</v>
      </c>
      <c r="N211" s="1" t="s">
        <v>4636</v>
      </c>
      <c r="O211" s="1" t="s">
        <v>4637</v>
      </c>
      <c r="P211" s="1" t="s">
        <v>4638</v>
      </c>
      <c r="Q211" s="1" t="s">
        <v>4639</v>
      </c>
      <c r="R211" s="1" t="s">
        <v>4640</v>
      </c>
      <c r="S211" s="1" t="s">
        <v>4641</v>
      </c>
      <c r="T211" s="1" t="s">
        <v>4642</v>
      </c>
      <c r="U211" s="1" t="s">
        <v>4643</v>
      </c>
      <c r="V211" s="1" t="s">
        <v>4644</v>
      </c>
      <c r="W211" s="1" t="s">
        <v>68</v>
      </c>
      <c r="X211" s="1" t="s">
        <v>68</v>
      </c>
      <c r="Y211" s="1" t="s">
        <v>68</v>
      </c>
      <c r="Z211" s="1">
        <v>33.0</v>
      </c>
      <c r="AA211" s="1">
        <v>28.0</v>
      </c>
      <c r="AB211" s="1">
        <v>38.0</v>
      </c>
      <c r="AC211" s="1">
        <v>1.0</v>
      </c>
      <c r="AD211" s="1">
        <v>61.0</v>
      </c>
      <c r="AE211" s="1" t="s">
        <v>4584</v>
      </c>
      <c r="AF211" s="1" t="s">
        <v>4585</v>
      </c>
      <c r="AG211" s="1" t="s">
        <v>4586</v>
      </c>
      <c r="AH211" s="1" t="s">
        <v>4587</v>
      </c>
      <c r="AI211" s="1" t="s">
        <v>4588</v>
      </c>
      <c r="AJ211" s="1" t="s">
        <v>68</v>
      </c>
      <c r="AK211" s="1" t="s">
        <v>4589</v>
      </c>
      <c r="AL211" s="1" t="s">
        <v>4590</v>
      </c>
      <c r="AM211" s="1" t="s">
        <v>3782</v>
      </c>
      <c r="AN211" s="1">
        <v>2014.0</v>
      </c>
      <c r="AO211" s="1">
        <v>33.0</v>
      </c>
      <c r="AP211" s="1">
        <v>2.0</v>
      </c>
      <c r="AQ211" s="1" t="s">
        <v>68</v>
      </c>
      <c r="AR211" s="1" t="s">
        <v>68</v>
      </c>
      <c r="AS211" s="1" t="s">
        <v>68</v>
      </c>
      <c r="AT211" s="1" t="s">
        <v>68</v>
      </c>
      <c r="AU211" s="1">
        <v>686.0</v>
      </c>
      <c r="AV211" s="1">
        <v>692.0</v>
      </c>
      <c r="AW211" s="1" t="s">
        <v>68</v>
      </c>
      <c r="AX211" s="1" t="s">
        <v>4645</v>
      </c>
      <c r="AY211" s="3" t="str">
        <f>HYPERLINK("http://dx.doi.org/10.1086/676118","http://dx.doi.org/10.1086/676118")</f>
        <v>http://dx.doi.org/10.1086/676118</v>
      </c>
      <c r="AZ211" s="1" t="s">
        <v>68</v>
      </c>
      <c r="BA211" s="1" t="s">
        <v>68</v>
      </c>
      <c r="BB211" s="1">
        <v>7.0</v>
      </c>
      <c r="BC211" s="1" t="s">
        <v>4593</v>
      </c>
      <c r="BD211" s="1" t="s">
        <v>92</v>
      </c>
      <c r="BE211" s="1" t="s">
        <v>2350</v>
      </c>
      <c r="BF211" s="1" t="s">
        <v>4646</v>
      </c>
      <c r="BG211" s="1" t="s">
        <v>68</v>
      </c>
      <c r="BH211" s="1" t="s">
        <v>68</v>
      </c>
      <c r="BI211" s="1" t="s">
        <v>68</v>
      </c>
      <c r="BJ211" s="1" t="s">
        <v>68</v>
      </c>
      <c r="BK211" s="1" t="s">
        <v>95</v>
      </c>
      <c r="BL211" s="1" t="s">
        <v>4647</v>
      </c>
      <c r="BM211" s="1" t="str">
        <f>HYPERLINK("https%3A%2F%2Fwww.webofscience.com%2Fwos%2Fwoscc%2Ffull-record%2FWOS:000337521400027","View Full Record in Web of Science")</f>
        <v>View Full Record in Web of Science</v>
      </c>
    </row>
    <row r="212" ht="12.75" customHeight="1">
      <c r="A212" s="1" t="s">
        <v>65</v>
      </c>
      <c r="B212" s="1" t="s">
        <v>4648</v>
      </c>
      <c r="C212" s="1" t="s">
        <v>4649</v>
      </c>
      <c r="D212" s="1" t="s">
        <v>68</v>
      </c>
      <c r="E212" s="1" t="s">
        <v>4650</v>
      </c>
      <c r="F212" s="1" t="s">
        <v>4651</v>
      </c>
      <c r="G212" s="1" t="s">
        <v>68</v>
      </c>
      <c r="H212" s="1" t="s">
        <v>71</v>
      </c>
      <c r="I212" s="1" t="s">
        <v>72</v>
      </c>
      <c r="J212" s="1" t="s">
        <v>68</v>
      </c>
      <c r="K212" s="1" t="s">
        <v>68</v>
      </c>
      <c r="L212" s="1" t="s">
        <v>68</v>
      </c>
      <c r="M212" s="1" t="s">
        <v>68</v>
      </c>
      <c r="N212" s="1" t="s">
        <v>4652</v>
      </c>
      <c r="O212" s="1" t="s">
        <v>4653</v>
      </c>
      <c r="P212" s="1" t="s">
        <v>4654</v>
      </c>
      <c r="Q212" s="1" t="s">
        <v>4655</v>
      </c>
      <c r="R212" s="1" t="s">
        <v>4656</v>
      </c>
      <c r="S212" s="1" t="s">
        <v>4657</v>
      </c>
      <c r="T212" s="1" t="s">
        <v>4658</v>
      </c>
      <c r="U212" s="1" t="s">
        <v>68</v>
      </c>
      <c r="V212" s="1" t="s">
        <v>4659</v>
      </c>
      <c r="W212" s="1" t="s">
        <v>4660</v>
      </c>
      <c r="X212" s="1" t="s">
        <v>4661</v>
      </c>
      <c r="Y212" s="1" t="s">
        <v>4662</v>
      </c>
      <c r="Z212" s="1">
        <v>44.0</v>
      </c>
      <c r="AA212" s="1">
        <v>3.0</v>
      </c>
      <c r="AB212" s="1">
        <v>3.0</v>
      </c>
      <c r="AC212" s="1">
        <v>4.0</v>
      </c>
      <c r="AD212" s="1">
        <v>4.0</v>
      </c>
      <c r="AE212" s="1" t="s">
        <v>1596</v>
      </c>
      <c r="AF212" s="1" t="s">
        <v>1182</v>
      </c>
      <c r="AG212" s="1" t="s">
        <v>1597</v>
      </c>
      <c r="AH212" s="1" t="s">
        <v>4663</v>
      </c>
      <c r="AI212" s="1" t="s">
        <v>68</v>
      </c>
      <c r="AJ212" s="1" t="s">
        <v>68</v>
      </c>
      <c r="AK212" s="1" t="s">
        <v>4664</v>
      </c>
      <c r="AL212" s="1" t="s">
        <v>4665</v>
      </c>
      <c r="AM212" s="1" t="s">
        <v>3672</v>
      </c>
      <c r="AN212" s="1">
        <v>2025.0</v>
      </c>
      <c r="AO212" s="1">
        <v>90.0</v>
      </c>
      <c r="AP212" s="1" t="s">
        <v>68</v>
      </c>
      <c r="AQ212" s="1" t="s">
        <v>68</v>
      </c>
      <c r="AR212" s="1" t="s">
        <v>68</v>
      </c>
      <c r="AS212" s="1" t="s">
        <v>68</v>
      </c>
      <c r="AT212" s="1" t="s">
        <v>68</v>
      </c>
      <c r="AU212" s="1" t="s">
        <v>68</v>
      </c>
      <c r="AV212" s="1" t="s">
        <v>68</v>
      </c>
      <c r="AW212" s="1">
        <v>104481.0</v>
      </c>
      <c r="AX212" s="1" t="s">
        <v>4666</v>
      </c>
      <c r="AY212" s="3" t="str">
        <f>HYPERLINK("http://dx.doi.org/10.1016/j.rsma.2025.104481","http://dx.doi.org/10.1016/j.rsma.2025.104481")</f>
        <v>http://dx.doi.org/10.1016/j.rsma.2025.104481</v>
      </c>
      <c r="AZ212" s="1" t="s">
        <v>68</v>
      </c>
      <c r="BA212" s="1" t="s">
        <v>4148</v>
      </c>
      <c r="BB212" s="1">
        <v>9.0</v>
      </c>
      <c r="BC212" s="1" t="s">
        <v>4593</v>
      </c>
      <c r="BD212" s="1" t="s">
        <v>92</v>
      </c>
      <c r="BE212" s="1" t="s">
        <v>2350</v>
      </c>
      <c r="BF212" s="1" t="s">
        <v>4667</v>
      </c>
      <c r="BG212" s="1" t="s">
        <v>68</v>
      </c>
      <c r="BH212" s="1" t="s">
        <v>68</v>
      </c>
      <c r="BI212" s="1" t="s">
        <v>68</v>
      </c>
      <c r="BJ212" s="1" t="s">
        <v>68</v>
      </c>
      <c r="BK212" s="1" t="s">
        <v>95</v>
      </c>
      <c r="BL212" s="1" t="s">
        <v>4668</v>
      </c>
      <c r="BM212" s="1" t="str">
        <f>HYPERLINK("https%3A%2F%2Fwww.webofscience.com%2Fwos%2Fwoscc%2Ffull-record%2FWOS:001573272400001","View Full Record in Web of Science")</f>
        <v>View Full Record in Web of Science</v>
      </c>
    </row>
    <row r="213" ht="12.75" customHeight="1">
      <c r="A213" s="1" t="s">
        <v>65</v>
      </c>
      <c r="B213" s="1" t="s">
        <v>4669</v>
      </c>
      <c r="C213" s="1" t="s">
        <v>4670</v>
      </c>
      <c r="D213" s="1" t="s">
        <v>68</v>
      </c>
      <c r="E213" s="1" t="s">
        <v>4671</v>
      </c>
      <c r="F213" s="1" t="s">
        <v>994</v>
      </c>
      <c r="G213" s="1" t="s">
        <v>68</v>
      </c>
      <c r="H213" s="1" t="s">
        <v>71</v>
      </c>
      <c r="I213" s="1" t="s">
        <v>72</v>
      </c>
      <c r="J213" s="1" t="s">
        <v>68</v>
      </c>
      <c r="K213" s="1" t="s">
        <v>68</v>
      </c>
      <c r="L213" s="1" t="s">
        <v>68</v>
      </c>
      <c r="M213" s="1" t="s">
        <v>68</v>
      </c>
      <c r="N213" s="1" t="s">
        <v>4672</v>
      </c>
      <c r="O213" s="1" t="s">
        <v>4673</v>
      </c>
      <c r="P213" s="1" t="s">
        <v>4674</v>
      </c>
      <c r="Q213" s="1" t="s">
        <v>4675</v>
      </c>
      <c r="R213" s="1" t="s">
        <v>4676</v>
      </c>
      <c r="S213" s="1" t="s">
        <v>4677</v>
      </c>
      <c r="T213" s="1" t="s">
        <v>4678</v>
      </c>
      <c r="U213" s="1" t="s">
        <v>4679</v>
      </c>
      <c r="V213" s="1" t="s">
        <v>4680</v>
      </c>
      <c r="W213" s="1" t="s">
        <v>4681</v>
      </c>
      <c r="X213" s="1" t="s">
        <v>4682</v>
      </c>
      <c r="Y213" s="1" t="s">
        <v>4683</v>
      </c>
      <c r="Z213" s="1">
        <v>68.0</v>
      </c>
      <c r="AA213" s="1">
        <v>6.0</v>
      </c>
      <c r="AB213" s="1">
        <v>9.0</v>
      </c>
      <c r="AC213" s="1">
        <v>1.0</v>
      </c>
      <c r="AD213" s="1">
        <v>21.0</v>
      </c>
      <c r="AE213" s="1" t="s">
        <v>503</v>
      </c>
      <c r="AF213" s="1" t="s">
        <v>504</v>
      </c>
      <c r="AG213" s="1" t="s">
        <v>505</v>
      </c>
      <c r="AH213" s="1" t="s">
        <v>68</v>
      </c>
      <c r="AI213" s="1" t="s">
        <v>1006</v>
      </c>
      <c r="AJ213" s="1" t="s">
        <v>68</v>
      </c>
      <c r="AK213" s="1" t="s">
        <v>1007</v>
      </c>
      <c r="AL213" s="1" t="s">
        <v>1008</v>
      </c>
      <c r="AM213" s="1" t="s">
        <v>120</v>
      </c>
      <c r="AN213" s="1">
        <v>2024.0</v>
      </c>
      <c r="AO213" s="1">
        <v>6.0</v>
      </c>
      <c r="AP213" s="1">
        <v>6.0</v>
      </c>
      <c r="AQ213" s="1" t="s">
        <v>68</v>
      </c>
      <c r="AR213" s="1" t="s">
        <v>68</v>
      </c>
      <c r="AS213" s="1" t="s">
        <v>68</v>
      </c>
      <c r="AT213" s="1" t="s">
        <v>68</v>
      </c>
      <c r="AU213" s="1">
        <v>2357.0</v>
      </c>
      <c r="AV213" s="1">
        <v>2373.0</v>
      </c>
      <c r="AW213" s="1" t="s">
        <v>68</v>
      </c>
      <c r="AX213" s="1" t="s">
        <v>4684</v>
      </c>
      <c r="AY213" s="3" t="str">
        <f>HYPERLINK("http://dx.doi.org/10.1002/pan3.10714","http://dx.doi.org/10.1002/pan3.10714")</f>
        <v>http://dx.doi.org/10.1002/pan3.10714</v>
      </c>
      <c r="AZ213" s="1" t="s">
        <v>68</v>
      </c>
      <c r="BA213" s="1" t="s">
        <v>2134</v>
      </c>
      <c r="BB213" s="1">
        <v>17.0</v>
      </c>
      <c r="BC213" s="1" t="s">
        <v>1011</v>
      </c>
      <c r="BD213" s="1" t="s">
        <v>92</v>
      </c>
      <c r="BE213" s="1" t="s">
        <v>123</v>
      </c>
      <c r="BF213" s="1" t="s">
        <v>4685</v>
      </c>
      <c r="BG213" s="1" t="s">
        <v>68</v>
      </c>
      <c r="BH213" s="1" t="s">
        <v>94</v>
      </c>
      <c r="BI213" s="1" t="s">
        <v>68</v>
      </c>
      <c r="BJ213" s="1" t="s">
        <v>68</v>
      </c>
      <c r="BK213" s="1" t="s">
        <v>95</v>
      </c>
      <c r="BL213" s="1" t="s">
        <v>4686</v>
      </c>
      <c r="BM213" s="1" t="str">
        <f>HYPERLINK("https%3A%2F%2Fwww.webofscience.com%2Fwos%2Fwoscc%2Ffull-record%2FWOS:001357241000001","View Full Record in Web of Science")</f>
        <v>View Full Record in Web of Science</v>
      </c>
    </row>
    <row r="214" ht="12.75" customHeight="1">
      <c r="A214" s="1" t="s">
        <v>65</v>
      </c>
      <c r="B214" s="1" t="s">
        <v>4687</v>
      </c>
      <c r="C214" s="1" t="s">
        <v>4688</v>
      </c>
      <c r="D214" s="1" t="s">
        <v>68</v>
      </c>
      <c r="E214" s="1" t="s">
        <v>4689</v>
      </c>
      <c r="F214" s="1" t="s">
        <v>4690</v>
      </c>
      <c r="G214" s="1" t="s">
        <v>68</v>
      </c>
      <c r="H214" s="1" t="s">
        <v>71</v>
      </c>
      <c r="I214" s="1" t="s">
        <v>72</v>
      </c>
      <c r="J214" s="1" t="s">
        <v>68</v>
      </c>
      <c r="K214" s="1" t="s">
        <v>68</v>
      </c>
      <c r="L214" s="1" t="s">
        <v>68</v>
      </c>
      <c r="M214" s="1" t="s">
        <v>68</v>
      </c>
      <c r="N214" s="1" t="s">
        <v>4691</v>
      </c>
      <c r="O214" s="1" t="s">
        <v>4692</v>
      </c>
      <c r="P214" s="1" t="s">
        <v>4693</v>
      </c>
      <c r="Q214" s="1" t="s">
        <v>4694</v>
      </c>
      <c r="R214" s="1" t="s">
        <v>4695</v>
      </c>
      <c r="S214" s="1" t="s">
        <v>4696</v>
      </c>
      <c r="T214" s="1" t="s">
        <v>4697</v>
      </c>
      <c r="U214" s="1" t="s">
        <v>4698</v>
      </c>
      <c r="V214" s="1" t="s">
        <v>4699</v>
      </c>
      <c r="W214" s="1" t="s">
        <v>4700</v>
      </c>
      <c r="X214" s="1" t="s">
        <v>4701</v>
      </c>
      <c r="Y214" s="1" t="s">
        <v>4702</v>
      </c>
      <c r="Z214" s="1">
        <v>98.0</v>
      </c>
      <c r="AA214" s="1">
        <v>2.0</v>
      </c>
      <c r="AB214" s="1">
        <v>3.0</v>
      </c>
      <c r="AC214" s="1">
        <v>2.0</v>
      </c>
      <c r="AD214" s="1">
        <v>3.0</v>
      </c>
      <c r="AE214" s="1" t="s">
        <v>4703</v>
      </c>
      <c r="AF214" s="1" t="s">
        <v>4704</v>
      </c>
      <c r="AG214" s="1" t="s">
        <v>4705</v>
      </c>
      <c r="AH214" s="1" t="s">
        <v>4706</v>
      </c>
      <c r="AI214" s="1" t="s">
        <v>4707</v>
      </c>
      <c r="AJ214" s="1" t="s">
        <v>68</v>
      </c>
      <c r="AK214" s="1" t="s">
        <v>4708</v>
      </c>
      <c r="AL214" s="1" t="s">
        <v>4709</v>
      </c>
      <c r="AM214" s="1" t="s">
        <v>68</v>
      </c>
      <c r="AN214" s="1">
        <v>2024.0</v>
      </c>
      <c r="AO214" s="1">
        <v>13.0</v>
      </c>
      <c r="AP214" s="1">
        <v>1.0</v>
      </c>
      <c r="AQ214" s="1" t="s">
        <v>68</v>
      </c>
      <c r="AR214" s="1" t="s">
        <v>68</v>
      </c>
      <c r="AS214" s="1" t="s">
        <v>68</v>
      </c>
      <c r="AT214" s="1" t="s">
        <v>68</v>
      </c>
      <c r="AU214" s="1" t="s">
        <v>68</v>
      </c>
      <c r="AV214" s="1" t="s">
        <v>68</v>
      </c>
      <c r="AW214" s="1">
        <v>366585.0</v>
      </c>
      <c r="AX214" s="1" t="s">
        <v>4710</v>
      </c>
      <c r="AY214" s="3" t="str">
        <f>HYPERLINK("http://dx.doi.org/10.4018/IJEPR.366585","http://dx.doi.org/10.4018/IJEPR.366585")</f>
        <v>http://dx.doi.org/10.4018/IJEPR.366585</v>
      </c>
      <c r="AZ214" s="1" t="s">
        <v>68</v>
      </c>
      <c r="BA214" s="1" t="s">
        <v>68</v>
      </c>
      <c r="BB214" s="1">
        <v>30.0</v>
      </c>
      <c r="BC214" s="1" t="s">
        <v>4711</v>
      </c>
      <c r="BD214" s="1" t="s">
        <v>197</v>
      </c>
      <c r="BE214" s="1" t="s">
        <v>4712</v>
      </c>
      <c r="BF214" s="1" t="s">
        <v>4713</v>
      </c>
      <c r="BG214" s="1" t="s">
        <v>68</v>
      </c>
      <c r="BH214" s="1" t="s">
        <v>94</v>
      </c>
      <c r="BI214" s="1" t="s">
        <v>68</v>
      </c>
      <c r="BJ214" s="1" t="s">
        <v>68</v>
      </c>
      <c r="BK214" s="1" t="s">
        <v>95</v>
      </c>
      <c r="BL214" s="1" t="s">
        <v>4714</v>
      </c>
      <c r="BM214" s="1" t="str">
        <f>HYPERLINK("https%3A%2F%2Fwww.webofscience.com%2Fwos%2Fwoscc%2Ffull-record%2FWOS:001419124700001","View Full Record in Web of Science")</f>
        <v>View Full Record in Web of Science</v>
      </c>
    </row>
    <row r="215" ht="12.75" customHeight="1">
      <c r="A215" s="1" t="s">
        <v>65</v>
      </c>
      <c r="B215" s="1" t="s">
        <v>4715</v>
      </c>
      <c r="C215" s="1" t="s">
        <v>4716</v>
      </c>
      <c r="D215" s="1" t="s">
        <v>68</v>
      </c>
      <c r="E215" s="1" t="s">
        <v>4717</v>
      </c>
      <c r="F215" s="1" t="s">
        <v>3748</v>
      </c>
      <c r="G215" s="1" t="s">
        <v>68</v>
      </c>
      <c r="H215" s="1" t="s">
        <v>71</v>
      </c>
      <c r="I215" s="1" t="s">
        <v>72</v>
      </c>
      <c r="J215" s="1" t="s">
        <v>68</v>
      </c>
      <c r="K215" s="1" t="s">
        <v>68</v>
      </c>
      <c r="L215" s="1" t="s">
        <v>68</v>
      </c>
      <c r="M215" s="1" t="s">
        <v>68</v>
      </c>
      <c r="N215" s="1" t="s">
        <v>4718</v>
      </c>
      <c r="O215" s="1" t="s">
        <v>4719</v>
      </c>
      <c r="P215" s="1" t="s">
        <v>4720</v>
      </c>
      <c r="Q215" s="1" t="s">
        <v>4721</v>
      </c>
      <c r="R215" s="1" t="s">
        <v>4722</v>
      </c>
      <c r="S215" s="1" t="s">
        <v>4723</v>
      </c>
      <c r="T215" s="1" t="s">
        <v>4724</v>
      </c>
      <c r="U215" s="1" t="s">
        <v>4725</v>
      </c>
      <c r="V215" s="1" t="s">
        <v>4726</v>
      </c>
      <c r="W215" s="1" t="s">
        <v>4727</v>
      </c>
      <c r="X215" s="1" t="s">
        <v>4727</v>
      </c>
      <c r="Y215" s="1" t="s">
        <v>4728</v>
      </c>
      <c r="Z215" s="1">
        <v>106.0</v>
      </c>
      <c r="AA215" s="1">
        <v>0.0</v>
      </c>
      <c r="AB215" s="1">
        <v>0.0</v>
      </c>
      <c r="AC215" s="1">
        <v>7.0</v>
      </c>
      <c r="AD215" s="1">
        <v>7.0</v>
      </c>
      <c r="AE215" s="1" t="s">
        <v>1596</v>
      </c>
      <c r="AF215" s="1" t="s">
        <v>1182</v>
      </c>
      <c r="AG215" s="1" t="s">
        <v>1597</v>
      </c>
      <c r="AH215" s="1" t="s">
        <v>3761</v>
      </c>
      <c r="AI215" s="1" t="s">
        <v>3762</v>
      </c>
      <c r="AJ215" s="1" t="s">
        <v>68</v>
      </c>
      <c r="AK215" s="1" t="s">
        <v>3763</v>
      </c>
      <c r="AL215" s="1" t="s">
        <v>3764</v>
      </c>
      <c r="AM215" s="1" t="s">
        <v>1264</v>
      </c>
      <c r="AN215" s="1">
        <v>2025.0</v>
      </c>
      <c r="AO215" s="1">
        <v>180.0</v>
      </c>
      <c r="AP215" s="1" t="s">
        <v>68</v>
      </c>
      <c r="AQ215" s="1" t="s">
        <v>68</v>
      </c>
      <c r="AR215" s="1" t="s">
        <v>68</v>
      </c>
      <c r="AS215" s="1" t="s">
        <v>68</v>
      </c>
      <c r="AT215" s="1" t="s">
        <v>68</v>
      </c>
      <c r="AU215" s="1" t="s">
        <v>68</v>
      </c>
      <c r="AV215" s="1" t="s">
        <v>68</v>
      </c>
      <c r="AW215" s="1">
        <v>114317.0</v>
      </c>
      <c r="AX215" s="1" t="s">
        <v>4729</v>
      </c>
      <c r="AY215" s="3" t="str">
        <f>HYPERLINK("http://dx.doi.org/10.1016/j.ecolind.2025.114317","http://dx.doi.org/10.1016/j.ecolind.2025.114317")</f>
        <v>http://dx.doi.org/10.1016/j.ecolind.2025.114317</v>
      </c>
      <c r="AZ215" s="1" t="s">
        <v>68</v>
      </c>
      <c r="BA215" s="1" t="s">
        <v>4305</v>
      </c>
      <c r="BB215" s="1">
        <v>13.0</v>
      </c>
      <c r="BC215" s="1" t="s">
        <v>3766</v>
      </c>
      <c r="BD215" s="1" t="s">
        <v>92</v>
      </c>
      <c r="BE215" s="1" t="s">
        <v>123</v>
      </c>
      <c r="BF215" s="1" t="s">
        <v>4730</v>
      </c>
      <c r="BG215" s="1" t="s">
        <v>68</v>
      </c>
      <c r="BH215" s="1" t="s">
        <v>94</v>
      </c>
      <c r="BI215" s="1" t="s">
        <v>68</v>
      </c>
      <c r="BJ215" s="1" t="s">
        <v>68</v>
      </c>
      <c r="BK215" s="1" t="s">
        <v>95</v>
      </c>
      <c r="BL215" s="1" t="s">
        <v>4731</v>
      </c>
      <c r="BM215" s="1" t="str">
        <f>HYPERLINK("https%3A%2F%2Fwww.webofscience.com%2Fwos%2Fwoscc%2Ffull-record%2FWOS:001604228100001","View Full Record in Web of Science")</f>
        <v>View Full Record in Web of Science</v>
      </c>
    </row>
    <row r="216" ht="12.75" customHeight="1">
      <c r="A216" s="1" t="s">
        <v>65</v>
      </c>
      <c r="B216" s="1" t="s">
        <v>4732</v>
      </c>
      <c r="C216" s="1" t="s">
        <v>4733</v>
      </c>
      <c r="D216" s="1" t="s">
        <v>68</v>
      </c>
      <c r="E216" s="1" t="s">
        <v>4734</v>
      </c>
      <c r="F216" s="1" t="s">
        <v>4735</v>
      </c>
      <c r="G216" s="1" t="s">
        <v>68</v>
      </c>
      <c r="H216" s="1" t="s">
        <v>71</v>
      </c>
      <c r="I216" s="1" t="s">
        <v>72</v>
      </c>
      <c r="J216" s="1" t="s">
        <v>68</v>
      </c>
      <c r="K216" s="1" t="s">
        <v>68</v>
      </c>
      <c r="L216" s="1" t="s">
        <v>68</v>
      </c>
      <c r="M216" s="1" t="s">
        <v>68</v>
      </c>
      <c r="N216" s="1" t="s">
        <v>4736</v>
      </c>
      <c r="O216" s="1" t="s">
        <v>4737</v>
      </c>
      <c r="P216" s="1" t="s">
        <v>4738</v>
      </c>
      <c r="Q216" s="1" t="s">
        <v>4739</v>
      </c>
      <c r="R216" s="1" t="s">
        <v>4740</v>
      </c>
      <c r="S216" s="1" t="s">
        <v>4741</v>
      </c>
      <c r="T216" s="1" t="s">
        <v>4742</v>
      </c>
      <c r="U216" s="1" t="s">
        <v>4743</v>
      </c>
      <c r="V216" s="1" t="s">
        <v>4744</v>
      </c>
      <c r="W216" s="1" t="s">
        <v>68</v>
      </c>
      <c r="X216" s="1" t="s">
        <v>68</v>
      </c>
      <c r="Y216" s="1" t="s">
        <v>68</v>
      </c>
      <c r="Z216" s="1">
        <v>121.0</v>
      </c>
      <c r="AA216" s="1">
        <v>128.0</v>
      </c>
      <c r="AB216" s="1">
        <v>168.0</v>
      </c>
      <c r="AC216" s="1">
        <v>1.0</v>
      </c>
      <c r="AD216" s="1">
        <v>199.0</v>
      </c>
      <c r="AE216" s="1" t="s">
        <v>1932</v>
      </c>
      <c r="AF216" s="1" t="s">
        <v>1933</v>
      </c>
      <c r="AG216" s="1" t="s">
        <v>1934</v>
      </c>
      <c r="AH216" s="1" t="s">
        <v>4745</v>
      </c>
      <c r="AI216" s="1" t="s">
        <v>4746</v>
      </c>
      <c r="AJ216" s="1" t="s">
        <v>68</v>
      </c>
      <c r="AK216" s="1" t="s">
        <v>4747</v>
      </c>
      <c r="AL216" s="1" t="s">
        <v>4748</v>
      </c>
      <c r="AM216" s="1" t="s">
        <v>68</v>
      </c>
      <c r="AN216" s="1">
        <v>2012.0</v>
      </c>
      <c r="AO216" s="1">
        <v>102.0</v>
      </c>
      <c r="AP216" s="1">
        <v>6.0</v>
      </c>
      <c r="AQ216" s="1" t="s">
        <v>68</v>
      </c>
      <c r="AR216" s="1" t="s">
        <v>68</v>
      </c>
      <c r="AS216" s="1" t="s">
        <v>68</v>
      </c>
      <c r="AT216" s="1" t="s">
        <v>68</v>
      </c>
      <c r="AU216" s="1">
        <v>1267.0</v>
      </c>
      <c r="AV216" s="1">
        <v>1289.0</v>
      </c>
      <c r="AW216" s="1" t="s">
        <v>68</v>
      </c>
      <c r="AX216" s="1" t="s">
        <v>4749</v>
      </c>
      <c r="AY216" s="3" t="str">
        <f>HYPERLINK("http://dx.doi.org/10.1080/00045608.2011.627058","http://dx.doi.org/10.1080/00045608.2011.627058")</f>
        <v>http://dx.doi.org/10.1080/00045608.2011.627058</v>
      </c>
      <c r="AZ216" s="1" t="s">
        <v>68</v>
      </c>
      <c r="BA216" s="1" t="s">
        <v>68</v>
      </c>
      <c r="BB216" s="1">
        <v>23.0</v>
      </c>
      <c r="BC216" s="1" t="s">
        <v>4750</v>
      </c>
      <c r="BD216" s="1" t="s">
        <v>1438</v>
      </c>
      <c r="BE216" s="1" t="s">
        <v>4750</v>
      </c>
      <c r="BF216" s="1" t="s">
        <v>4751</v>
      </c>
      <c r="BG216" s="1" t="s">
        <v>68</v>
      </c>
      <c r="BH216" s="1" t="s">
        <v>68</v>
      </c>
      <c r="BI216" s="1" t="s">
        <v>68</v>
      </c>
      <c r="BJ216" s="1" t="s">
        <v>68</v>
      </c>
      <c r="BK216" s="1" t="s">
        <v>95</v>
      </c>
      <c r="BL216" s="1" t="s">
        <v>4752</v>
      </c>
      <c r="BM216" s="1" t="str">
        <f>HYPERLINK("https%3A%2F%2Fwww.webofscience.com%2Fwos%2Fwoscc%2Ffull-record%2FWOS:000309602900003","View Full Record in Web of Science")</f>
        <v>View Full Record in Web of Science</v>
      </c>
    </row>
    <row r="217" ht="12.75" customHeight="1">
      <c r="A217" s="1" t="s">
        <v>65</v>
      </c>
      <c r="B217" s="1" t="s">
        <v>4753</v>
      </c>
      <c r="C217" s="1" t="s">
        <v>4754</v>
      </c>
      <c r="D217" s="1" t="s">
        <v>68</v>
      </c>
      <c r="E217" s="1" t="s">
        <v>4755</v>
      </c>
      <c r="F217" s="1" t="s">
        <v>1059</v>
      </c>
      <c r="G217" s="1" t="s">
        <v>68</v>
      </c>
      <c r="H217" s="1" t="s">
        <v>71</v>
      </c>
      <c r="I217" s="1" t="s">
        <v>72</v>
      </c>
      <c r="J217" s="1" t="s">
        <v>68</v>
      </c>
      <c r="K217" s="1" t="s">
        <v>68</v>
      </c>
      <c r="L217" s="1" t="s">
        <v>68</v>
      </c>
      <c r="M217" s="1" t="s">
        <v>68</v>
      </c>
      <c r="N217" s="1" t="s">
        <v>4756</v>
      </c>
      <c r="O217" s="1" t="s">
        <v>4757</v>
      </c>
      <c r="P217" s="1" t="s">
        <v>4758</v>
      </c>
      <c r="Q217" s="1" t="s">
        <v>4759</v>
      </c>
      <c r="R217" s="1" t="s">
        <v>4760</v>
      </c>
      <c r="S217" s="1" t="s">
        <v>4761</v>
      </c>
      <c r="T217" s="1" t="s">
        <v>1425</v>
      </c>
      <c r="U217" s="1" t="s">
        <v>4762</v>
      </c>
      <c r="V217" s="1" t="s">
        <v>4763</v>
      </c>
      <c r="W217" s="1" t="s">
        <v>4764</v>
      </c>
      <c r="X217" s="1" t="s">
        <v>4765</v>
      </c>
      <c r="Y217" s="1" t="s">
        <v>4766</v>
      </c>
      <c r="Z217" s="1">
        <v>63.0</v>
      </c>
      <c r="AA217" s="1">
        <v>26.0</v>
      </c>
      <c r="AB217" s="1">
        <v>28.0</v>
      </c>
      <c r="AC217" s="1">
        <v>2.0</v>
      </c>
      <c r="AD217" s="1">
        <v>20.0</v>
      </c>
      <c r="AE217" s="1" t="s">
        <v>811</v>
      </c>
      <c r="AF217" s="1" t="s">
        <v>1666</v>
      </c>
      <c r="AG217" s="1" t="s">
        <v>1667</v>
      </c>
      <c r="AH217" s="1" t="s">
        <v>1071</v>
      </c>
      <c r="AI217" s="1" t="s">
        <v>1072</v>
      </c>
      <c r="AJ217" s="1" t="s">
        <v>68</v>
      </c>
      <c r="AK217" s="1" t="s">
        <v>1073</v>
      </c>
      <c r="AL217" s="1" t="s">
        <v>1074</v>
      </c>
      <c r="AM217" s="1" t="s">
        <v>224</v>
      </c>
      <c r="AN217" s="1">
        <v>2022.0</v>
      </c>
      <c r="AO217" s="1">
        <v>128.0</v>
      </c>
      <c r="AP217" s="1" t="s">
        <v>68</v>
      </c>
      <c r="AQ217" s="1" t="s">
        <v>68</v>
      </c>
      <c r="AR217" s="1" t="s">
        <v>68</v>
      </c>
      <c r="AS217" s="1" t="s">
        <v>68</v>
      </c>
      <c r="AT217" s="1" t="s">
        <v>68</v>
      </c>
      <c r="AU217" s="1">
        <v>81.0</v>
      </c>
      <c r="AV217" s="1">
        <v>93.0</v>
      </c>
      <c r="AW217" s="1" t="s">
        <v>68</v>
      </c>
      <c r="AX217" s="1" t="s">
        <v>4767</v>
      </c>
      <c r="AY217" s="3" t="str">
        <f>HYPERLINK("http://dx.doi.org/10.1016/j.envsci.2021.10.034","http://dx.doi.org/10.1016/j.envsci.2021.10.034")</f>
        <v>http://dx.doi.org/10.1016/j.envsci.2021.10.034</v>
      </c>
      <c r="AZ217" s="1" t="s">
        <v>68</v>
      </c>
      <c r="BA217" s="1" t="s">
        <v>4768</v>
      </c>
      <c r="BB217" s="1">
        <v>13.0</v>
      </c>
      <c r="BC217" s="1" t="s">
        <v>484</v>
      </c>
      <c r="BD217" s="1" t="s">
        <v>92</v>
      </c>
      <c r="BE217" s="1" t="s">
        <v>333</v>
      </c>
      <c r="BF217" s="1" t="s">
        <v>4769</v>
      </c>
      <c r="BG217" s="1" t="s">
        <v>68</v>
      </c>
      <c r="BH217" s="1" t="s">
        <v>4770</v>
      </c>
      <c r="BI217" s="1" t="s">
        <v>68</v>
      </c>
      <c r="BJ217" s="1" t="s">
        <v>68</v>
      </c>
      <c r="BK217" s="1" t="s">
        <v>95</v>
      </c>
      <c r="BL217" s="1" t="s">
        <v>4771</v>
      </c>
      <c r="BM217" s="1" t="str">
        <f>HYPERLINK("https%3A%2F%2Fwww.webofscience.com%2Fwos%2Fwoscc%2Ffull-record%2FWOS:000723419400010","View Full Record in Web of Science")</f>
        <v>View Full Record in Web of Science</v>
      </c>
    </row>
    <row r="218" ht="12.75" customHeight="1">
      <c r="A218" s="1" t="s">
        <v>65</v>
      </c>
      <c r="B218" s="1" t="s">
        <v>4772</v>
      </c>
      <c r="C218" s="1" t="s">
        <v>4773</v>
      </c>
      <c r="D218" s="1" t="s">
        <v>68</v>
      </c>
      <c r="E218" s="1" t="s">
        <v>4774</v>
      </c>
      <c r="F218" s="1" t="s">
        <v>798</v>
      </c>
      <c r="G218" s="1" t="s">
        <v>68</v>
      </c>
      <c r="H218" s="1" t="s">
        <v>71</v>
      </c>
      <c r="I218" s="1" t="s">
        <v>72</v>
      </c>
      <c r="J218" s="1" t="s">
        <v>68</v>
      </c>
      <c r="K218" s="1" t="s">
        <v>68</v>
      </c>
      <c r="L218" s="1" t="s">
        <v>68</v>
      </c>
      <c r="M218" s="1" t="s">
        <v>68</v>
      </c>
      <c r="N218" s="1" t="s">
        <v>4775</v>
      </c>
      <c r="O218" s="1" t="s">
        <v>4776</v>
      </c>
      <c r="P218" s="1" t="s">
        <v>4777</v>
      </c>
      <c r="Q218" s="1" t="s">
        <v>4778</v>
      </c>
      <c r="R218" s="1" t="s">
        <v>4779</v>
      </c>
      <c r="S218" s="1" t="s">
        <v>4780</v>
      </c>
      <c r="T218" s="1" t="s">
        <v>756</v>
      </c>
      <c r="U218" s="1" t="s">
        <v>68</v>
      </c>
      <c r="V218" s="1" t="s">
        <v>4781</v>
      </c>
      <c r="W218" s="1" t="s">
        <v>68</v>
      </c>
      <c r="X218" s="1" t="s">
        <v>68</v>
      </c>
      <c r="Y218" s="1" t="s">
        <v>68</v>
      </c>
      <c r="Z218" s="1">
        <v>64.0</v>
      </c>
      <c r="AA218" s="1">
        <v>69.0</v>
      </c>
      <c r="AB218" s="1">
        <v>81.0</v>
      </c>
      <c r="AC218" s="1">
        <v>2.0</v>
      </c>
      <c r="AD218" s="1">
        <v>80.0</v>
      </c>
      <c r="AE218" s="1" t="s">
        <v>811</v>
      </c>
      <c r="AF218" s="1" t="s">
        <v>1666</v>
      </c>
      <c r="AG218" s="1" t="s">
        <v>1667</v>
      </c>
      <c r="AH218" s="1" t="s">
        <v>813</v>
      </c>
      <c r="AI218" s="1" t="s">
        <v>814</v>
      </c>
      <c r="AJ218" s="1" t="s">
        <v>68</v>
      </c>
      <c r="AK218" s="1" t="s">
        <v>815</v>
      </c>
      <c r="AL218" s="1" t="s">
        <v>816</v>
      </c>
      <c r="AM218" s="1" t="s">
        <v>1264</v>
      </c>
      <c r="AN218" s="1">
        <v>2020.0</v>
      </c>
      <c r="AO218" s="1">
        <v>251.0</v>
      </c>
      <c r="AP218" s="1" t="s">
        <v>68</v>
      </c>
      <c r="AQ218" s="1" t="s">
        <v>68</v>
      </c>
      <c r="AR218" s="1" t="s">
        <v>68</v>
      </c>
      <c r="AS218" s="1" t="s">
        <v>68</v>
      </c>
      <c r="AT218" s="1" t="s">
        <v>68</v>
      </c>
      <c r="AU218" s="1" t="s">
        <v>68</v>
      </c>
      <c r="AV218" s="1" t="s">
        <v>68</v>
      </c>
      <c r="AW218" s="1">
        <v>108753.0</v>
      </c>
      <c r="AX218" s="1" t="s">
        <v>4782</v>
      </c>
      <c r="AY218" s="3" t="str">
        <f>HYPERLINK("http://dx.doi.org/10.1016/j.biocon.2020.108753","http://dx.doi.org/10.1016/j.biocon.2020.108753")</f>
        <v>http://dx.doi.org/10.1016/j.biocon.2020.108753</v>
      </c>
      <c r="AZ218" s="1" t="s">
        <v>68</v>
      </c>
      <c r="BA218" s="1" t="s">
        <v>68</v>
      </c>
      <c r="BB218" s="1">
        <v>11.0</v>
      </c>
      <c r="BC218" s="1" t="s">
        <v>122</v>
      </c>
      <c r="BD218" s="1" t="s">
        <v>92</v>
      </c>
      <c r="BE218" s="1" t="s">
        <v>123</v>
      </c>
      <c r="BF218" s="1" t="s">
        <v>4783</v>
      </c>
      <c r="BG218" s="1" t="s">
        <v>68</v>
      </c>
      <c r="BH218" s="1" t="s">
        <v>867</v>
      </c>
      <c r="BI218" s="1" t="s">
        <v>68</v>
      </c>
      <c r="BJ218" s="1" t="s">
        <v>68</v>
      </c>
      <c r="BK218" s="1" t="s">
        <v>95</v>
      </c>
      <c r="BL218" s="1" t="s">
        <v>4784</v>
      </c>
      <c r="BM218" s="1" t="str">
        <f>HYPERLINK("https%3A%2F%2Fwww.webofscience.com%2Fwos%2Fwoscc%2Ffull-record%2FWOS:000587339000005","View Full Record in Web of Science")</f>
        <v>View Full Record in Web of Science</v>
      </c>
    </row>
    <row r="219" ht="12.75" customHeight="1">
      <c r="A219" s="1" t="s">
        <v>65</v>
      </c>
      <c r="B219" s="1" t="s">
        <v>4785</v>
      </c>
      <c r="C219" s="1" t="s">
        <v>4786</v>
      </c>
      <c r="D219" s="1" t="s">
        <v>68</v>
      </c>
      <c r="E219" s="1" t="s">
        <v>4787</v>
      </c>
      <c r="F219" s="1" t="s">
        <v>4788</v>
      </c>
      <c r="G219" s="1" t="s">
        <v>68</v>
      </c>
      <c r="H219" s="1" t="s">
        <v>71</v>
      </c>
      <c r="I219" s="1" t="s">
        <v>72</v>
      </c>
      <c r="J219" s="1" t="s">
        <v>68</v>
      </c>
      <c r="K219" s="1" t="s">
        <v>68</v>
      </c>
      <c r="L219" s="1" t="s">
        <v>68</v>
      </c>
      <c r="M219" s="1" t="s">
        <v>68</v>
      </c>
      <c r="N219" s="1" t="s">
        <v>4789</v>
      </c>
      <c r="O219" s="1" t="s">
        <v>4790</v>
      </c>
      <c r="P219" s="1" t="s">
        <v>4791</v>
      </c>
      <c r="Q219" s="1" t="s">
        <v>4792</v>
      </c>
      <c r="R219" s="1" t="s">
        <v>4793</v>
      </c>
      <c r="S219" s="1" t="s">
        <v>4794</v>
      </c>
      <c r="T219" s="1" t="s">
        <v>4795</v>
      </c>
      <c r="U219" s="1" t="s">
        <v>68</v>
      </c>
      <c r="V219" s="1" t="s">
        <v>4796</v>
      </c>
      <c r="W219" s="1" t="s">
        <v>4797</v>
      </c>
      <c r="X219" s="1" t="s">
        <v>4798</v>
      </c>
      <c r="Y219" s="1" t="s">
        <v>4799</v>
      </c>
      <c r="Z219" s="1">
        <v>95.0</v>
      </c>
      <c r="AA219" s="1">
        <v>28.0</v>
      </c>
      <c r="AB219" s="1">
        <v>31.0</v>
      </c>
      <c r="AC219" s="1">
        <v>0.0</v>
      </c>
      <c r="AD219" s="1">
        <v>56.0</v>
      </c>
      <c r="AE219" s="1" t="s">
        <v>1181</v>
      </c>
      <c r="AF219" s="1" t="s">
        <v>1182</v>
      </c>
      <c r="AG219" s="1" t="s">
        <v>1183</v>
      </c>
      <c r="AH219" s="1" t="s">
        <v>4800</v>
      </c>
      <c r="AI219" s="1" t="s">
        <v>4801</v>
      </c>
      <c r="AJ219" s="1" t="s">
        <v>68</v>
      </c>
      <c r="AK219" s="1" t="s">
        <v>4802</v>
      </c>
      <c r="AL219" s="1" t="s">
        <v>4803</v>
      </c>
      <c r="AM219" s="1" t="s">
        <v>428</v>
      </c>
      <c r="AN219" s="1">
        <v>2018.0</v>
      </c>
      <c r="AO219" s="1">
        <v>206.0</v>
      </c>
      <c r="AP219" s="1" t="s">
        <v>68</v>
      </c>
      <c r="AQ219" s="1" t="s">
        <v>68</v>
      </c>
      <c r="AR219" s="1" t="s">
        <v>68</v>
      </c>
      <c r="AS219" s="1" t="s">
        <v>68</v>
      </c>
      <c r="AT219" s="1" t="s">
        <v>68</v>
      </c>
      <c r="AU219" s="1">
        <v>296.0</v>
      </c>
      <c r="AV219" s="1">
        <v>308.0</v>
      </c>
      <c r="AW219" s="1" t="s">
        <v>68</v>
      </c>
      <c r="AX219" s="1" t="s">
        <v>4804</v>
      </c>
      <c r="AY219" s="3" t="str">
        <f>HYPERLINK("http://dx.doi.org/10.1016/j.fishres.2018.05.006","http://dx.doi.org/10.1016/j.fishres.2018.05.006")</f>
        <v>http://dx.doi.org/10.1016/j.fishres.2018.05.006</v>
      </c>
      <c r="AZ219" s="1" t="s">
        <v>68</v>
      </c>
      <c r="BA219" s="1" t="s">
        <v>68</v>
      </c>
      <c r="BB219" s="1">
        <v>13.0</v>
      </c>
      <c r="BC219" s="1" t="s">
        <v>4805</v>
      </c>
      <c r="BD219" s="1" t="s">
        <v>92</v>
      </c>
      <c r="BE219" s="1" t="s">
        <v>4805</v>
      </c>
      <c r="BF219" s="1" t="s">
        <v>4806</v>
      </c>
      <c r="BG219" s="1" t="s">
        <v>68</v>
      </c>
      <c r="BH219" s="1" t="s">
        <v>68</v>
      </c>
      <c r="BI219" s="1" t="s">
        <v>68</v>
      </c>
      <c r="BJ219" s="1" t="s">
        <v>68</v>
      </c>
      <c r="BK219" s="1" t="s">
        <v>95</v>
      </c>
      <c r="BL219" s="1" t="s">
        <v>4807</v>
      </c>
      <c r="BM219" s="1" t="str">
        <f>HYPERLINK("https%3A%2F%2Fwww.webofscience.com%2Fwos%2Fwoscc%2Ffull-record%2FWOS:000438005100029","View Full Record in Web of Science")</f>
        <v>View Full Record in Web of Science</v>
      </c>
    </row>
    <row r="220" ht="12.75" customHeight="1">
      <c r="A220" s="1" t="s">
        <v>65</v>
      </c>
      <c r="B220" s="1" t="s">
        <v>4808</v>
      </c>
      <c r="C220" s="1" t="s">
        <v>4809</v>
      </c>
      <c r="D220" s="1" t="s">
        <v>68</v>
      </c>
      <c r="E220" s="1" t="s">
        <v>4810</v>
      </c>
      <c r="F220" s="1" t="s">
        <v>4811</v>
      </c>
      <c r="G220" s="1" t="s">
        <v>68</v>
      </c>
      <c r="H220" s="1" t="s">
        <v>71</v>
      </c>
      <c r="I220" s="1" t="s">
        <v>101</v>
      </c>
      <c r="J220" s="1" t="s">
        <v>68</v>
      </c>
      <c r="K220" s="1" t="s">
        <v>68</v>
      </c>
      <c r="L220" s="1" t="s">
        <v>68</v>
      </c>
      <c r="M220" s="1" t="s">
        <v>68</v>
      </c>
      <c r="N220" s="1" t="s">
        <v>4812</v>
      </c>
      <c r="O220" s="1" t="s">
        <v>4813</v>
      </c>
      <c r="P220" s="1" t="s">
        <v>4814</v>
      </c>
      <c r="Q220" s="1" t="s">
        <v>4815</v>
      </c>
      <c r="R220" s="1" t="s">
        <v>4816</v>
      </c>
      <c r="S220" s="1" t="s">
        <v>4817</v>
      </c>
      <c r="T220" s="1" t="s">
        <v>4818</v>
      </c>
      <c r="U220" s="1" t="s">
        <v>4819</v>
      </c>
      <c r="V220" s="1" t="s">
        <v>4820</v>
      </c>
      <c r="W220" s="1" t="s">
        <v>4821</v>
      </c>
      <c r="X220" s="1" t="s">
        <v>4822</v>
      </c>
      <c r="Y220" s="1" t="s">
        <v>4823</v>
      </c>
      <c r="Z220" s="1">
        <v>68.0</v>
      </c>
      <c r="AA220" s="1">
        <v>8.0</v>
      </c>
      <c r="AB220" s="1">
        <v>8.0</v>
      </c>
      <c r="AC220" s="1">
        <v>8.0</v>
      </c>
      <c r="AD220" s="1">
        <v>31.0</v>
      </c>
      <c r="AE220" s="1" t="s">
        <v>114</v>
      </c>
      <c r="AF220" s="1" t="s">
        <v>1505</v>
      </c>
      <c r="AG220" s="1" t="s">
        <v>1506</v>
      </c>
      <c r="AH220" s="1" t="s">
        <v>4824</v>
      </c>
      <c r="AI220" s="1" t="s">
        <v>4825</v>
      </c>
      <c r="AJ220" s="1" t="s">
        <v>68</v>
      </c>
      <c r="AK220" s="1" t="s">
        <v>4811</v>
      </c>
      <c r="AL220" s="1" t="s">
        <v>4826</v>
      </c>
      <c r="AM220" s="1" t="s">
        <v>224</v>
      </c>
      <c r="AN220" s="1">
        <v>2024.0</v>
      </c>
      <c r="AO220" s="1">
        <v>53.0</v>
      </c>
      <c r="AP220" s="1">
        <v>2.0</v>
      </c>
      <c r="AQ220" s="1" t="s">
        <v>68</v>
      </c>
      <c r="AR220" s="1" t="s">
        <v>68</v>
      </c>
      <c r="AS220" s="1" t="s">
        <v>68</v>
      </c>
      <c r="AT220" s="1" t="s">
        <v>68</v>
      </c>
      <c r="AU220" s="1">
        <v>257.0</v>
      </c>
      <c r="AV220" s="1">
        <v>275.0</v>
      </c>
      <c r="AW220" s="1" t="s">
        <v>68</v>
      </c>
      <c r="AX220" s="1" t="s">
        <v>4827</v>
      </c>
      <c r="AY220" s="3" t="str">
        <f>HYPERLINK("http://dx.doi.org/10.1007/s13280-023-01929-x","http://dx.doi.org/10.1007/s13280-023-01929-x")</f>
        <v>http://dx.doi.org/10.1007/s13280-023-01929-x</v>
      </c>
      <c r="AZ220" s="1" t="s">
        <v>68</v>
      </c>
      <c r="BA220" s="1" t="s">
        <v>1889</v>
      </c>
      <c r="BB220" s="1">
        <v>19.0</v>
      </c>
      <c r="BC220" s="1" t="s">
        <v>3986</v>
      </c>
      <c r="BD220" s="1" t="s">
        <v>92</v>
      </c>
      <c r="BE220" s="1" t="s">
        <v>3987</v>
      </c>
      <c r="BF220" s="1" t="s">
        <v>4828</v>
      </c>
      <c r="BG220" s="1">
        <v>3.7973702E7</v>
      </c>
      <c r="BH220" s="1" t="s">
        <v>644</v>
      </c>
      <c r="BI220" s="1" t="s">
        <v>68</v>
      </c>
      <c r="BJ220" s="1" t="s">
        <v>68</v>
      </c>
      <c r="BK220" s="1" t="s">
        <v>95</v>
      </c>
      <c r="BL220" s="1" t="s">
        <v>4829</v>
      </c>
      <c r="BM220" s="1" t="str">
        <f>HYPERLINK("https%3A%2F%2Fwww.webofscience.com%2Fwos%2Fwoscc%2Ffull-record%2FWOS:001101389700003","View Full Record in Web of Science")</f>
        <v>View Full Record in Web of Science</v>
      </c>
    </row>
    <row r="221" ht="12.75" customHeight="1">
      <c r="A221" s="1" t="s">
        <v>65</v>
      </c>
      <c r="B221" s="1" t="s">
        <v>4830</v>
      </c>
      <c r="C221" s="1" t="s">
        <v>4831</v>
      </c>
      <c r="D221" s="1" t="s">
        <v>68</v>
      </c>
      <c r="E221" s="1" t="s">
        <v>4832</v>
      </c>
      <c r="F221" s="1" t="s">
        <v>467</v>
      </c>
      <c r="G221" s="1" t="s">
        <v>68</v>
      </c>
      <c r="H221" s="1" t="s">
        <v>71</v>
      </c>
      <c r="I221" s="1" t="s">
        <v>72</v>
      </c>
      <c r="J221" s="1" t="s">
        <v>68</v>
      </c>
      <c r="K221" s="1" t="s">
        <v>68</v>
      </c>
      <c r="L221" s="1" t="s">
        <v>68</v>
      </c>
      <c r="M221" s="1" t="s">
        <v>68</v>
      </c>
      <c r="N221" s="1" t="s">
        <v>4833</v>
      </c>
      <c r="O221" s="1" t="s">
        <v>4834</v>
      </c>
      <c r="P221" s="1" t="s">
        <v>4835</v>
      </c>
      <c r="Q221" s="1" t="s">
        <v>4836</v>
      </c>
      <c r="R221" s="1" t="s">
        <v>4837</v>
      </c>
      <c r="S221" s="1" t="s">
        <v>4838</v>
      </c>
      <c r="T221" s="1" t="s">
        <v>4839</v>
      </c>
      <c r="U221" s="1" t="s">
        <v>4840</v>
      </c>
      <c r="V221" s="1" t="s">
        <v>4841</v>
      </c>
      <c r="W221" s="1" t="s">
        <v>68</v>
      </c>
      <c r="X221" s="1" t="s">
        <v>68</v>
      </c>
      <c r="Y221" s="1" t="s">
        <v>68</v>
      </c>
      <c r="Z221" s="1">
        <v>58.0</v>
      </c>
      <c r="AA221" s="1">
        <v>36.0</v>
      </c>
      <c r="AB221" s="1">
        <v>38.0</v>
      </c>
      <c r="AC221" s="1">
        <v>2.0</v>
      </c>
      <c r="AD221" s="1">
        <v>23.0</v>
      </c>
      <c r="AE221" s="1" t="s">
        <v>83</v>
      </c>
      <c r="AF221" s="1" t="s">
        <v>84</v>
      </c>
      <c r="AG221" s="1" t="s">
        <v>85</v>
      </c>
      <c r="AH221" s="1" t="s">
        <v>68</v>
      </c>
      <c r="AI221" s="1" t="s">
        <v>479</v>
      </c>
      <c r="AJ221" s="1" t="s">
        <v>68</v>
      </c>
      <c r="AK221" s="1" t="s">
        <v>480</v>
      </c>
      <c r="AL221" s="1" t="s">
        <v>481</v>
      </c>
      <c r="AM221" s="1" t="s">
        <v>4842</v>
      </c>
      <c r="AN221" s="1">
        <v>2021.0</v>
      </c>
      <c r="AO221" s="1">
        <v>9.0</v>
      </c>
      <c r="AP221" s="1" t="s">
        <v>68</v>
      </c>
      <c r="AQ221" s="1" t="s">
        <v>68</v>
      </c>
      <c r="AR221" s="1" t="s">
        <v>68</v>
      </c>
      <c r="AS221" s="1" t="s">
        <v>68</v>
      </c>
      <c r="AT221" s="1" t="s">
        <v>68</v>
      </c>
      <c r="AU221" s="1" t="s">
        <v>68</v>
      </c>
      <c r="AV221" s="1" t="s">
        <v>68</v>
      </c>
      <c r="AW221" s="1">
        <v>752705.0</v>
      </c>
      <c r="AX221" s="1" t="s">
        <v>4843</v>
      </c>
      <c r="AY221" s="3" t="str">
        <f>HYPERLINK("http://dx.doi.org/10.3389/fenvs.2021.752705","http://dx.doi.org/10.3389/fenvs.2021.752705")</f>
        <v>http://dx.doi.org/10.3389/fenvs.2021.752705</v>
      </c>
      <c r="AZ221" s="1" t="s">
        <v>68</v>
      </c>
      <c r="BA221" s="1" t="s">
        <v>68</v>
      </c>
      <c r="BB221" s="1">
        <v>13.0</v>
      </c>
      <c r="BC221" s="1" t="s">
        <v>484</v>
      </c>
      <c r="BD221" s="1" t="s">
        <v>92</v>
      </c>
      <c r="BE221" s="1" t="s">
        <v>333</v>
      </c>
      <c r="BF221" s="1" t="s">
        <v>4844</v>
      </c>
      <c r="BG221" s="1" t="s">
        <v>68</v>
      </c>
      <c r="BH221" s="1" t="s">
        <v>94</v>
      </c>
      <c r="BI221" s="1" t="s">
        <v>68</v>
      </c>
      <c r="BJ221" s="1" t="s">
        <v>68</v>
      </c>
      <c r="BK221" s="1" t="s">
        <v>95</v>
      </c>
      <c r="BL221" s="1" t="s">
        <v>4845</v>
      </c>
      <c r="BM221" s="1" t="str">
        <f>HYPERLINK("https%3A%2F%2Fwww.webofscience.com%2Fwos%2Fwoscc%2Ffull-record%2FWOS:000719858300001","View Full Record in Web of Science")</f>
        <v>View Full Record in Web of Science</v>
      </c>
    </row>
    <row r="222" ht="12.75" customHeight="1">
      <c r="A222" s="1" t="s">
        <v>65</v>
      </c>
      <c r="B222" s="1" t="s">
        <v>4846</v>
      </c>
      <c r="C222" s="1" t="s">
        <v>4847</v>
      </c>
      <c r="D222" s="1" t="s">
        <v>68</v>
      </c>
      <c r="E222" s="1" t="s">
        <v>4848</v>
      </c>
      <c r="F222" s="1" t="s">
        <v>4849</v>
      </c>
      <c r="G222" s="1" t="s">
        <v>68</v>
      </c>
      <c r="H222" s="1" t="s">
        <v>71</v>
      </c>
      <c r="I222" s="1" t="s">
        <v>72</v>
      </c>
      <c r="J222" s="1" t="s">
        <v>68</v>
      </c>
      <c r="K222" s="1" t="s">
        <v>68</v>
      </c>
      <c r="L222" s="1" t="s">
        <v>68</v>
      </c>
      <c r="M222" s="1" t="s">
        <v>68</v>
      </c>
      <c r="N222" s="1" t="s">
        <v>4850</v>
      </c>
      <c r="O222" s="1" t="s">
        <v>4851</v>
      </c>
      <c r="P222" s="1" t="s">
        <v>4852</v>
      </c>
      <c r="Q222" s="1" t="s">
        <v>4853</v>
      </c>
      <c r="R222" s="1" t="s">
        <v>4854</v>
      </c>
      <c r="S222" s="1" t="s">
        <v>4855</v>
      </c>
      <c r="T222" s="1" t="s">
        <v>68</v>
      </c>
      <c r="U222" s="1" t="s">
        <v>68</v>
      </c>
      <c r="V222" s="1" t="s">
        <v>68</v>
      </c>
      <c r="W222" s="1" t="s">
        <v>4856</v>
      </c>
      <c r="X222" s="1" t="s">
        <v>4856</v>
      </c>
      <c r="Y222" s="1" t="s">
        <v>4857</v>
      </c>
      <c r="Z222" s="1">
        <v>41.0</v>
      </c>
      <c r="AA222" s="1">
        <v>51.0</v>
      </c>
      <c r="AB222" s="1">
        <v>59.0</v>
      </c>
      <c r="AC222" s="1">
        <v>0.0</v>
      </c>
      <c r="AD222" s="1">
        <v>132.0</v>
      </c>
      <c r="AE222" s="1" t="s">
        <v>4858</v>
      </c>
      <c r="AF222" s="1" t="s">
        <v>4859</v>
      </c>
      <c r="AG222" s="1" t="s">
        <v>4860</v>
      </c>
      <c r="AH222" s="1" t="s">
        <v>4861</v>
      </c>
      <c r="AI222" s="1" t="s">
        <v>68</v>
      </c>
      <c r="AJ222" s="1" t="s">
        <v>68</v>
      </c>
      <c r="AK222" s="1" t="s">
        <v>4862</v>
      </c>
      <c r="AL222" s="1" t="s">
        <v>4863</v>
      </c>
      <c r="AM222" s="1" t="s">
        <v>120</v>
      </c>
      <c r="AN222" s="1">
        <v>2010.0</v>
      </c>
      <c r="AO222" s="1">
        <v>5.0</v>
      </c>
      <c r="AP222" s="1">
        <v>2.0</v>
      </c>
      <c r="AQ222" s="1" t="s">
        <v>68</v>
      </c>
      <c r="AR222" s="1" t="s">
        <v>68</v>
      </c>
      <c r="AS222" s="1" t="s">
        <v>68</v>
      </c>
      <c r="AT222" s="1" t="s">
        <v>68</v>
      </c>
      <c r="AU222" s="1" t="s">
        <v>68</v>
      </c>
      <c r="AV222" s="1" t="s">
        <v>68</v>
      </c>
      <c r="AW222" s="1">
        <v>13.0</v>
      </c>
      <c r="AX222" s="1" t="s">
        <v>68</v>
      </c>
      <c r="AY222" s="1" t="s">
        <v>68</v>
      </c>
      <c r="AZ222" s="1" t="s">
        <v>68</v>
      </c>
      <c r="BA222" s="1" t="s">
        <v>68</v>
      </c>
      <c r="BB222" s="1">
        <v>9.0</v>
      </c>
      <c r="BC222" s="1" t="s">
        <v>4864</v>
      </c>
      <c r="BD222" s="1" t="s">
        <v>279</v>
      </c>
      <c r="BE222" s="1" t="s">
        <v>4865</v>
      </c>
      <c r="BF222" s="1" t="s">
        <v>4866</v>
      </c>
      <c r="BG222" s="1" t="s">
        <v>68</v>
      </c>
      <c r="BH222" s="1" t="s">
        <v>68</v>
      </c>
      <c r="BI222" s="1" t="s">
        <v>68</v>
      </c>
      <c r="BJ222" s="1" t="s">
        <v>68</v>
      </c>
      <c r="BK222" s="1" t="s">
        <v>95</v>
      </c>
      <c r="BL222" s="1" t="s">
        <v>4867</v>
      </c>
      <c r="BM222" s="1" t="str">
        <f>HYPERLINK("https%3A%2F%2Fwww.webofscience.com%2Fwos%2Fwoscc%2Ffull-record%2FWOS:000295459500014","View Full Record in Web of Science")</f>
        <v>View Full Record in Web of Science</v>
      </c>
    </row>
    <row r="223" ht="12.75" customHeight="1">
      <c r="A223" s="1" t="s">
        <v>65</v>
      </c>
      <c r="B223" s="1" t="s">
        <v>4868</v>
      </c>
      <c r="C223" s="1" t="s">
        <v>4869</v>
      </c>
      <c r="D223" s="1" t="s">
        <v>68</v>
      </c>
      <c r="E223" s="1" t="s">
        <v>4870</v>
      </c>
      <c r="F223" s="1" t="s">
        <v>4871</v>
      </c>
      <c r="G223" s="1" t="s">
        <v>68</v>
      </c>
      <c r="H223" s="1" t="s">
        <v>71</v>
      </c>
      <c r="I223" s="1" t="s">
        <v>1609</v>
      </c>
      <c r="J223" s="1" t="s">
        <v>68</v>
      </c>
      <c r="K223" s="1" t="s">
        <v>68</v>
      </c>
      <c r="L223" s="1" t="s">
        <v>68</v>
      </c>
      <c r="M223" s="1" t="s">
        <v>68</v>
      </c>
      <c r="N223" s="1" t="s">
        <v>4872</v>
      </c>
      <c r="O223" s="1" t="s">
        <v>4873</v>
      </c>
      <c r="P223" s="1" t="s">
        <v>4874</v>
      </c>
      <c r="Q223" s="1" t="s">
        <v>4875</v>
      </c>
      <c r="R223" s="1" t="s">
        <v>4876</v>
      </c>
      <c r="S223" s="1" t="s">
        <v>4877</v>
      </c>
      <c r="T223" s="1" t="s">
        <v>4878</v>
      </c>
      <c r="U223" s="1" t="s">
        <v>68</v>
      </c>
      <c r="V223" s="1" t="s">
        <v>68</v>
      </c>
      <c r="W223" s="1" t="s">
        <v>4879</v>
      </c>
      <c r="X223" s="1" t="s">
        <v>4880</v>
      </c>
      <c r="Y223" s="1" t="s">
        <v>4881</v>
      </c>
      <c r="Z223" s="1">
        <v>37.0</v>
      </c>
      <c r="AA223" s="1">
        <v>0.0</v>
      </c>
      <c r="AB223" s="1">
        <v>0.0</v>
      </c>
      <c r="AC223" s="1">
        <v>1.0</v>
      </c>
      <c r="AD223" s="1">
        <v>1.0</v>
      </c>
      <c r="AE223" s="1" t="s">
        <v>503</v>
      </c>
      <c r="AF223" s="1" t="s">
        <v>504</v>
      </c>
      <c r="AG223" s="1" t="s">
        <v>4882</v>
      </c>
      <c r="AH223" s="1" t="s">
        <v>68</v>
      </c>
      <c r="AI223" s="1" t="s">
        <v>4883</v>
      </c>
      <c r="AJ223" s="1" t="s">
        <v>68</v>
      </c>
      <c r="AK223" s="1" t="s">
        <v>4884</v>
      </c>
      <c r="AL223" s="1" t="s">
        <v>4885</v>
      </c>
      <c r="AM223" s="1" t="s">
        <v>4886</v>
      </c>
      <c r="AN223" s="1">
        <v>2026.0</v>
      </c>
      <c r="AO223" s="1" t="s">
        <v>68</v>
      </c>
      <c r="AP223" s="1" t="s">
        <v>68</v>
      </c>
      <c r="AQ223" s="1" t="s">
        <v>68</v>
      </c>
      <c r="AR223" s="1" t="s">
        <v>68</v>
      </c>
      <c r="AS223" s="1" t="s">
        <v>68</v>
      </c>
      <c r="AT223" s="1" t="s">
        <v>68</v>
      </c>
      <c r="AU223" s="1" t="s">
        <v>68</v>
      </c>
      <c r="AV223" s="1" t="s">
        <v>68</v>
      </c>
      <c r="AW223" s="1" t="s">
        <v>68</v>
      </c>
      <c r="AX223" s="1" t="s">
        <v>4887</v>
      </c>
      <c r="AY223" s="3" t="str">
        <f>HYPERLINK("http://dx.doi.org/10.1002/rse2.70055","http://dx.doi.org/10.1002/rse2.70055")</f>
        <v>http://dx.doi.org/10.1002/rse2.70055</v>
      </c>
      <c r="AZ223" s="1" t="s">
        <v>68</v>
      </c>
      <c r="BA223" s="1" t="s">
        <v>4888</v>
      </c>
      <c r="BB223" s="1">
        <v>15.0</v>
      </c>
      <c r="BC223" s="1" t="s">
        <v>4889</v>
      </c>
      <c r="BD223" s="1" t="s">
        <v>92</v>
      </c>
      <c r="BE223" s="1" t="s">
        <v>4890</v>
      </c>
      <c r="BF223" s="1" t="s">
        <v>4891</v>
      </c>
      <c r="BG223" s="1" t="s">
        <v>68</v>
      </c>
      <c r="BH223" s="1" t="s">
        <v>462</v>
      </c>
      <c r="BI223" s="1" t="s">
        <v>68</v>
      </c>
      <c r="BJ223" s="1" t="s">
        <v>68</v>
      </c>
      <c r="BK223" s="1" t="s">
        <v>95</v>
      </c>
      <c r="BL223" s="1" t="s">
        <v>4892</v>
      </c>
      <c r="BM223" s="1" t="str">
        <f>HYPERLINK("https%3A%2F%2Fwww.webofscience.com%2Fwos%2Fwoscc%2Ffull-record%2FWOS:001680382300001","View Full Record in Web of Science")</f>
        <v>View Full Record in Web of Science</v>
      </c>
    </row>
    <row r="224" ht="12.75" customHeight="1">
      <c r="A224" s="1" t="s">
        <v>65</v>
      </c>
      <c r="B224" s="1" t="s">
        <v>4893</v>
      </c>
      <c r="C224" s="1" t="s">
        <v>4894</v>
      </c>
      <c r="D224" s="1" t="s">
        <v>68</v>
      </c>
      <c r="E224" s="1" t="s">
        <v>4895</v>
      </c>
      <c r="F224" s="1" t="s">
        <v>4896</v>
      </c>
      <c r="G224" s="1" t="s">
        <v>68</v>
      </c>
      <c r="H224" s="1" t="s">
        <v>71</v>
      </c>
      <c r="I224" s="1" t="s">
        <v>72</v>
      </c>
      <c r="J224" s="1" t="s">
        <v>68</v>
      </c>
      <c r="K224" s="1" t="s">
        <v>68</v>
      </c>
      <c r="L224" s="1" t="s">
        <v>68</v>
      </c>
      <c r="M224" s="1" t="s">
        <v>68</v>
      </c>
      <c r="N224" s="1" t="s">
        <v>4897</v>
      </c>
      <c r="O224" s="1" t="s">
        <v>4898</v>
      </c>
      <c r="P224" s="1" t="s">
        <v>4899</v>
      </c>
      <c r="Q224" s="1" t="s">
        <v>4900</v>
      </c>
      <c r="R224" s="1" t="s">
        <v>4901</v>
      </c>
      <c r="S224" s="1" t="s">
        <v>4902</v>
      </c>
      <c r="T224" s="1" t="s">
        <v>4903</v>
      </c>
      <c r="U224" s="1" t="s">
        <v>4904</v>
      </c>
      <c r="V224" s="1" t="s">
        <v>4905</v>
      </c>
      <c r="W224" s="1" t="s">
        <v>4906</v>
      </c>
      <c r="X224" s="1" t="s">
        <v>4907</v>
      </c>
      <c r="Y224" s="1" t="s">
        <v>4908</v>
      </c>
      <c r="Z224" s="1">
        <v>46.0</v>
      </c>
      <c r="AA224" s="1">
        <v>10.0</v>
      </c>
      <c r="AB224" s="1">
        <v>10.0</v>
      </c>
      <c r="AC224" s="1">
        <v>1.0</v>
      </c>
      <c r="AD224" s="1">
        <v>8.0</v>
      </c>
      <c r="AE224" s="1" t="s">
        <v>503</v>
      </c>
      <c r="AF224" s="1" t="s">
        <v>504</v>
      </c>
      <c r="AG224" s="1" t="s">
        <v>505</v>
      </c>
      <c r="AH224" s="1" t="s">
        <v>4909</v>
      </c>
      <c r="AI224" s="1" t="s">
        <v>4910</v>
      </c>
      <c r="AJ224" s="1" t="s">
        <v>68</v>
      </c>
      <c r="AK224" s="1" t="s">
        <v>4911</v>
      </c>
      <c r="AL224" s="1" t="s">
        <v>4912</v>
      </c>
      <c r="AM224" s="1" t="s">
        <v>1789</v>
      </c>
      <c r="AN224" s="1">
        <v>2022.0</v>
      </c>
      <c r="AO224" s="1">
        <v>33.0</v>
      </c>
      <c r="AP224" s="1">
        <v>1.0</v>
      </c>
      <c r="AQ224" s="1" t="s">
        <v>68</v>
      </c>
      <c r="AR224" s="1" t="s">
        <v>68</v>
      </c>
      <c r="AS224" s="1" t="s">
        <v>68</v>
      </c>
      <c r="AT224" s="1" t="s">
        <v>68</v>
      </c>
      <c r="AU224" s="1">
        <v>151.0</v>
      </c>
      <c r="AV224" s="1">
        <v>161.0</v>
      </c>
      <c r="AW224" s="1" t="s">
        <v>68</v>
      </c>
      <c r="AX224" s="1" t="s">
        <v>4913</v>
      </c>
      <c r="AY224" s="3" t="str">
        <f>HYPERLINK("http://dx.doi.org/10.1002/hpja.476","http://dx.doi.org/10.1002/hpja.476")</f>
        <v>http://dx.doi.org/10.1002/hpja.476</v>
      </c>
      <c r="AZ224" s="1" t="s">
        <v>68</v>
      </c>
      <c r="BA224" s="1" t="s">
        <v>2555</v>
      </c>
      <c r="BB224" s="1">
        <v>11.0</v>
      </c>
      <c r="BC224" s="1" t="s">
        <v>3647</v>
      </c>
      <c r="BD224" s="1" t="s">
        <v>1438</v>
      </c>
      <c r="BE224" s="1" t="s">
        <v>3647</v>
      </c>
      <c r="BF224" s="1" t="s">
        <v>4914</v>
      </c>
      <c r="BG224" s="1">
        <v>3.3690925E7</v>
      </c>
      <c r="BH224" s="1" t="s">
        <v>68</v>
      </c>
      <c r="BI224" s="1" t="s">
        <v>68</v>
      </c>
      <c r="BJ224" s="1" t="s">
        <v>68</v>
      </c>
      <c r="BK224" s="1" t="s">
        <v>95</v>
      </c>
      <c r="BL224" s="1" t="s">
        <v>4915</v>
      </c>
      <c r="BM224" s="1" t="str">
        <f>HYPERLINK("https%3A%2F%2Fwww.webofscience.com%2Fwos%2Fwoscc%2Ffull-record%2FWOS:000632438500001","View Full Record in Web of Science")</f>
        <v>View Full Record in Web of Science</v>
      </c>
    </row>
    <row r="225" ht="12.75" customHeight="1">
      <c r="A225" s="1" t="s">
        <v>65</v>
      </c>
      <c r="B225" s="1" t="s">
        <v>4916</v>
      </c>
      <c r="C225" s="1" t="s">
        <v>4917</v>
      </c>
      <c r="D225" s="1" t="s">
        <v>68</v>
      </c>
      <c r="E225" s="1" t="s">
        <v>4918</v>
      </c>
      <c r="F225" s="1" t="s">
        <v>4871</v>
      </c>
      <c r="G225" s="1" t="s">
        <v>68</v>
      </c>
      <c r="H225" s="1" t="s">
        <v>71</v>
      </c>
      <c r="I225" s="1" t="s">
        <v>72</v>
      </c>
      <c r="J225" s="1" t="s">
        <v>68</v>
      </c>
      <c r="K225" s="1" t="s">
        <v>68</v>
      </c>
      <c r="L225" s="1" t="s">
        <v>68</v>
      </c>
      <c r="M225" s="1" t="s">
        <v>68</v>
      </c>
      <c r="N225" s="1" t="s">
        <v>4919</v>
      </c>
      <c r="O225" s="1" t="s">
        <v>4920</v>
      </c>
      <c r="P225" s="1" t="s">
        <v>4921</v>
      </c>
      <c r="Q225" s="1" t="s">
        <v>4922</v>
      </c>
      <c r="R225" s="1" t="s">
        <v>4923</v>
      </c>
      <c r="S225" s="1" t="s">
        <v>4924</v>
      </c>
      <c r="T225" s="1" t="s">
        <v>4925</v>
      </c>
      <c r="U225" s="1" t="s">
        <v>4926</v>
      </c>
      <c r="V225" s="1" t="s">
        <v>4927</v>
      </c>
      <c r="W225" s="1" t="s">
        <v>4928</v>
      </c>
      <c r="X225" s="1" t="s">
        <v>4928</v>
      </c>
      <c r="Y225" s="1" t="s">
        <v>4929</v>
      </c>
      <c r="Z225" s="1">
        <v>81.0</v>
      </c>
      <c r="AA225" s="1">
        <v>43.0</v>
      </c>
      <c r="AB225" s="1">
        <v>51.0</v>
      </c>
      <c r="AC225" s="1">
        <v>2.0</v>
      </c>
      <c r="AD225" s="1">
        <v>48.0</v>
      </c>
      <c r="AE225" s="1" t="s">
        <v>503</v>
      </c>
      <c r="AF225" s="1" t="s">
        <v>504</v>
      </c>
      <c r="AG225" s="1" t="s">
        <v>4882</v>
      </c>
      <c r="AH225" s="1" t="s">
        <v>68</v>
      </c>
      <c r="AI225" s="1" t="s">
        <v>4883</v>
      </c>
      <c r="AJ225" s="1" t="s">
        <v>68</v>
      </c>
      <c r="AK225" s="1" t="s">
        <v>4884</v>
      </c>
      <c r="AL225" s="1" t="s">
        <v>4885</v>
      </c>
      <c r="AM225" s="1" t="s">
        <v>120</v>
      </c>
      <c r="AN225" s="1">
        <v>2020.0</v>
      </c>
      <c r="AO225" s="1">
        <v>6.0</v>
      </c>
      <c r="AP225" s="1">
        <v>4.0</v>
      </c>
      <c r="AQ225" s="1" t="s">
        <v>68</v>
      </c>
      <c r="AR225" s="1" t="s">
        <v>68</v>
      </c>
      <c r="AS225" s="1" t="s">
        <v>563</v>
      </c>
      <c r="AT225" s="1" t="s">
        <v>68</v>
      </c>
      <c r="AU225" s="1">
        <v>514.0</v>
      </c>
      <c r="AV225" s="1">
        <v>528.0</v>
      </c>
      <c r="AW225" s="1" t="s">
        <v>68</v>
      </c>
      <c r="AX225" s="1" t="s">
        <v>4930</v>
      </c>
      <c r="AY225" s="3" t="str">
        <f>HYPERLINK("http://dx.doi.org/10.1002/rse2.153","http://dx.doi.org/10.1002/rse2.153")</f>
        <v>http://dx.doi.org/10.1002/rse2.153</v>
      </c>
      <c r="AZ225" s="1" t="s">
        <v>68</v>
      </c>
      <c r="BA225" s="1" t="s">
        <v>4931</v>
      </c>
      <c r="BB225" s="1">
        <v>15.0</v>
      </c>
      <c r="BC225" s="1" t="s">
        <v>4889</v>
      </c>
      <c r="BD225" s="1" t="s">
        <v>92</v>
      </c>
      <c r="BE225" s="1" t="s">
        <v>4890</v>
      </c>
      <c r="BF225" s="1" t="s">
        <v>4932</v>
      </c>
      <c r="BG225" s="1" t="s">
        <v>68</v>
      </c>
      <c r="BH225" s="1" t="s">
        <v>618</v>
      </c>
      <c r="BI225" s="1" t="s">
        <v>68</v>
      </c>
      <c r="BJ225" s="1" t="s">
        <v>68</v>
      </c>
      <c r="BK225" s="1" t="s">
        <v>95</v>
      </c>
      <c r="BL225" s="1" t="s">
        <v>4933</v>
      </c>
      <c r="BM225" s="1" t="str">
        <f>HYPERLINK("https%3A%2F%2Fwww.webofscience.com%2Fwos%2Fwoscc%2Ffull-record%2FWOS:000520566500001","View Full Record in Web of Science")</f>
        <v>View Full Record in Web of Science</v>
      </c>
    </row>
    <row r="226" ht="12.75" customHeight="1">
      <c r="A226" s="1" t="s">
        <v>65</v>
      </c>
      <c r="B226" s="1" t="s">
        <v>4934</v>
      </c>
      <c r="C226" s="1" t="s">
        <v>4935</v>
      </c>
      <c r="D226" s="1" t="s">
        <v>68</v>
      </c>
      <c r="E226" s="1" t="s">
        <v>4936</v>
      </c>
      <c r="F226" s="1" t="s">
        <v>315</v>
      </c>
      <c r="G226" s="1" t="s">
        <v>68</v>
      </c>
      <c r="H226" s="1" t="s">
        <v>71</v>
      </c>
      <c r="I226" s="1" t="s">
        <v>72</v>
      </c>
      <c r="J226" s="1" t="s">
        <v>68</v>
      </c>
      <c r="K226" s="1" t="s">
        <v>68</v>
      </c>
      <c r="L226" s="1" t="s">
        <v>68</v>
      </c>
      <c r="M226" s="1" t="s">
        <v>68</v>
      </c>
      <c r="N226" s="1" t="s">
        <v>4937</v>
      </c>
      <c r="O226" s="1" t="s">
        <v>4938</v>
      </c>
      <c r="P226" s="1" t="s">
        <v>4939</v>
      </c>
      <c r="Q226" s="1" t="s">
        <v>4940</v>
      </c>
      <c r="R226" s="1" t="s">
        <v>4941</v>
      </c>
      <c r="S226" s="1" t="s">
        <v>4942</v>
      </c>
      <c r="T226" s="1" t="s">
        <v>4943</v>
      </c>
      <c r="U226" s="1" t="s">
        <v>68</v>
      </c>
      <c r="V226" s="1" t="s">
        <v>68</v>
      </c>
      <c r="W226" s="1" t="s">
        <v>4944</v>
      </c>
      <c r="X226" s="1" t="s">
        <v>4944</v>
      </c>
      <c r="Y226" s="1" t="s">
        <v>4945</v>
      </c>
      <c r="Z226" s="1">
        <v>39.0</v>
      </c>
      <c r="AA226" s="1">
        <v>3.0</v>
      </c>
      <c r="AB226" s="1">
        <v>3.0</v>
      </c>
      <c r="AC226" s="1">
        <v>3.0</v>
      </c>
      <c r="AD226" s="1">
        <v>23.0</v>
      </c>
      <c r="AE226" s="1" t="s">
        <v>83</v>
      </c>
      <c r="AF226" s="1" t="s">
        <v>84</v>
      </c>
      <c r="AG226" s="1" t="s">
        <v>85</v>
      </c>
      <c r="AH226" s="1" t="s">
        <v>327</v>
      </c>
      <c r="AI226" s="1" t="s">
        <v>68</v>
      </c>
      <c r="AJ226" s="1" t="s">
        <v>68</v>
      </c>
      <c r="AK226" s="1" t="s">
        <v>328</v>
      </c>
      <c r="AL226" s="1" t="s">
        <v>329</v>
      </c>
      <c r="AM226" s="1" t="s">
        <v>4946</v>
      </c>
      <c r="AN226" s="1">
        <v>2023.0</v>
      </c>
      <c r="AO226" s="1">
        <v>11.0</v>
      </c>
      <c r="AP226" s="1" t="s">
        <v>68</v>
      </c>
      <c r="AQ226" s="1" t="s">
        <v>68</v>
      </c>
      <c r="AR226" s="1" t="s">
        <v>68</v>
      </c>
      <c r="AS226" s="1" t="s">
        <v>68</v>
      </c>
      <c r="AT226" s="1" t="s">
        <v>68</v>
      </c>
      <c r="AU226" s="1" t="s">
        <v>68</v>
      </c>
      <c r="AV226" s="1" t="s">
        <v>68</v>
      </c>
      <c r="AW226" s="1">
        <v>1216080.0</v>
      </c>
      <c r="AX226" s="1" t="s">
        <v>4947</v>
      </c>
      <c r="AY226" s="3" t="str">
        <f>HYPERLINK("http://dx.doi.org/10.3389/fevo.2023.1216080","http://dx.doi.org/10.3389/fevo.2023.1216080")</f>
        <v>http://dx.doi.org/10.3389/fevo.2023.1216080</v>
      </c>
      <c r="AZ226" s="1" t="s">
        <v>68</v>
      </c>
      <c r="BA226" s="1" t="s">
        <v>68</v>
      </c>
      <c r="BB226" s="1">
        <v>8.0</v>
      </c>
      <c r="BC226" s="1" t="s">
        <v>332</v>
      </c>
      <c r="BD226" s="1" t="s">
        <v>92</v>
      </c>
      <c r="BE226" s="1" t="s">
        <v>333</v>
      </c>
      <c r="BF226" s="1" t="s">
        <v>4948</v>
      </c>
      <c r="BG226" s="1" t="s">
        <v>68</v>
      </c>
      <c r="BH226" s="1" t="s">
        <v>94</v>
      </c>
      <c r="BI226" s="1" t="s">
        <v>68</v>
      </c>
      <c r="BJ226" s="1" t="s">
        <v>68</v>
      </c>
      <c r="BK226" s="1" t="s">
        <v>95</v>
      </c>
      <c r="BL226" s="1" t="s">
        <v>4949</v>
      </c>
      <c r="BM226" s="1" t="str">
        <f>HYPERLINK("https%3A%2F%2Fwww.webofscience.com%2Fwos%2Fwoscc%2Ffull-record%2FWOS:001077562200001","View Full Record in Web of Science")</f>
        <v>View Full Record in Web of Science</v>
      </c>
    </row>
    <row r="227" ht="12.75" customHeight="1">
      <c r="A227" s="1" t="s">
        <v>65</v>
      </c>
      <c r="B227" s="1" t="s">
        <v>4950</v>
      </c>
      <c r="C227" s="1" t="s">
        <v>4951</v>
      </c>
      <c r="D227" s="1" t="s">
        <v>68</v>
      </c>
      <c r="E227" s="1" t="s">
        <v>4952</v>
      </c>
      <c r="F227" s="1" t="s">
        <v>1895</v>
      </c>
      <c r="G227" s="1" t="s">
        <v>68</v>
      </c>
      <c r="H227" s="1" t="s">
        <v>71</v>
      </c>
      <c r="I227" s="1" t="s">
        <v>72</v>
      </c>
      <c r="J227" s="1" t="s">
        <v>68</v>
      </c>
      <c r="K227" s="1" t="s">
        <v>68</v>
      </c>
      <c r="L227" s="1" t="s">
        <v>68</v>
      </c>
      <c r="M227" s="1" t="s">
        <v>68</v>
      </c>
      <c r="N227" s="1" t="s">
        <v>68</v>
      </c>
      <c r="O227" s="1" t="s">
        <v>4953</v>
      </c>
      <c r="P227" s="1" t="s">
        <v>4954</v>
      </c>
      <c r="Q227" s="1" t="s">
        <v>4955</v>
      </c>
      <c r="R227" s="1" t="s">
        <v>4956</v>
      </c>
      <c r="S227" s="1" t="s">
        <v>4957</v>
      </c>
      <c r="T227" s="1" t="s">
        <v>4958</v>
      </c>
      <c r="U227" s="1" t="s">
        <v>68</v>
      </c>
      <c r="V227" s="1" t="s">
        <v>4959</v>
      </c>
      <c r="W227" s="1" t="s">
        <v>4960</v>
      </c>
      <c r="X227" s="1" t="s">
        <v>4960</v>
      </c>
      <c r="Y227" s="1" t="s">
        <v>4961</v>
      </c>
      <c r="Z227" s="1">
        <v>175.0</v>
      </c>
      <c r="AA227" s="1">
        <v>3.0</v>
      </c>
      <c r="AB227" s="1">
        <v>3.0</v>
      </c>
      <c r="AC227" s="1">
        <v>0.0</v>
      </c>
      <c r="AD227" s="1">
        <v>0.0</v>
      </c>
      <c r="AE227" s="1" t="s">
        <v>1906</v>
      </c>
      <c r="AF227" s="1" t="s">
        <v>1907</v>
      </c>
      <c r="AG227" s="1" t="s">
        <v>1908</v>
      </c>
      <c r="AH227" s="1" t="s">
        <v>1909</v>
      </c>
      <c r="AI227" s="1" t="s">
        <v>68</v>
      </c>
      <c r="AJ227" s="1" t="s">
        <v>68</v>
      </c>
      <c r="AK227" s="1" t="s">
        <v>1895</v>
      </c>
      <c r="AL227" s="1" t="s">
        <v>1910</v>
      </c>
      <c r="AM227" s="1" t="s">
        <v>68</v>
      </c>
      <c r="AN227" s="1">
        <v>2025.0</v>
      </c>
      <c r="AO227" s="1">
        <v>20.0</v>
      </c>
      <c r="AP227" s="1">
        <v>5.0</v>
      </c>
      <c r="AQ227" s="1" t="s">
        <v>68</v>
      </c>
      <c r="AR227" s="1" t="s">
        <v>68</v>
      </c>
      <c r="AS227" s="1" t="s">
        <v>68</v>
      </c>
      <c r="AT227" s="1" t="s">
        <v>68</v>
      </c>
      <c r="AU227" s="1" t="s">
        <v>68</v>
      </c>
      <c r="AV227" s="1" t="s">
        <v>68</v>
      </c>
      <c r="AW227" s="1" t="s">
        <v>4962</v>
      </c>
      <c r="AX227" s="1" t="s">
        <v>4963</v>
      </c>
      <c r="AY227" s="3" t="str">
        <f>HYPERLINK("http://dx.doi.org/10.1371/journal.pone.0319637","http://dx.doi.org/10.1371/journal.pone.0319637")</f>
        <v>http://dx.doi.org/10.1371/journal.pone.0319637</v>
      </c>
      <c r="AZ227" s="1" t="s">
        <v>68</v>
      </c>
      <c r="BA227" s="1" t="s">
        <v>68</v>
      </c>
      <c r="BB227" s="1">
        <v>41.0</v>
      </c>
      <c r="BC227" s="1" t="s">
        <v>742</v>
      </c>
      <c r="BD227" s="1" t="s">
        <v>92</v>
      </c>
      <c r="BE227" s="1" t="s">
        <v>743</v>
      </c>
      <c r="BF227" s="1" t="s">
        <v>4964</v>
      </c>
      <c r="BG227" s="1">
        <v>4.034408E7</v>
      </c>
      <c r="BH227" s="1" t="s">
        <v>94</v>
      </c>
      <c r="BI227" s="1" t="s">
        <v>68</v>
      </c>
      <c r="BJ227" s="1" t="s">
        <v>68</v>
      </c>
      <c r="BK227" s="1" t="s">
        <v>95</v>
      </c>
      <c r="BL227" s="1" t="s">
        <v>4965</v>
      </c>
      <c r="BM227" s="1" t="str">
        <f>HYPERLINK("https%3A%2F%2Fwww.webofscience.com%2Fwos%2Fwoscc%2Ffull-record%2FWOS:001488712000037","View Full Record in Web of Science")</f>
        <v>View Full Record in Web of Science</v>
      </c>
    </row>
    <row r="228" ht="12.75" customHeight="1">
      <c r="A228" s="1" t="s">
        <v>65</v>
      </c>
      <c r="B228" s="1" t="s">
        <v>4966</v>
      </c>
      <c r="C228" s="1" t="s">
        <v>4967</v>
      </c>
      <c r="D228" s="1" t="s">
        <v>68</v>
      </c>
      <c r="E228" s="1" t="s">
        <v>4968</v>
      </c>
      <c r="F228" s="1" t="s">
        <v>467</v>
      </c>
      <c r="G228" s="1" t="s">
        <v>68</v>
      </c>
      <c r="H228" s="1" t="s">
        <v>71</v>
      </c>
      <c r="I228" s="1" t="s">
        <v>101</v>
      </c>
      <c r="J228" s="1" t="s">
        <v>68</v>
      </c>
      <c r="K228" s="1" t="s">
        <v>68</v>
      </c>
      <c r="L228" s="1" t="s">
        <v>68</v>
      </c>
      <c r="M228" s="1" t="s">
        <v>68</v>
      </c>
      <c r="N228" s="1" t="s">
        <v>4969</v>
      </c>
      <c r="O228" s="1" t="s">
        <v>4970</v>
      </c>
      <c r="P228" s="1" t="s">
        <v>4971</v>
      </c>
      <c r="Q228" s="1" t="s">
        <v>4972</v>
      </c>
      <c r="R228" s="1" t="s">
        <v>3378</v>
      </c>
      <c r="S228" s="1" t="s">
        <v>4973</v>
      </c>
      <c r="T228" s="1" t="s">
        <v>4974</v>
      </c>
      <c r="U228" s="1" t="s">
        <v>4975</v>
      </c>
      <c r="V228" s="1" t="s">
        <v>4976</v>
      </c>
      <c r="W228" s="1" t="s">
        <v>4977</v>
      </c>
      <c r="X228" s="1" t="s">
        <v>4977</v>
      </c>
      <c r="Y228" s="1" t="s">
        <v>4978</v>
      </c>
      <c r="Z228" s="1">
        <v>75.0</v>
      </c>
      <c r="AA228" s="1">
        <v>2.0</v>
      </c>
      <c r="AB228" s="1">
        <v>3.0</v>
      </c>
      <c r="AC228" s="1">
        <v>6.0</v>
      </c>
      <c r="AD228" s="1">
        <v>6.0</v>
      </c>
      <c r="AE228" s="1" t="s">
        <v>83</v>
      </c>
      <c r="AF228" s="1" t="s">
        <v>84</v>
      </c>
      <c r="AG228" s="1" t="s">
        <v>85</v>
      </c>
      <c r="AH228" s="1" t="s">
        <v>68</v>
      </c>
      <c r="AI228" s="1" t="s">
        <v>479</v>
      </c>
      <c r="AJ228" s="1" t="s">
        <v>68</v>
      </c>
      <c r="AK228" s="1" t="s">
        <v>480</v>
      </c>
      <c r="AL228" s="1" t="s">
        <v>481</v>
      </c>
      <c r="AM228" s="1" t="s">
        <v>2346</v>
      </c>
      <c r="AN228" s="1">
        <v>2025.0</v>
      </c>
      <c r="AO228" s="1">
        <v>13.0</v>
      </c>
      <c r="AP228" s="1" t="s">
        <v>68</v>
      </c>
      <c r="AQ228" s="1" t="s">
        <v>68</v>
      </c>
      <c r="AR228" s="1" t="s">
        <v>68</v>
      </c>
      <c r="AS228" s="1" t="s">
        <v>68</v>
      </c>
      <c r="AT228" s="1" t="s">
        <v>68</v>
      </c>
      <c r="AU228" s="1" t="s">
        <v>68</v>
      </c>
      <c r="AV228" s="1" t="s">
        <v>68</v>
      </c>
      <c r="AW228" s="1">
        <v>1609084.0</v>
      </c>
      <c r="AX228" s="1" t="s">
        <v>4979</v>
      </c>
      <c r="AY228" s="3" t="str">
        <f>HYPERLINK("http://dx.doi.org/10.3389/fenvs.2025.1609084","http://dx.doi.org/10.3389/fenvs.2025.1609084")</f>
        <v>http://dx.doi.org/10.3389/fenvs.2025.1609084</v>
      </c>
      <c r="AZ228" s="1" t="s">
        <v>68</v>
      </c>
      <c r="BA228" s="1" t="s">
        <v>68</v>
      </c>
      <c r="BB228" s="1">
        <v>13.0</v>
      </c>
      <c r="BC228" s="1" t="s">
        <v>484</v>
      </c>
      <c r="BD228" s="1" t="s">
        <v>92</v>
      </c>
      <c r="BE228" s="1" t="s">
        <v>333</v>
      </c>
      <c r="BF228" s="1" t="s">
        <v>4980</v>
      </c>
      <c r="BG228" s="1" t="s">
        <v>68</v>
      </c>
      <c r="BH228" s="1" t="s">
        <v>94</v>
      </c>
      <c r="BI228" s="1" t="s">
        <v>68</v>
      </c>
      <c r="BJ228" s="1" t="s">
        <v>68</v>
      </c>
      <c r="BK228" s="1" t="s">
        <v>95</v>
      </c>
      <c r="BL228" s="1" t="s">
        <v>4981</v>
      </c>
      <c r="BM228" s="1" t="str">
        <f>HYPERLINK("https%3A%2F%2Fwww.webofscience.com%2Fwos%2Fwoscc%2Ffull-record%2FWOS:001538794200001","View Full Record in Web of Science")</f>
        <v>View Full Record in Web of Science</v>
      </c>
    </row>
    <row r="229" ht="12.75" customHeight="1">
      <c r="A229" s="1" t="s">
        <v>65</v>
      </c>
      <c r="B229" s="1" t="s">
        <v>4982</v>
      </c>
      <c r="C229" s="1" t="s">
        <v>4983</v>
      </c>
      <c r="D229" s="1" t="s">
        <v>68</v>
      </c>
      <c r="E229" s="1" t="s">
        <v>4984</v>
      </c>
      <c r="F229" s="1" t="s">
        <v>4985</v>
      </c>
      <c r="G229" s="1" t="s">
        <v>68</v>
      </c>
      <c r="H229" s="1" t="s">
        <v>71</v>
      </c>
      <c r="I229" s="1" t="s">
        <v>72</v>
      </c>
      <c r="J229" s="1" t="s">
        <v>68</v>
      </c>
      <c r="K229" s="1" t="s">
        <v>68</v>
      </c>
      <c r="L229" s="1" t="s">
        <v>68</v>
      </c>
      <c r="M229" s="1" t="s">
        <v>68</v>
      </c>
      <c r="N229" s="1" t="s">
        <v>4986</v>
      </c>
      <c r="O229" s="1" t="s">
        <v>4987</v>
      </c>
      <c r="P229" s="1" t="s">
        <v>4988</v>
      </c>
      <c r="Q229" s="1" t="s">
        <v>4989</v>
      </c>
      <c r="R229" s="1" t="s">
        <v>4990</v>
      </c>
      <c r="S229" s="1" t="s">
        <v>4991</v>
      </c>
      <c r="T229" s="1" t="s">
        <v>4992</v>
      </c>
      <c r="U229" s="1" t="s">
        <v>4993</v>
      </c>
      <c r="V229" s="1" t="s">
        <v>4994</v>
      </c>
      <c r="W229" s="1" t="s">
        <v>4995</v>
      </c>
      <c r="X229" s="1" t="s">
        <v>4996</v>
      </c>
      <c r="Y229" s="1" t="s">
        <v>4997</v>
      </c>
      <c r="Z229" s="1">
        <v>46.0</v>
      </c>
      <c r="AA229" s="1">
        <v>3.0</v>
      </c>
      <c r="AB229" s="1">
        <v>3.0</v>
      </c>
      <c r="AC229" s="1">
        <v>1.0</v>
      </c>
      <c r="AD229" s="1">
        <v>1.0</v>
      </c>
      <c r="AE229" s="1" t="s">
        <v>247</v>
      </c>
      <c r="AF229" s="1" t="s">
        <v>248</v>
      </c>
      <c r="AG229" s="1" t="s">
        <v>249</v>
      </c>
      <c r="AH229" s="1" t="s">
        <v>68</v>
      </c>
      <c r="AI229" s="1" t="s">
        <v>4998</v>
      </c>
      <c r="AJ229" s="1" t="s">
        <v>68</v>
      </c>
      <c r="AK229" s="1" t="s">
        <v>4999</v>
      </c>
      <c r="AL229" s="1" t="s">
        <v>5000</v>
      </c>
      <c r="AM229" s="1" t="s">
        <v>224</v>
      </c>
      <c r="AN229" s="1">
        <v>2025.0</v>
      </c>
      <c r="AO229" s="1">
        <v>9.0</v>
      </c>
      <c r="AP229" s="1">
        <v>2.0</v>
      </c>
      <c r="AQ229" s="1" t="s">
        <v>68</v>
      </c>
      <c r="AR229" s="1" t="s">
        <v>68</v>
      </c>
      <c r="AS229" s="1" t="s">
        <v>68</v>
      </c>
      <c r="AT229" s="1" t="s">
        <v>68</v>
      </c>
      <c r="AU229" s="1" t="s">
        <v>68</v>
      </c>
      <c r="AV229" s="1" t="s">
        <v>68</v>
      </c>
      <c r="AW229" s="1">
        <v>27.0</v>
      </c>
      <c r="AX229" s="1" t="s">
        <v>5001</v>
      </c>
      <c r="AY229" s="3" t="str">
        <f>HYPERLINK("http://dx.doi.org/10.3390/urbansci9020027","http://dx.doi.org/10.3390/urbansci9020027")</f>
        <v>http://dx.doi.org/10.3390/urbansci9020027</v>
      </c>
      <c r="AZ229" s="1" t="s">
        <v>68</v>
      </c>
      <c r="BA229" s="1" t="s">
        <v>68</v>
      </c>
      <c r="BB229" s="1">
        <v>12.0</v>
      </c>
      <c r="BC229" s="1" t="s">
        <v>5002</v>
      </c>
      <c r="BD229" s="1" t="s">
        <v>197</v>
      </c>
      <c r="BE229" s="1" t="s">
        <v>5003</v>
      </c>
      <c r="BF229" s="1" t="s">
        <v>5004</v>
      </c>
      <c r="BG229" s="1" t="s">
        <v>68</v>
      </c>
      <c r="BH229" s="1" t="s">
        <v>618</v>
      </c>
      <c r="BI229" s="1" t="s">
        <v>68</v>
      </c>
      <c r="BJ229" s="1" t="s">
        <v>68</v>
      </c>
      <c r="BK229" s="1" t="s">
        <v>95</v>
      </c>
      <c r="BL229" s="1" t="s">
        <v>5005</v>
      </c>
      <c r="BM229" s="1" t="str">
        <f>HYPERLINK("https%3A%2F%2Fwww.webofscience.com%2Fwos%2Fwoscc%2Ffull-record%2FWOS:001430648400001","View Full Record in Web of Science")</f>
        <v>View Full Record in Web of Science</v>
      </c>
    </row>
    <row r="230" ht="12.75" customHeight="1">
      <c r="A230" s="1" t="s">
        <v>65</v>
      </c>
      <c r="B230" s="1" t="s">
        <v>5006</v>
      </c>
      <c r="C230" s="1" t="s">
        <v>5007</v>
      </c>
      <c r="D230" s="1" t="s">
        <v>68</v>
      </c>
      <c r="E230" s="1" t="s">
        <v>5008</v>
      </c>
      <c r="F230" s="1" t="s">
        <v>1493</v>
      </c>
      <c r="G230" s="1" t="s">
        <v>68</v>
      </c>
      <c r="H230" s="1" t="s">
        <v>71</v>
      </c>
      <c r="I230" s="1" t="s">
        <v>72</v>
      </c>
      <c r="J230" s="1" t="s">
        <v>68</v>
      </c>
      <c r="K230" s="1" t="s">
        <v>68</v>
      </c>
      <c r="L230" s="1" t="s">
        <v>68</v>
      </c>
      <c r="M230" s="1" t="s">
        <v>68</v>
      </c>
      <c r="N230" s="1" t="s">
        <v>5009</v>
      </c>
      <c r="O230" s="1" t="s">
        <v>5010</v>
      </c>
      <c r="P230" s="1" t="s">
        <v>5011</v>
      </c>
      <c r="Q230" s="1" t="s">
        <v>5012</v>
      </c>
      <c r="R230" s="1" t="s">
        <v>1899</v>
      </c>
      <c r="S230" s="1" t="s">
        <v>1900</v>
      </c>
      <c r="T230" s="1" t="s">
        <v>1901</v>
      </c>
      <c r="U230" s="1" t="s">
        <v>68</v>
      </c>
      <c r="V230" s="1" t="s">
        <v>5013</v>
      </c>
      <c r="W230" s="1" t="s">
        <v>5014</v>
      </c>
      <c r="X230" s="1" t="s">
        <v>5014</v>
      </c>
      <c r="Y230" s="1" t="s">
        <v>5015</v>
      </c>
      <c r="Z230" s="1">
        <v>45.0</v>
      </c>
      <c r="AA230" s="1">
        <v>51.0</v>
      </c>
      <c r="AB230" s="1">
        <v>57.0</v>
      </c>
      <c r="AC230" s="1">
        <v>1.0</v>
      </c>
      <c r="AD230" s="1">
        <v>137.0</v>
      </c>
      <c r="AE230" s="1" t="s">
        <v>114</v>
      </c>
      <c r="AF230" s="1" t="s">
        <v>1505</v>
      </c>
      <c r="AG230" s="1" t="s">
        <v>1506</v>
      </c>
      <c r="AH230" s="1" t="s">
        <v>1507</v>
      </c>
      <c r="AI230" s="1" t="s">
        <v>1508</v>
      </c>
      <c r="AJ230" s="1" t="s">
        <v>68</v>
      </c>
      <c r="AK230" s="1" t="s">
        <v>1509</v>
      </c>
      <c r="AL230" s="1" t="s">
        <v>1510</v>
      </c>
      <c r="AM230" s="1" t="s">
        <v>224</v>
      </c>
      <c r="AN230" s="1">
        <v>2015.0</v>
      </c>
      <c r="AO230" s="1">
        <v>24.0</v>
      </c>
      <c r="AP230" s="1">
        <v>2.0</v>
      </c>
      <c r="AQ230" s="1" t="s">
        <v>68</v>
      </c>
      <c r="AR230" s="1" t="s">
        <v>68</v>
      </c>
      <c r="AS230" s="1" t="s">
        <v>68</v>
      </c>
      <c r="AT230" s="1" t="s">
        <v>68</v>
      </c>
      <c r="AU230" s="1">
        <v>319.0</v>
      </c>
      <c r="AV230" s="1">
        <v>336.0</v>
      </c>
      <c r="AW230" s="1" t="s">
        <v>68</v>
      </c>
      <c r="AX230" s="1" t="s">
        <v>5016</v>
      </c>
      <c r="AY230" s="3" t="str">
        <f>HYPERLINK("http://dx.doi.org/10.1007/s10531-014-0810-7","http://dx.doi.org/10.1007/s10531-014-0810-7")</f>
        <v>http://dx.doi.org/10.1007/s10531-014-0810-7</v>
      </c>
      <c r="AZ230" s="1" t="s">
        <v>68</v>
      </c>
      <c r="BA230" s="1" t="s">
        <v>68</v>
      </c>
      <c r="BB230" s="1">
        <v>18.0</v>
      </c>
      <c r="BC230" s="1" t="s">
        <v>122</v>
      </c>
      <c r="BD230" s="1" t="s">
        <v>92</v>
      </c>
      <c r="BE230" s="1" t="s">
        <v>123</v>
      </c>
      <c r="BF230" s="1" t="s">
        <v>5017</v>
      </c>
      <c r="BG230" s="1" t="s">
        <v>68</v>
      </c>
      <c r="BH230" s="1" t="s">
        <v>68</v>
      </c>
      <c r="BI230" s="1" t="s">
        <v>68</v>
      </c>
      <c r="BJ230" s="1" t="s">
        <v>68</v>
      </c>
      <c r="BK230" s="1" t="s">
        <v>95</v>
      </c>
      <c r="BL230" s="1" t="s">
        <v>5018</v>
      </c>
      <c r="BM230" s="1" t="str">
        <f>HYPERLINK("https%3A%2F%2Fwww.webofscience.com%2Fwos%2Fwoscc%2Ffull-record%2FWOS:000348114700007","View Full Record in Web of Science")</f>
        <v>View Full Record in Web of Science</v>
      </c>
    </row>
    <row r="231" ht="12.75" customHeight="1">
      <c r="A231" s="1" t="s">
        <v>65</v>
      </c>
      <c r="B231" s="1" t="s">
        <v>5019</v>
      </c>
      <c r="C231" s="1" t="s">
        <v>5020</v>
      </c>
      <c r="D231" s="1" t="s">
        <v>68</v>
      </c>
      <c r="E231" s="1" t="s">
        <v>5021</v>
      </c>
      <c r="F231" s="1" t="s">
        <v>1895</v>
      </c>
      <c r="G231" s="1" t="s">
        <v>68</v>
      </c>
      <c r="H231" s="1" t="s">
        <v>71</v>
      </c>
      <c r="I231" s="1" t="s">
        <v>72</v>
      </c>
      <c r="J231" s="1" t="s">
        <v>68</v>
      </c>
      <c r="K231" s="1" t="s">
        <v>68</v>
      </c>
      <c r="L231" s="1" t="s">
        <v>68</v>
      </c>
      <c r="M231" s="1" t="s">
        <v>68</v>
      </c>
      <c r="N231" s="1" t="s">
        <v>68</v>
      </c>
      <c r="O231" s="1" t="s">
        <v>5022</v>
      </c>
      <c r="P231" s="1" t="s">
        <v>5023</v>
      </c>
      <c r="Q231" s="1" t="s">
        <v>5024</v>
      </c>
      <c r="R231" s="1" t="s">
        <v>5025</v>
      </c>
      <c r="S231" s="1" t="s">
        <v>5026</v>
      </c>
      <c r="T231" s="1" t="s">
        <v>5027</v>
      </c>
      <c r="U231" s="1" t="s">
        <v>3099</v>
      </c>
      <c r="V231" s="1" t="s">
        <v>5028</v>
      </c>
      <c r="W231" s="1" t="s">
        <v>5029</v>
      </c>
      <c r="X231" s="1" t="s">
        <v>5030</v>
      </c>
      <c r="Y231" s="1" t="s">
        <v>5031</v>
      </c>
      <c r="Z231" s="1">
        <v>73.0</v>
      </c>
      <c r="AA231" s="1">
        <v>69.0</v>
      </c>
      <c r="AB231" s="1">
        <v>83.0</v>
      </c>
      <c r="AC231" s="1">
        <v>2.0</v>
      </c>
      <c r="AD231" s="1">
        <v>25.0</v>
      </c>
      <c r="AE231" s="1" t="s">
        <v>1906</v>
      </c>
      <c r="AF231" s="1" t="s">
        <v>1907</v>
      </c>
      <c r="AG231" s="1" t="s">
        <v>1908</v>
      </c>
      <c r="AH231" s="1" t="s">
        <v>1909</v>
      </c>
      <c r="AI231" s="1" t="s">
        <v>68</v>
      </c>
      <c r="AJ231" s="1" t="s">
        <v>68</v>
      </c>
      <c r="AK231" s="1" t="s">
        <v>1895</v>
      </c>
      <c r="AL231" s="1" t="s">
        <v>1910</v>
      </c>
      <c r="AM231" s="1" t="s">
        <v>5032</v>
      </c>
      <c r="AN231" s="1">
        <v>2017.0</v>
      </c>
      <c r="AO231" s="1">
        <v>12.0</v>
      </c>
      <c r="AP231" s="1">
        <v>12.0</v>
      </c>
      <c r="AQ231" s="1" t="s">
        <v>68</v>
      </c>
      <c r="AR231" s="1" t="s">
        <v>68</v>
      </c>
      <c r="AS231" s="1" t="s">
        <v>68</v>
      </c>
      <c r="AT231" s="1" t="s">
        <v>68</v>
      </c>
      <c r="AU231" s="1" t="s">
        <v>68</v>
      </c>
      <c r="AV231" s="1" t="s">
        <v>68</v>
      </c>
      <c r="AW231" s="1" t="s">
        <v>5033</v>
      </c>
      <c r="AX231" s="1" t="s">
        <v>5034</v>
      </c>
      <c r="AY231" s="3" t="str">
        <f>HYPERLINK("http://dx.doi.org/10.1371/journal.pone.0188507","http://dx.doi.org/10.1371/journal.pone.0188507")</f>
        <v>http://dx.doi.org/10.1371/journal.pone.0188507</v>
      </c>
      <c r="AZ231" s="1" t="s">
        <v>68</v>
      </c>
      <c r="BA231" s="1" t="s">
        <v>68</v>
      </c>
      <c r="BB231" s="1">
        <v>18.0</v>
      </c>
      <c r="BC231" s="1" t="s">
        <v>742</v>
      </c>
      <c r="BD231" s="1" t="s">
        <v>279</v>
      </c>
      <c r="BE231" s="1" t="s">
        <v>743</v>
      </c>
      <c r="BF231" s="1" t="s">
        <v>5035</v>
      </c>
      <c r="BG231" s="1">
        <v>2.9211752E7</v>
      </c>
      <c r="BH231" s="1" t="s">
        <v>672</v>
      </c>
      <c r="BI231" s="1" t="s">
        <v>68</v>
      </c>
      <c r="BJ231" s="1" t="s">
        <v>68</v>
      </c>
      <c r="BK231" s="1" t="s">
        <v>95</v>
      </c>
      <c r="BL231" s="1" t="s">
        <v>5036</v>
      </c>
      <c r="BM231" s="1" t="str">
        <f>HYPERLINK("https%3A%2F%2Fwww.webofscience.com%2Fwos%2Fwoscc%2Ffull-record%2FWOS:000417212200037","View Full Record in Web of Science")</f>
        <v>View Full Record in Web of Science</v>
      </c>
    </row>
    <row r="232" ht="12.75" customHeight="1">
      <c r="A232" s="1" t="s">
        <v>65</v>
      </c>
      <c r="B232" s="1" t="s">
        <v>5037</v>
      </c>
      <c r="C232" s="1" t="s">
        <v>5038</v>
      </c>
      <c r="D232" s="1" t="s">
        <v>68</v>
      </c>
      <c r="E232" s="1" t="s">
        <v>5039</v>
      </c>
      <c r="F232" s="1" t="s">
        <v>1562</v>
      </c>
      <c r="G232" s="1" t="s">
        <v>68</v>
      </c>
      <c r="H232" s="1" t="s">
        <v>71</v>
      </c>
      <c r="I232" s="1" t="s">
        <v>72</v>
      </c>
      <c r="J232" s="1" t="s">
        <v>68</v>
      </c>
      <c r="K232" s="1" t="s">
        <v>68</v>
      </c>
      <c r="L232" s="1" t="s">
        <v>68</v>
      </c>
      <c r="M232" s="1" t="s">
        <v>68</v>
      </c>
      <c r="N232" s="1" t="s">
        <v>5040</v>
      </c>
      <c r="O232" s="1" t="s">
        <v>5041</v>
      </c>
      <c r="P232" s="1" t="s">
        <v>5042</v>
      </c>
      <c r="Q232" s="1" t="s">
        <v>5043</v>
      </c>
      <c r="R232" s="1" t="s">
        <v>5044</v>
      </c>
      <c r="S232" s="1" t="s">
        <v>5045</v>
      </c>
      <c r="T232" s="1" t="s">
        <v>5046</v>
      </c>
      <c r="U232" s="1" t="s">
        <v>5047</v>
      </c>
      <c r="V232" s="1" t="s">
        <v>5048</v>
      </c>
      <c r="W232" s="1" t="s">
        <v>5049</v>
      </c>
      <c r="X232" s="1" t="s">
        <v>5050</v>
      </c>
      <c r="Y232" s="1" t="s">
        <v>5051</v>
      </c>
      <c r="Z232" s="1">
        <v>70.0</v>
      </c>
      <c r="AA232" s="1">
        <v>55.0</v>
      </c>
      <c r="AB232" s="1">
        <v>67.0</v>
      </c>
      <c r="AC232" s="1">
        <v>0.0</v>
      </c>
      <c r="AD232" s="1">
        <v>39.0</v>
      </c>
      <c r="AE232" s="1" t="s">
        <v>503</v>
      </c>
      <c r="AF232" s="1" t="s">
        <v>504</v>
      </c>
      <c r="AG232" s="1" t="s">
        <v>505</v>
      </c>
      <c r="AH232" s="1" t="s">
        <v>1575</v>
      </c>
      <c r="AI232" s="1" t="s">
        <v>1576</v>
      </c>
      <c r="AJ232" s="1" t="s">
        <v>68</v>
      </c>
      <c r="AK232" s="1" t="s">
        <v>1577</v>
      </c>
      <c r="AL232" s="1" t="s">
        <v>1578</v>
      </c>
      <c r="AM232" s="1" t="s">
        <v>224</v>
      </c>
      <c r="AN232" s="1">
        <v>2021.0</v>
      </c>
      <c r="AO232" s="1">
        <v>58.0</v>
      </c>
      <c r="AP232" s="1">
        <v>2.0</v>
      </c>
      <c r="AQ232" s="1" t="s">
        <v>68</v>
      </c>
      <c r="AR232" s="1" t="s">
        <v>68</v>
      </c>
      <c r="AS232" s="1" t="s">
        <v>68</v>
      </c>
      <c r="AT232" s="1" t="s">
        <v>68</v>
      </c>
      <c r="AU232" s="1">
        <v>214.0</v>
      </c>
      <c r="AV232" s="1">
        <v>223.0</v>
      </c>
      <c r="AW232" s="1" t="s">
        <v>68</v>
      </c>
      <c r="AX232" s="1" t="s">
        <v>5052</v>
      </c>
      <c r="AY232" s="3" t="str">
        <f>HYPERLINK("http://dx.doi.org/10.1111/1365-2664.13767","http://dx.doi.org/10.1111/1365-2664.13767")</f>
        <v>http://dx.doi.org/10.1111/1365-2664.13767</v>
      </c>
      <c r="AZ232" s="1" t="s">
        <v>68</v>
      </c>
      <c r="BA232" s="1" t="s">
        <v>5053</v>
      </c>
      <c r="BB232" s="1">
        <v>10.0</v>
      </c>
      <c r="BC232" s="1" t="s">
        <v>1011</v>
      </c>
      <c r="BD232" s="1" t="s">
        <v>92</v>
      </c>
      <c r="BE232" s="1" t="s">
        <v>123</v>
      </c>
      <c r="BF232" s="1" t="s">
        <v>5054</v>
      </c>
      <c r="BG232" s="1" t="s">
        <v>68</v>
      </c>
      <c r="BH232" s="1" t="s">
        <v>644</v>
      </c>
      <c r="BI232" s="1" t="s">
        <v>68</v>
      </c>
      <c r="BJ232" s="1" t="s">
        <v>68</v>
      </c>
      <c r="BK232" s="1" t="s">
        <v>95</v>
      </c>
      <c r="BL232" s="1" t="s">
        <v>5055</v>
      </c>
      <c r="BM232" s="1" t="str">
        <f>HYPERLINK("https%3A%2F%2Fwww.webofscience.com%2Fwos%2Fwoscc%2Ffull-record%2FWOS:000575306600001","View Full Record in Web of Science")</f>
        <v>View Full Record in Web of Science</v>
      </c>
    </row>
    <row r="233" ht="12.75" customHeight="1">
      <c r="A233" s="1" t="s">
        <v>65</v>
      </c>
      <c r="B233" s="1" t="s">
        <v>5056</v>
      </c>
      <c r="C233" s="1" t="s">
        <v>5057</v>
      </c>
      <c r="D233" s="1" t="s">
        <v>68</v>
      </c>
      <c r="E233" s="1" t="s">
        <v>5058</v>
      </c>
      <c r="F233" s="1" t="s">
        <v>5059</v>
      </c>
      <c r="G233" s="1" t="s">
        <v>68</v>
      </c>
      <c r="H233" s="1" t="s">
        <v>71</v>
      </c>
      <c r="I233" s="1" t="s">
        <v>72</v>
      </c>
      <c r="J233" s="1" t="s">
        <v>68</v>
      </c>
      <c r="K233" s="1" t="s">
        <v>68</v>
      </c>
      <c r="L233" s="1" t="s">
        <v>68</v>
      </c>
      <c r="M233" s="1" t="s">
        <v>68</v>
      </c>
      <c r="N233" s="1" t="s">
        <v>5060</v>
      </c>
      <c r="O233" s="1" t="s">
        <v>5061</v>
      </c>
      <c r="P233" s="1" t="s">
        <v>5062</v>
      </c>
      <c r="Q233" s="1" t="s">
        <v>5063</v>
      </c>
      <c r="R233" s="1" t="s">
        <v>5064</v>
      </c>
      <c r="S233" s="1" t="s">
        <v>5065</v>
      </c>
      <c r="T233" s="1" t="s">
        <v>5066</v>
      </c>
      <c r="U233" s="1" t="s">
        <v>68</v>
      </c>
      <c r="V233" s="1" t="s">
        <v>5067</v>
      </c>
      <c r="W233" s="1" t="s">
        <v>5068</v>
      </c>
      <c r="X233" s="1" t="s">
        <v>5068</v>
      </c>
      <c r="Y233" s="1" t="s">
        <v>5069</v>
      </c>
      <c r="Z233" s="1">
        <v>70.0</v>
      </c>
      <c r="AA233" s="1">
        <v>0.0</v>
      </c>
      <c r="AB233" s="1">
        <v>0.0</v>
      </c>
      <c r="AC233" s="1">
        <v>6.0</v>
      </c>
      <c r="AD233" s="1">
        <v>6.0</v>
      </c>
      <c r="AE233" s="1" t="s">
        <v>83</v>
      </c>
      <c r="AF233" s="1" t="s">
        <v>84</v>
      </c>
      <c r="AG233" s="1" t="s">
        <v>85</v>
      </c>
      <c r="AH233" s="1" t="s">
        <v>68</v>
      </c>
      <c r="AI233" s="1" t="s">
        <v>5070</v>
      </c>
      <c r="AJ233" s="1" t="s">
        <v>68</v>
      </c>
      <c r="AK233" s="1" t="s">
        <v>5071</v>
      </c>
      <c r="AL233" s="1" t="s">
        <v>5072</v>
      </c>
      <c r="AM233" s="1" t="s">
        <v>5073</v>
      </c>
      <c r="AN233" s="1">
        <v>2025.0</v>
      </c>
      <c r="AO233" s="1">
        <v>16.0</v>
      </c>
      <c r="AP233" s="1" t="s">
        <v>68</v>
      </c>
      <c r="AQ233" s="1" t="s">
        <v>68</v>
      </c>
      <c r="AR233" s="1" t="s">
        <v>68</v>
      </c>
      <c r="AS233" s="1" t="s">
        <v>68</v>
      </c>
      <c r="AT233" s="1" t="s">
        <v>68</v>
      </c>
      <c r="AU233" s="1" t="s">
        <v>68</v>
      </c>
      <c r="AV233" s="1" t="s">
        <v>68</v>
      </c>
      <c r="AW233" s="1">
        <v>1609070.0</v>
      </c>
      <c r="AX233" s="1" t="s">
        <v>5074</v>
      </c>
      <c r="AY233" s="3" t="str">
        <f>HYPERLINK("http://dx.doi.org/10.3389/fmicb.2025.1609070","http://dx.doi.org/10.3389/fmicb.2025.1609070")</f>
        <v>http://dx.doi.org/10.3389/fmicb.2025.1609070</v>
      </c>
      <c r="AZ233" s="1" t="s">
        <v>68</v>
      </c>
      <c r="BA233" s="1" t="s">
        <v>68</v>
      </c>
      <c r="BB233" s="1">
        <v>14.0</v>
      </c>
      <c r="BC233" s="1" t="s">
        <v>406</v>
      </c>
      <c r="BD233" s="1" t="s">
        <v>92</v>
      </c>
      <c r="BE233" s="1" t="s">
        <v>406</v>
      </c>
      <c r="BF233" s="1" t="s">
        <v>5075</v>
      </c>
      <c r="BG233" s="1">
        <v>4.0831636E7</v>
      </c>
      <c r="BH233" s="1" t="s">
        <v>94</v>
      </c>
      <c r="BI233" s="1" t="s">
        <v>68</v>
      </c>
      <c r="BJ233" s="1" t="s">
        <v>68</v>
      </c>
      <c r="BK233" s="1" t="s">
        <v>95</v>
      </c>
      <c r="BL233" s="1" t="s">
        <v>5076</v>
      </c>
      <c r="BM233" s="1" t="str">
        <f>HYPERLINK("https%3A%2F%2Fwww.webofscience.com%2Fwos%2Fwoscc%2Ffull-record%2FWOS:001551435800001","View Full Record in Web of Science")</f>
        <v>View Full Record in Web of Science</v>
      </c>
    </row>
    <row r="234" ht="12.75" customHeight="1">
      <c r="A234" s="1" t="s">
        <v>65</v>
      </c>
      <c r="B234" s="1" t="s">
        <v>5077</v>
      </c>
      <c r="C234" s="1" t="s">
        <v>5078</v>
      </c>
      <c r="D234" s="1" t="s">
        <v>68</v>
      </c>
      <c r="E234" s="1" t="s">
        <v>5079</v>
      </c>
      <c r="F234" s="1" t="s">
        <v>5080</v>
      </c>
      <c r="G234" s="1" t="s">
        <v>68</v>
      </c>
      <c r="H234" s="1" t="s">
        <v>71</v>
      </c>
      <c r="I234" s="1" t="s">
        <v>72</v>
      </c>
      <c r="J234" s="1" t="s">
        <v>68</v>
      </c>
      <c r="K234" s="1" t="s">
        <v>68</v>
      </c>
      <c r="L234" s="1" t="s">
        <v>68</v>
      </c>
      <c r="M234" s="1" t="s">
        <v>68</v>
      </c>
      <c r="N234" s="1" t="s">
        <v>5081</v>
      </c>
      <c r="O234" s="1" t="s">
        <v>5082</v>
      </c>
      <c r="P234" s="1" t="s">
        <v>5083</v>
      </c>
      <c r="Q234" s="1" t="s">
        <v>5084</v>
      </c>
      <c r="R234" s="1" t="s">
        <v>5085</v>
      </c>
      <c r="S234" s="1" t="s">
        <v>5086</v>
      </c>
      <c r="T234" s="1" t="s">
        <v>5087</v>
      </c>
      <c r="U234" s="1" t="s">
        <v>5088</v>
      </c>
      <c r="V234" s="1" t="s">
        <v>5089</v>
      </c>
      <c r="W234" s="1" t="s">
        <v>5090</v>
      </c>
      <c r="X234" s="1" t="s">
        <v>5090</v>
      </c>
      <c r="Y234" s="1" t="s">
        <v>5091</v>
      </c>
      <c r="Z234" s="1">
        <v>106.0</v>
      </c>
      <c r="AA234" s="1">
        <v>3.0</v>
      </c>
      <c r="AB234" s="1">
        <v>3.0</v>
      </c>
      <c r="AC234" s="1">
        <v>3.0</v>
      </c>
      <c r="AD234" s="1">
        <v>4.0</v>
      </c>
      <c r="AE234" s="1" t="s">
        <v>662</v>
      </c>
      <c r="AF234" s="1" t="s">
        <v>663</v>
      </c>
      <c r="AG234" s="1" t="s">
        <v>664</v>
      </c>
      <c r="AH234" s="1" t="s">
        <v>68</v>
      </c>
      <c r="AI234" s="1" t="s">
        <v>5092</v>
      </c>
      <c r="AJ234" s="1" t="s">
        <v>68</v>
      </c>
      <c r="AK234" s="1" t="s">
        <v>5080</v>
      </c>
      <c r="AL234" s="1" t="s">
        <v>5093</v>
      </c>
      <c r="AM234" s="1" t="s">
        <v>5094</v>
      </c>
      <c r="AN234" s="1">
        <v>2025.0</v>
      </c>
      <c r="AO234" s="1">
        <v>25.0</v>
      </c>
      <c r="AP234" s="1">
        <v>1.0</v>
      </c>
      <c r="AQ234" s="1" t="s">
        <v>68</v>
      </c>
      <c r="AR234" s="1" t="s">
        <v>68</v>
      </c>
      <c r="AS234" s="1" t="s">
        <v>68</v>
      </c>
      <c r="AT234" s="1" t="s">
        <v>68</v>
      </c>
      <c r="AU234" s="1" t="s">
        <v>68</v>
      </c>
      <c r="AV234" s="1" t="s">
        <v>68</v>
      </c>
      <c r="AW234" s="1">
        <v>2031.0</v>
      </c>
      <c r="AX234" s="1" t="s">
        <v>5095</v>
      </c>
      <c r="AY234" s="3" t="str">
        <f>HYPERLINK("http://dx.doi.org/10.1186/s12889-025-23221-1","http://dx.doi.org/10.1186/s12889-025-23221-1")</f>
        <v>http://dx.doi.org/10.1186/s12889-025-23221-1</v>
      </c>
      <c r="AZ234" s="1" t="s">
        <v>68</v>
      </c>
      <c r="BA234" s="1" t="s">
        <v>68</v>
      </c>
      <c r="BB234" s="1">
        <v>16.0</v>
      </c>
      <c r="BC234" s="1" t="s">
        <v>3647</v>
      </c>
      <c r="BD234" s="1" t="s">
        <v>92</v>
      </c>
      <c r="BE234" s="1" t="s">
        <v>3647</v>
      </c>
      <c r="BF234" s="1" t="s">
        <v>5096</v>
      </c>
      <c r="BG234" s="1">
        <v>4.0457326E7</v>
      </c>
      <c r="BH234" s="1" t="s">
        <v>94</v>
      </c>
      <c r="BI234" s="1" t="s">
        <v>68</v>
      </c>
      <c r="BJ234" s="1" t="s">
        <v>68</v>
      </c>
      <c r="BK234" s="1" t="s">
        <v>95</v>
      </c>
      <c r="BL234" s="1" t="s">
        <v>5097</v>
      </c>
      <c r="BM234" s="1" t="str">
        <f>HYPERLINK("https%3A%2F%2Fwww.webofscience.com%2Fwos%2Fwoscc%2Ffull-record%2FWOS:001501402700006","View Full Record in Web of Science")</f>
        <v>View Full Record in Web of Science</v>
      </c>
    </row>
    <row r="235" ht="12.75" customHeight="1">
      <c r="A235" s="1" t="s">
        <v>65</v>
      </c>
      <c r="B235" s="1" t="s">
        <v>5098</v>
      </c>
      <c r="C235" s="1" t="s">
        <v>5099</v>
      </c>
      <c r="D235" s="1" t="s">
        <v>68</v>
      </c>
      <c r="E235" s="1" t="s">
        <v>5100</v>
      </c>
      <c r="F235" s="1" t="s">
        <v>5101</v>
      </c>
      <c r="G235" s="1" t="s">
        <v>68</v>
      </c>
      <c r="H235" s="1" t="s">
        <v>71</v>
      </c>
      <c r="I235" s="1" t="s">
        <v>72</v>
      </c>
      <c r="J235" s="1" t="s">
        <v>68</v>
      </c>
      <c r="K235" s="1" t="s">
        <v>68</v>
      </c>
      <c r="L235" s="1" t="s">
        <v>68</v>
      </c>
      <c r="M235" s="1" t="s">
        <v>68</v>
      </c>
      <c r="N235" s="1" t="s">
        <v>5102</v>
      </c>
      <c r="O235" s="1" t="s">
        <v>5103</v>
      </c>
      <c r="P235" s="1" t="s">
        <v>5104</v>
      </c>
      <c r="Q235" s="1" t="s">
        <v>5105</v>
      </c>
      <c r="R235" s="1" t="s">
        <v>5106</v>
      </c>
      <c r="S235" s="1" t="s">
        <v>5107</v>
      </c>
      <c r="T235" s="1" t="s">
        <v>5108</v>
      </c>
      <c r="U235" s="1" t="s">
        <v>5109</v>
      </c>
      <c r="V235" s="1" t="s">
        <v>5110</v>
      </c>
      <c r="W235" s="1" t="s">
        <v>5111</v>
      </c>
      <c r="X235" s="1" t="s">
        <v>5111</v>
      </c>
      <c r="Y235" s="1" t="s">
        <v>5112</v>
      </c>
      <c r="Z235" s="1">
        <v>67.0</v>
      </c>
      <c r="AA235" s="1">
        <v>37.0</v>
      </c>
      <c r="AB235" s="1">
        <v>38.0</v>
      </c>
      <c r="AC235" s="1">
        <v>1.0</v>
      </c>
      <c r="AD235" s="1">
        <v>15.0</v>
      </c>
      <c r="AE235" s="1" t="s">
        <v>503</v>
      </c>
      <c r="AF235" s="1" t="s">
        <v>504</v>
      </c>
      <c r="AG235" s="1" t="s">
        <v>505</v>
      </c>
      <c r="AH235" s="1" t="s">
        <v>5113</v>
      </c>
      <c r="AI235" s="1" t="s">
        <v>5114</v>
      </c>
      <c r="AJ235" s="1" t="s">
        <v>68</v>
      </c>
      <c r="AK235" s="1" t="s">
        <v>5115</v>
      </c>
      <c r="AL235" s="1" t="s">
        <v>5116</v>
      </c>
      <c r="AM235" s="1" t="s">
        <v>252</v>
      </c>
      <c r="AN235" s="1">
        <v>2022.0</v>
      </c>
      <c r="AO235" s="1">
        <v>69.0</v>
      </c>
      <c r="AP235" s="1">
        <v>4.0</v>
      </c>
      <c r="AQ235" s="1" t="s">
        <v>68</v>
      </c>
      <c r="AR235" s="1" t="s">
        <v>68</v>
      </c>
      <c r="AS235" s="1" t="s">
        <v>68</v>
      </c>
      <c r="AT235" s="1" t="s">
        <v>68</v>
      </c>
      <c r="AU235" s="1" t="s">
        <v>5117</v>
      </c>
      <c r="AV235" s="1" t="s">
        <v>5118</v>
      </c>
      <c r="AW235" s="1" t="s">
        <v>68</v>
      </c>
      <c r="AX235" s="1" t="s">
        <v>5119</v>
      </c>
      <c r="AY235" s="3" t="str">
        <f>HYPERLINK("http://dx.doi.org/10.1111/tbed.14314","http://dx.doi.org/10.1111/tbed.14314")</f>
        <v>http://dx.doi.org/10.1111/tbed.14314</v>
      </c>
      <c r="AZ235" s="1" t="s">
        <v>68</v>
      </c>
      <c r="BA235" s="1" t="s">
        <v>3214</v>
      </c>
      <c r="BB235" s="1">
        <v>8.0</v>
      </c>
      <c r="BC235" s="1" t="s">
        <v>5120</v>
      </c>
      <c r="BD235" s="1" t="s">
        <v>92</v>
      </c>
      <c r="BE235" s="1" t="s">
        <v>5120</v>
      </c>
      <c r="BF235" s="1" t="s">
        <v>5121</v>
      </c>
      <c r="BG235" s="1">
        <v>3.4487635E7</v>
      </c>
      <c r="BH235" s="1" t="s">
        <v>644</v>
      </c>
      <c r="BI235" s="1" t="s">
        <v>68</v>
      </c>
      <c r="BJ235" s="1" t="s">
        <v>68</v>
      </c>
      <c r="BK235" s="1" t="s">
        <v>95</v>
      </c>
      <c r="BL235" s="1" t="s">
        <v>5122</v>
      </c>
      <c r="BM235" s="1" t="str">
        <f>HYPERLINK("https%3A%2F%2Fwww.webofscience.com%2Fwos%2Fwoscc%2Ffull-record%2FWOS:000696322200001","View Full Record in Web of Science")</f>
        <v>View Full Record in Web of Science</v>
      </c>
    </row>
    <row r="236" ht="12.75" customHeight="1">
      <c r="A236" s="1" t="s">
        <v>65</v>
      </c>
      <c r="B236" s="1" t="s">
        <v>5123</v>
      </c>
      <c r="C236" s="1" t="s">
        <v>5124</v>
      </c>
      <c r="D236" s="1" t="s">
        <v>68</v>
      </c>
      <c r="E236" s="1" t="s">
        <v>5125</v>
      </c>
      <c r="F236" s="1" t="s">
        <v>1586</v>
      </c>
      <c r="G236" s="1" t="s">
        <v>68</v>
      </c>
      <c r="H236" s="1" t="s">
        <v>71</v>
      </c>
      <c r="I236" s="1" t="s">
        <v>72</v>
      </c>
      <c r="J236" s="1" t="s">
        <v>68</v>
      </c>
      <c r="K236" s="1" t="s">
        <v>68</v>
      </c>
      <c r="L236" s="1" t="s">
        <v>68</v>
      </c>
      <c r="M236" s="1" t="s">
        <v>68</v>
      </c>
      <c r="N236" s="1" t="s">
        <v>5126</v>
      </c>
      <c r="O236" s="1" t="s">
        <v>5127</v>
      </c>
      <c r="P236" s="1" t="s">
        <v>5128</v>
      </c>
      <c r="Q236" s="1" t="s">
        <v>5129</v>
      </c>
      <c r="R236" s="1" t="s">
        <v>5130</v>
      </c>
      <c r="S236" s="1" t="s">
        <v>5131</v>
      </c>
      <c r="T236" s="1" t="s">
        <v>5132</v>
      </c>
      <c r="U236" s="1" t="s">
        <v>68</v>
      </c>
      <c r="V236" s="1" t="s">
        <v>68</v>
      </c>
      <c r="W236" s="1" t="s">
        <v>5133</v>
      </c>
      <c r="X236" s="1" t="s">
        <v>5133</v>
      </c>
      <c r="Y236" s="1" t="s">
        <v>5134</v>
      </c>
      <c r="Z236" s="1">
        <v>31.0</v>
      </c>
      <c r="AA236" s="1">
        <v>20.0</v>
      </c>
      <c r="AB236" s="1">
        <v>23.0</v>
      </c>
      <c r="AC236" s="1">
        <v>1.0</v>
      </c>
      <c r="AD236" s="1">
        <v>26.0</v>
      </c>
      <c r="AE236" s="1" t="s">
        <v>1596</v>
      </c>
      <c r="AF236" s="1" t="s">
        <v>1182</v>
      </c>
      <c r="AG236" s="1" t="s">
        <v>1597</v>
      </c>
      <c r="AH236" s="1" t="s">
        <v>1598</v>
      </c>
      <c r="AI236" s="1" t="s">
        <v>1599</v>
      </c>
      <c r="AJ236" s="1" t="s">
        <v>68</v>
      </c>
      <c r="AK236" s="1" t="s">
        <v>1600</v>
      </c>
      <c r="AL236" s="1" t="s">
        <v>1601</v>
      </c>
      <c r="AM236" s="1" t="s">
        <v>5135</v>
      </c>
      <c r="AN236" s="1">
        <v>2021.0</v>
      </c>
      <c r="AO236" s="1">
        <v>779.0</v>
      </c>
      <c r="AP236" s="1" t="s">
        <v>68</v>
      </c>
      <c r="AQ236" s="1" t="s">
        <v>68</v>
      </c>
      <c r="AR236" s="1" t="s">
        <v>68</v>
      </c>
      <c r="AS236" s="1" t="s">
        <v>68</v>
      </c>
      <c r="AT236" s="1" t="s">
        <v>68</v>
      </c>
      <c r="AU236" s="1" t="s">
        <v>68</v>
      </c>
      <c r="AV236" s="1" t="s">
        <v>68</v>
      </c>
      <c r="AW236" s="1">
        <v>146547.0</v>
      </c>
      <c r="AX236" s="1" t="s">
        <v>5136</v>
      </c>
      <c r="AY236" s="3" t="str">
        <f>HYPERLINK("http://dx.doi.org/10.1016/j.scitotenv.2021.146547","http://dx.doi.org/10.1016/j.scitotenv.2021.146547")</f>
        <v>http://dx.doi.org/10.1016/j.scitotenv.2021.146547</v>
      </c>
      <c r="AZ236" s="1" t="s">
        <v>68</v>
      </c>
      <c r="BA236" s="1" t="s">
        <v>2555</v>
      </c>
      <c r="BB236" s="1">
        <v>7.0</v>
      </c>
      <c r="BC236" s="1" t="s">
        <v>484</v>
      </c>
      <c r="BD236" s="1" t="s">
        <v>92</v>
      </c>
      <c r="BE236" s="1" t="s">
        <v>333</v>
      </c>
      <c r="BF236" s="1" t="s">
        <v>5137</v>
      </c>
      <c r="BG236" s="1">
        <v>3.4030229E7</v>
      </c>
      <c r="BH236" s="1" t="s">
        <v>591</v>
      </c>
      <c r="BI236" s="1" t="s">
        <v>68</v>
      </c>
      <c r="BJ236" s="1" t="s">
        <v>68</v>
      </c>
      <c r="BK236" s="1" t="s">
        <v>95</v>
      </c>
      <c r="BL236" s="1" t="s">
        <v>5138</v>
      </c>
      <c r="BM236" s="1" t="str">
        <f>HYPERLINK("https%3A%2F%2Fwww.webofscience.com%2Fwos%2Fwoscc%2Ffull-record%2FWOS:000655692000004","View Full Record in Web of Science")</f>
        <v>View Full Record in Web of Science</v>
      </c>
    </row>
    <row r="237" ht="12.75" customHeight="1">
      <c r="A237" s="1" t="s">
        <v>65</v>
      </c>
      <c r="B237" s="1" t="s">
        <v>5139</v>
      </c>
      <c r="C237" s="1" t="s">
        <v>5140</v>
      </c>
      <c r="D237" s="1" t="s">
        <v>68</v>
      </c>
      <c r="E237" s="1" t="s">
        <v>5141</v>
      </c>
      <c r="F237" s="1" t="s">
        <v>5142</v>
      </c>
      <c r="G237" s="1" t="s">
        <v>68</v>
      </c>
      <c r="H237" s="1" t="s">
        <v>71</v>
      </c>
      <c r="I237" s="1" t="s">
        <v>72</v>
      </c>
      <c r="J237" s="1" t="s">
        <v>68</v>
      </c>
      <c r="K237" s="1" t="s">
        <v>68</v>
      </c>
      <c r="L237" s="1" t="s">
        <v>68</v>
      </c>
      <c r="M237" s="1" t="s">
        <v>68</v>
      </c>
      <c r="N237" s="1" t="s">
        <v>5143</v>
      </c>
      <c r="O237" s="1" t="s">
        <v>5144</v>
      </c>
      <c r="P237" s="1" t="s">
        <v>5145</v>
      </c>
      <c r="Q237" s="1" t="s">
        <v>5146</v>
      </c>
      <c r="R237" s="1" t="s">
        <v>5147</v>
      </c>
      <c r="S237" s="1" t="s">
        <v>5148</v>
      </c>
      <c r="T237" s="1" t="s">
        <v>5149</v>
      </c>
      <c r="U237" s="1" t="s">
        <v>68</v>
      </c>
      <c r="V237" s="1" t="s">
        <v>5150</v>
      </c>
      <c r="W237" s="1" t="s">
        <v>5151</v>
      </c>
      <c r="X237" s="1" t="s">
        <v>5152</v>
      </c>
      <c r="Y237" s="1" t="s">
        <v>5153</v>
      </c>
      <c r="Z237" s="1">
        <v>55.0</v>
      </c>
      <c r="AA237" s="1">
        <v>16.0</v>
      </c>
      <c r="AB237" s="1">
        <v>16.0</v>
      </c>
      <c r="AC237" s="1">
        <v>1.0</v>
      </c>
      <c r="AD237" s="1">
        <v>48.0</v>
      </c>
      <c r="AE237" s="1" t="s">
        <v>1782</v>
      </c>
      <c r="AF237" s="1" t="s">
        <v>1783</v>
      </c>
      <c r="AG237" s="1" t="s">
        <v>1784</v>
      </c>
      <c r="AH237" s="1" t="s">
        <v>5154</v>
      </c>
      <c r="AI237" s="1" t="s">
        <v>5155</v>
      </c>
      <c r="AJ237" s="1" t="s">
        <v>68</v>
      </c>
      <c r="AK237" s="1" t="s">
        <v>5156</v>
      </c>
      <c r="AL237" s="1" t="s">
        <v>5157</v>
      </c>
      <c r="AM237" s="1" t="s">
        <v>1169</v>
      </c>
      <c r="AN237" s="1">
        <v>2019.0</v>
      </c>
      <c r="AO237" s="1">
        <v>21.0</v>
      </c>
      <c r="AP237" s="1">
        <v>1.0</v>
      </c>
      <c r="AQ237" s="1" t="s">
        <v>68</v>
      </c>
      <c r="AR237" s="1" t="s">
        <v>68</v>
      </c>
      <c r="AS237" s="1" t="s">
        <v>563</v>
      </c>
      <c r="AT237" s="1" t="s">
        <v>68</v>
      </c>
      <c r="AU237" s="1">
        <v>111.0</v>
      </c>
      <c r="AV237" s="1">
        <v>131.0</v>
      </c>
      <c r="AW237" s="1" t="s">
        <v>68</v>
      </c>
      <c r="AX237" s="1" t="s">
        <v>5158</v>
      </c>
      <c r="AY237" s="3" t="str">
        <f>HYPERLINK("http://dx.doi.org/10.1007/s10109-018-0285-2","http://dx.doi.org/10.1007/s10109-018-0285-2")</f>
        <v>http://dx.doi.org/10.1007/s10109-018-0285-2</v>
      </c>
      <c r="AZ237" s="1" t="s">
        <v>68</v>
      </c>
      <c r="BA237" s="1" t="s">
        <v>68</v>
      </c>
      <c r="BB237" s="1">
        <v>21.0</v>
      </c>
      <c r="BC237" s="1" t="s">
        <v>4750</v>
      </c>
      <c r="BD237" s="1" t="s">
        <v>1438</v>
      </c>
      <c r="BE237" s="1" t="s">
        <v>4750</v>
      </c>
      <c r="BF237" s="1" t="s">
        <v>5159</v>
      </c>
      <c r="BG237" s="1" t="s">
        <v>68</v>
      </c>
      <c r="BH237" s="1" t="s">
        <v>68</v>
      </c>
      <c r="BI237" s="1" t="s">
        <v>68</v>
      </c>
      <c r="BJ237" s="1" t="s">
        <v>68</v>
      </c>
      <c r="BK237" s="1" t="s">
        <v>95</v>
      </c>
      <c r="BL237" s="1" t="s">
        <v>5160</v>
      </c>
      <c r="BM237" s="1" t="str">
        <f>HYPERLINK("https%3A%2F%2Fwww.webofscience.com%2Fwos%2Fwoscc%2Ffull-record%2FWOS:000460946600006","View Full Record in Web of Science")</f>
        <v>View Full Record in Web of Science</v>
      </c>
    </row>
    <row r="238" ht="12.75" customHeight="1">
      <c r="A238" s="1" t="s">
        <v>65</v>
      </c>
      <c r="B238" s="1" t="s">
        <v>5161</v>
      </c>
      <c r="C238" s="1" t="s">
        <v>5162</v>
      </c>
      <c r="D238" s="1" t="s">
        <v>68</v>
      </c>
      <c r="E238" s="1" t="s">
        <v>5163</v>
      </c>
      <c r="F238" s="1" t="s">
        <v>4651</v>
      </c>
      <c r="G238" s="1" t="s">
        <v>68</v>
      </c>
      <c r="H238" s="1" t="s">
        <v>71</v>
      </c>
      <c r="I238" s="1" t="s">
        <v>72</v>
      </c>
      <c r="J238" s="1" t="s">
        <v>68</v>
      </c>
      <c r="K238" s="1" t="s">
        <v>68</v>
      </c>
      <c r="L238" s="1" t="s">
        <v>68</v>
      </c>
      <c r="M238" s="1" t="s">
        <v>68</v>
      </c>
      <c r="N238" s="1" t="s">
        <v>5164</v>
      </c>
      <c r="O238" s="1" t="s">
        <v>5165</v>
      </c>
      <c r="P238" s="1" t="s">
        <v>5166</v>
      </c>
      <c r="Q238" s="1" t="s">
        <v>5167</v>
      </c>
      <c r="R238" s="1" t="s">
        <v>68</v>
      </c>
      <c r="S238" s="1" t="s">
        <v>5168</v>
      </c>
      <c r="T238" s="1" t="s">
        <v>5169</v>
      </c>
      <c r="U238" s="1" t="s">
        <v>68</v>
      </c>
      <c r="V238" s="1" t="s">
        <v>5170</v>
      </c>
      <c r="W238" s="1" t="s">
        <v>5171</v>
      </c>
      <c r="X238" s="1" t="s">
        <v>5172</v>
      </c>
      <c r="Y238" s="1" t="s">
        <v>5173</v>
      </c>
      <c r="Z238" s="1">
        <v>97.0</v>
      </c>
      <c r="AA238" s="1">
        <v>9.0</v>
      </c>
      <c r="AB238" s="1">
        <v>9.0</v>
      </c>
      <c r="AC238" s="1">
        <v>0.0</v>
      </c>
      <c r="AD238" s="1">
        <v>7.0</v>
      </c>
      <c r="AE238" s="1" t="s">
        <v>1596</v>
      </c>
      <c r="AF238" s="1" t="s">
        <v>1182</v>
      </c>
      <c r="AG238" s="1" t="s">
        <v>1597</v>
      </c>
      <c r="AH238" s="1" t="s">
        <v>4663</v>
      </c>
      <c r="AI238" s="1" t="s">
        <v>68</v>
      </c>
      <c r="AJ238" s="1" t="s">
        <v>68</v>
      </c>
      <c r="AK238" s="1" t="s">
        <v>4664</v>
      </c>
      <c r="AL238" s="1" t="s">
        <v>4665</v>
      </c>
      <c r="AM238" s="1" t="s">
        <v>120</v>
      </c>
      <c r="AN238" s="1">
        <v>2023.0</v>
      </c>
      <c r="AO238" s="1">
        <v>64.0</v>
      </c>
      <c r="AP238" s="1" t="s">
        <v>68</v>
      </c>
      <c r="AQ238" s="1" t="s">
        <v>68</v>
      </c>
      <c r="AR238" s="1" t="s">
        <v>68</v>
      </c>
      <c r="AS238" s="1" t="s">
        <v>68</v>
      </c>
      <c r="AT238" s="1" t="s">
        <v>68</v>
      </c>
      <c r="AU238" s="1" t="s">
        <v>68</v>
      </c>
      <c r="AV238" s="1" t="s">
        <v>68</v>
      </c>
      <c r="AW238" s="1">
        <v>103058.0</v>
      </c>
      <c r="AX238" s="1" t="s">
        <v>5174</v>
      </c>
      <c r="AY238" s="3" t="str">
        <f>HYPERLINK("http://dx.doi.org/10.1016/j.rsma.2023.103058","http://dx.doi.org/10.1016/j.rsma.2023.103058")</f>
        <v>http://dx.doi.org/10.1016/j.rsma.2023.103058</v>
      </c>
      <c r="AZ238" s="1" t="s">
        <v>68</v>
      </c>
      <c r="BA238" s="1" t="s">
        <v>1673</v>
      </c>
      <c r="BB238" s="1">
        <v>11.0</v>
      </c>
      <c r="BC238" s="1" t="s">
        <v>4593</v>
      </c>
      <c r="BD238" s="1" t="s">
        <v>92</v>
      </c>
      <c r="BE238" s="1" t="s">
        <v>2350</v>
      </c>
      <c r="BF238" s="1" t="s">
        <v>5175</v>
      </c>
      <c r="BG238" s="1" t="s">
        <v>68</v>
      </c>
      <c r="BH238" s="1" t="s">
        <v>68</v>
      </c>
      <c r="BI238" s="1" t="s">
        <v>68</v>
      </c>
      <c r="BJ238" s="1" t="s">
        <v>68</v>
      </c>
      <c r="BK238" s="1" t="s">
        <v>95</v>
      </c>
      <c r="BL238" s="1" t="s">
        <v>5176</v>
      </c>
      <c r="BM238" s="1" t="str">
        <f>HYPERLINK("https%3A%2F%2Fwww.webofscience.com%2Fwos%2Fwoscc%2Ffull-record%2FWOS:001039179500001","View Full Record in Web of Science")</f>
        <v>View Full Record in Web of Science</v>
      </c>
    </row>
    <row r="239" ht="12.75" customHeight="1">
      <c r="A239" s="1" t="s">
        <v>65</v>
      </c>
      <c r="B239" s="1" t="s">
        <v>5177</v>
      </c>
      <c r="C239" s="1" t="s">
        <v>5178</v>
      </c>
      <c r="D239" s="1" t="s">
        <v>68</v>
      </c>
      <c r="E239" s="1" t="s">
        <v>5179</v>
      </c>
      <c r="F239" s="1" t="s">
        <v>1518</v>
      </c>
      <c r="G239" s="1" t="s">
        <v>68</v>
      </c>
      <c r="H239" s="1" t="s">
        <v>71</v>
      </c>
      <c r="I239" s="1" t="s">
        <v>72</v>
      </c>
      <c r="J239" s="1" t="s">
        <v>68</v>
      </c>
      <c r="K239" s="1" t="s">
        <v>68</v>
      </c>
      <c r="L239" s="1" t="s">
        <v>68</v>
      </c>
      <c r="M239" s="1" t="s">
        <v>68</v>
      </c>
      <c r="N239" s="1" t="s">
        <v>5180</v>
      </c>
      <c r="O239" s="1" t="s">
        <v>5181</v>
      </c>
      <c r="P239" s="1" t="s">
        <v>5182</v>
      </c>
      <c r="Q239" s="1" t="s">
        <v>5183</v>
      </c>
      <c r="R239" s="1" t="s">
        <v>5184</v>
      </c>
      <c r="S239" s="1" t="s">
        <v>5185</v>
      </c>
      <c r="T239" s="1" t="s">
        <v>5186</v>
      </c>
      <c r="U239" s="1" t="s">
        <v>5187</v>
      </c>
      <c r="V239" s="1" t="s">
        <v>5188</v>
      </c>
      <c r="W239" s="1" t="s">
        <v>5189</v>
      </c>
      <c r="X239" s="1" t="s">
        <v>5189</v>
      </c>
      <c r="Y239" s="1" t="s">
        <v>5190</v>
      </c>
      <c r="Z239" s="1">
        <v>37.0</v>
      </c>
      <c r="AA239" s="1">
        <v>4.0</v>
      </c>
      <c r="AB239" s="1">
        <v>4.0</v>
      </c>
      <c r="AC239" s="1">
        <v>1.0</v>
      </c>
      <c r="AD239" s="1">
        <v>1.0</v>
      </c>
      <c r="AE239" s="1" t="s">
        <v>1527</v>
      </c>
      <c r="AF239" s="1" t="s">
        <v>663</v>
      </c>
      <c r="AG239" s="1" t="s">
        <v>1528</v>
      </c>
      <c r="AH239" s="1" t="s">
        <v>1529</v>
      </c>
      <c r="AI239" s="1" t="s">
        <v>68</v>
      </c>
      <c r="AJ239" s="1" t="s">
        <v>68</v>
      </c>
      <c r="AK239" s="1" t="s">
        <v>1530</v>
      </c>
      <c r="AL239" s="1" t="s">
        <v>1531</v>
      </c>
      <c r="AM239" s="1" t="s">
        <v>68</v>
      </c>
      <c r="AN239" s="1">
        <v>2023.0</v>
      </c>
      <c r="AO239" s="1">
        <v>8.0</v>
      </c>
      <c r="AP239" s="1">
        <v>1.0</v>
      </c>
      <c r="AQ239" s="1" t="s">
        <v>68</v>
      </c>
      <c r="AR239" s="1" t="s">
        <v>68</v>
      </c>
      <c r="AS239" s="1" t="s">
        <v>68</v>
      </c>
      <c r="AT239" s="1" t="s">
        <v>68</v>
      </c>
      <c r="AU239" s="1" t="s">
        <v>68</v>
      </c>
      <c r="AV239" s="1" t="s">
        <v>68</v>
      </c>
      <c r="AW239" s="1">
        <v>7.0</v>
      </c>
      <c r="AX239" s="1" t="s">
        <v>5191</v>
      </c>
      <c r="AY239" s="3" t="str">
        <f>HYPERLINK("http://dx.doi.org/10.5334/cstp.448","http://dx.doi.org/10.5334/cstp.448")</f>
        <v>http://dx.doi.org/10.5334/cstp.448</v>
      </c>
      <c r="AZ239" s="1" t="s">
        <v>68</v>
      </c>
      <c r="BA239" s="1" t="s">
        <v>68</v>
      </c>
      <c r="BB239" s="1">
        <v>15.0</v>
      </c>
      <c r="BC239" s="1" t="s">
        <v>1533</v>
      </c>
      <c r="BD239" s="1" t="s">
        <v>197</v>
      </c>
      <c r="BE239" s="1" t="s">
        <v>1534</v>
      </c>
      <c r="BF239" s="1" t="s">
        <v>5192</v>
      </c>
      <c r="BG239" s="1" t="s">
        <v>68</v>
      </c>
      <c r="BH239" s="1" t="s">
        <v>94</v>
      </c>
      <c r="BI239" s="1" t="s">
        <v>68</v>
      </c>
      <c r="BJ239" s="1" t="s">
        <v>68</v>
      </c>
      <c r="BK239" s="1" t="s">
        <v>95</v>
      </c>
      <c r="BL239" s="1" t="s">
        <v>5193</v>
      </c>
      <c r="BM239" s="1" t="str">
        <f>HYPERLINK("https%3A%2F%2Fwww.webofscience.com%2Fwos%2Fwoscc%2Ffull-record%2FWOS:001552706000001","View Full Record in Web of Science")</f>
        <v>View Full Record in Web of Science</v>
      </c>
    </row>
    <row r="240" ht="12.75" customHeight="1">
      <c r="A240" s="1" t="s">
        <v>65</v>
      </c>
      <c r="B240" s="1" t="s">
        <v>5194</v>
      </c>
      <c r="C240" s="1" t="s">
        <v>5195</v>
      </c>
      <c r="D240" s="1" t="s">
        <v>68</v>
      </c>
      <c r="E240" s="1" t="s">
        <v>5196</v>
      </c>
      <c r="F240" s="1" t="s">
        <v>1518</v>
      </c>
      <c r="G240" s="1" t="s">
        <v>68</v>
      </c>
      <c r="H240" s="1" t="s">
        <v>71</v>
      </c>
      <c r="I240" s="1" t="s">
        <v>72</v>
      </c>
      <c r="J240" s="1" t="s">
        <v>68</v>
      </c>
      <c r="K240" s="1" t="s">
        <v>68</v>
      </c>
      <c r="L240" s="1" t="s">
        <v>68</v>
      </c>
      <c r="M240" s="1" t="s">
        <v>68</v>
      </c>
      <c r="N240" s="1" t="s">
        <v>5197</v>
      </c>
      <c r="O240" s="1" t="s">
        <v>5198</v>
      </c>
      <c r="P240" s="1" t="s">
        <v>5199</v>
      </c>
      <c r="Q240" s="1" t="s">
        <v>5200</v>
      </c>
      <c r="R240" s="1" t="s">
        <v>68</v>
      </c>
      <c r="S240" s="1" t="s">
        <v>5201</v>
      </c>
      <c r="T240" s="1" t="s">
        <v>5202</v>
      </c>
      <c r="U240" s="1" t="s">
        <v>68</v>
      </c>
      <c r="V240" s="1" t="s">
        <v>68</v>
      </c>
      <c r="W240" s="1" t="s">
        <v>68</v>
      </c>
      <c r="X240" s="1" t="s">
        <v>68</v>
      </c>
      <c r="Y240" s="1" t="s">
        <v>68</v>
      </c>
      <c r="Z240" s="1">
        <v>80.0</v>
      </c>
      <c r="AA240" s="1">
        <v>7.0</v>
      </c>
      <c r="AB240" s="1">
        <v>9.0</v>
      </c>
      <c r="AC240" s="1">
        <v>3.0</v>
      </c>
      <c r="AD240" s="1">
        <v>4.0</v>
      </c>
      <c r="AE240" s="1" t="s">
        <v>1527</v>
      </c>
      <c r="AF240" s="1" t="s">
        <v>663</v>
      </c>
      <c r="AG240" s="1" t="s">
        <v>1528</v>
      </c>
      <c r="AH240" s="1" t="s">
        <v>1529</v>
      </c>
      <c r="AI240" s="1" t="s">
        <v>68</v>
      </c>
      <c r="AJ240" s="1" t="s">
        <v>68</v>
      </c>
      <c r="AK240" s="1" t="s">
        <v>1530</v>
      </c>
      <c r="AL240" s="1" t="s">
        <v>1531</v>
      </c>
      <c r="AM240" s="1" t="s">
        <v>68</v>
      </c>
      <c r="AN240" s="1">
        <v>2023.0</v>
      </c>
      <c r="AO240" s="1">
        <v>8.0</v>
      </c>
      <c r="AP240" s="1">
        <v>1.0</v>
      </c>
      <c r="AQ240" s="1" t="s">
        <v>68</v>
      </c>
      <c r="AR240" s="1" t="s">
        <v>68</v>
      </c>
      <c r="AS240" s="1" t="s">
        <v>68</v>
      </c>
      <c r="AT240" s="1" t="s">
        <v>68</v>
      </c>
      <c r="AU240" s="1" t="s">
        <v>68</v>
      </c>
      <c r="AV240" s="1" t="s">
        <v>68</v>
      </c>
      <c r="AW240" s="1">
        <v>24.0</v>
      </c>
      <c r="AX240" s="1" t="s">
        <v>5203</v>
      </c>
      <c r="AY240" s="3" t="str">
        <f>HYPERLINK("http://dx.doi.org/10.5334/cstp.604","http://dx.doi.org/10.5334/cstp.604")</f>
        <v>http://dx.doi.org/10.5334/cstp.604</v>
      </c>
      <c r="AZ240" s="1" t="s">
        <v>68</v>
      </c>
      <c r="BA240" s="1" t="s">
        <v>68</v>
      </c>
      <c r="BB240" s="1">
        <v>13.0</v>
      </c>
      <c r="BC240" s="1" t="s">
        <v>1533</v>
      </c>
      <c r="BD240" s="1" t="s">
        <v>197</v>
      </c>
      <c r="BE240" s="1" t="s">
        <v>1534</v>
      </c>
      <c r="BF240" s="1" t="s">
        <v>5204</v>
      </c>
      <c r="BG240" s="1" t="s">
        <v>68</v>
      </c>
      <c r="BH240" s="1" t="s">
        <v>94</v>
      </c>
      <c r="BI240" s="1" t="s">
        <v>68</v>
      </c>
      <c r="BJ240" s="1" t="s">
        <v>68</v>
      </c>
      <c r="BK240" s="1" t="s">
        <v>95</v>
      </c>
      <c r="BL240" s="1" t="s">
        <v>5205</v>
      </c>
      <c r="BM240" s="1" t="str">
        <f>HYPERLINK("https%3A%2F%2Fwww.webofscience.com%2Fwos%2Fwoscc%2Ffull-record%2FWOS:001553664000002","View Full Record in Web of Science")</f>
        <v>View Full Record in Web of Science</v>
      </c>
    </row>
    <row r="241" ht="12.75" customHeight="1">
      <c r="A241" s="1" t="s">
        <v>65</v>
      </c>
      <c r="B241" s="1" t="s">
        <v>5206</v>
      </c>
      <c r="C241" s="1" t="s">
        <v>5207</v>
      </c>
      <c r="D241" s="1" t="s">
        <v>68</v>
      </c>
      <c r="E241" s="1" t="s">
        <v>5208</v>
      </c>
      <c r="F241" s="1" t="s">
        <v>3681</v>
      </c>
      <c r="G241" s="1" t="s">
        <v>68</v>
      </c>
      <c r="H241" s="1" t="s">
        <v>71</v>
      </c>
      <c r="I241" s="1" t="s">
        <v>72</v>
      </c>
      <c r="J241" s="1" t="s">
        <v>68</v>
      </c>
      <c r="K241" s="1" t="s">
        <v>68</v>
      </c>
      <c r="L241" s="1" t="s">
        <v>68</v>
      </c>
      <c r="M241" s="1" t="s">
        <v>68</v>
      </c>
      <c r="N241" s="1" t="s">
        <v>5209</v>
      </c>
      <c r="O241" s="1" t="s">
        <v>5210</v>
      </c>
      <c r="P241" s="1" t="s">
        <v>5211</v>
      </c>
      <c r="Q241" s="1" t="s">
        <v>5212</v>
      </c>
      <c r="R241" s="1" t="s">
        <v>5213</v>
      </c>
      <c r="S241" s="1" t="s">
        <v>5214</v>
      </c>
      <c r="T241" s="1" t="s">
        <v>5215</v>
      </c>
      <c r="U241" s="1" t="s">
        <v>5216</v>
      </c>
      <c r="V241" s="1" t="s">
        <v>5217</v>
      </c>
      <c r="W241" s="1" t="s">
        <v>5218</v>
      </c>
      <c r="X241" s="1" t="s">
        <v>5218</v>
      </c>
      <c r="Y241" s="1" t="s">
        <v>5219</v>
      </c>
      <c r="Z241" s="1">
        <v>62.0</v>
      </c>
      <c r="AA241" s="1">
        <v>0.0</v>
      </c>
      <c r="AB241" s="1">
        <v>0.0</v>
      </c>
      <c r="AC241" s="1">
        <v>3.0</v>
      </c>
      <c r="AD241" s="1">
        <v>3.0</v>
      </c>
      <c r="AE241" s="1" t="s">
        <v>503</v>
      </c>
      <c r="AF241" s="1" t="s">
        <v>504</v>
      </c>
      <c r="AG241" s="1" t="s">
        <v>505</v>
      </c>
      <c r="AH241" s="1" t="s">
        <v>3693</v>
      </c>
      <c r="AI241" s="1" t="s">
        <v>3694</v>
      </c>
      <c r="AJ241" s="1" t="s">
        <v>68</v>
      </c>
      <c r="AK241" s="1" t="s">
        <v>3695</v>
      </c>
      <c r="AL241" s="1" t="s">
        <v>3696</v>
      </c>
      <c r="AM241" s="1" t="s">
        <v>1789</v>
      </c>
      <c r="AN241" s="1">
        <v>2026.0</v>
      </c>
      <c r="AO241" s="1">
        <v>19.0</v>
      </c>
      <c r="AP241" s="1">
        <v>1.0</v>
      </c>
      <c r="AQ241" s="1" t="s">
        <v>68</v>
      </c>
      <c r="AR241" s="1" t="s">
        <v>68</v>
      </c>
      <c r="AS241" s="1" t="s">
        <v>68</v>
      </c>
      <c r="AT241" s="1" t="s">
        <v>68</v>
      </c>
      <c r="AU241" s="1">
        <v>84.0</v>
      </c>
      <c r="AV241" s="1">
        <v>92.0</v>
      </c>
      <c r="AW241" s="1" t="s">
        <v>68</v>
      </c>
      <c r="AX241" s="1" t="s">
        <v>5220</v>
      </c>
      <c r="AY241" s="3" t="str">
        <f>HYPERLINK("http://dx.doi.org/10.1111/icad.70006","http://dx.doi.org/10.1111/icad.70006")</f>
        <v>http://dx.doi.org/10.1111/icad.70006</v>
      </c>
      <c r="AZ241" s="1" t="s">
        <v>68</v>
      </c>
      <c r="BA241" s="1" t="s">
        <v>5221</v>
      </c>
      <c r="BB241" s="1">
        <v>9.0</v>
      </c>
      <c r="BC241" s="1" t="s">
        <v>3698</v>
      </c>
      <c r="BD241" s="1" t="s">
        <v>92</v>
      </c>
      <c r="BE241" s="1" t="s">
        <v>3699</v>
      </c>
      <c r="BF241" s="1" t="s">
        <v>5222</v>
      </c>
      <c r="BG241" s="1" t="s">
        <v>68</v>
      </c>
      <c r="BH241" s="1" t="s">
        <v>867</v>
      </c>
      <c r="BI241" s="1" t="s">
        <v>68</v>
      </c>
      <c r="BJ241" s="1" t="s">
        <v>68</v>
      </c>
      <c r="BK241" s="1" t="s">
        <v>95</v>
      </c>
      <c r="BL241" s="1" t="s">
        <v>5223</v>
      </c>
      <c r="BM241" s="1" t="str">
        <f>HYPERLINK("https%3A%2F%2Fwww.webofscience.com%2Fwos%2Fwoscc%2Ffull-record%2FWOS:001548679800001","View Full Record in Web of Science")</f>
        <v>View Full Record in Web of Science</v>
      </c>
    </row>
    <row r="242" ht="12.75" customHeight="1">
      <c r="A242" s="1" t="s">
        <v>65</v>
      </c>
      <c r="B242" s="1" t="s">
        <v>5224</v>
      </c>
      <c r="C242" s="1" t="s">
        <v>5225</v>
      </c>
      <c r="D242" s="1" t="s">
        <v>68</v>
      </c>
      <c r="E242" s="1" t="s">
        <v>5226</v>
      </c>
      <c r="F242" s="1" t="s">
        <v>5227</v>
      </c>
      <c r="G242" s="1" t="s">
        <v>68</v>
      </c>
      <c r="H242" s="1" t="s">
        <v>71</v>
      </c>
      <c r="I242" s="1" t="s">
        <v>72</v>
      </c>
      <c r="J242" s="1" t="s">
        <v>68</v>
      </c>
      <c r="K242" s="1" t="s">
        <v>68</v>
      </c>
      <c r="L242" s="1" t="s">
        <v>68</v>
      </c>
      <c r="M242" s="1" t="s">
        <v>68</v>
      </c>
      <c r="N242" s="1" t="s">
        <v>5228</v>
      </c>
      <c r="O242" s="1" t="s">
        <v>68</v>
      </c>
      <c r="P242" s="1" t="s">
        <v>5229</v>
      </c>
      <c r="Q242" s="1" t="s">
        <v>5230</v>
      </c>
      <c r="R242" s="1" t="s">
        <v>5231</v>
      </c>
      <c r="S242" s="1" t="s">
        <v>5232</v>
      </c>
      <c r="T242" s="1" t="s">
        <v>5233</v>
      </c>
      <c r="U242" s="1" t="s">
        <v>68</v>
      </c>
      <c r="V242" s="1" t="s">
        <v>68</v>
      </c>
      <c r="W242" s="1" t="s">
        <v>5234</v>
      </c>
      <c r="X242" s="1" t="s">
        <v>5235</v>
      </c>
      <c r="Y242" s="1" t="s">
        <v>5236</v>
      </c>
      <c r="Z242" s="1">
        <v>25.0</v>
      </c>
      <c r="AA242" s="1">
        <v>0.0</v>
      </c>
      <c r="AB242" s="1">
        <v>0.0</v>
      </c>
      <c r="AC242" s="1">
        <v>0.0</v>
      </c>
      <c r="AD242" s="1">
        <v>17.0</v>
      </c>
      <c r="AE242" s="1" t="s">
        <v>5237</v>
      </c>
      <c r="AF242" s="1" t="s">
        <v>5238</v>
      </c>
      <c r="AG242" s="1" t="s">
        <v>5239</v>
      </c>
      <c r="AH242" s="1" t="s">
        <v>5240</v>
      </c>
      <c r="AI242" s="1" t="s">
        <v>68</v>
      </c>
      <c r="AJ242" s="1" t="s">
        <v>68</v>
      </c>
      <c r="AK242" s="1" t="s">
        <v>5241</v>
      </c>
      <c r="AL242" s="1" t="s">
        <v>5242</v>
      </c>
      <c r="AM242" s="1" t="s">
        <v>428</v>
      </c>
      <c r="AN242" s="1">
        <v>2015.0</v>
      </c>
      <c r="AO242" s="1">
        <v>50.0</v>
      </c>
      <c r="AP242" s="1">
        <v>4.0</v>
      </c>
      <c r="AQ242" s="1" t="s">
        <v>68</v>
      </c>
      <c r="AR242" s="1" t="s">
        <v>68</v>
      </c>
      <c r="AS242" s="1" t="s">
        <v>68</v>
      </c>
      <c r="AT242" s="1" t="s">
        <v>68</v>
      </c>
      <c r="AU242" s="1">
        <v>335.0</v>
      </c>
      <c r="AV242" s="1">
        <v>349.0</v>
      </c>
      <c r="AW242" s="1" t="s">
        <v>68</v>
      </c>
      <c r="AX242" s="1" t="s">
        <v>68</v>
      </c>
      <c r="AY242" s="1" t="s">
        <v>68</v>
      </c>
      <c r="AZ242" s="1" t="s">
        <v>68</v>
      </c>
      <c r="BA242" s="1" t="s">
        <v>68</v>
      </c>
      <c r="BB242" s="1">
        <v>15.0</v>
      </c>
      <c r="BC242" s="1" t="s">
        <v>309</v>
      </c>
      <c r="BD242" s="1" t="s">
        <v>92</v>
      </c>
      <c r="BE242" s="1" t="s">
        <v>309</v>
      </c>
      <c r="BF242" s="1" t="s">
        <v>5243</v>
      </c>
      <c r="BG242" s="1" t="s">
        <v>68</v>
      </c>
      <c r="BH242" s="1" t="s">
        <v>68</v>
      </c>
      <c r="BI242" s="1" t="s">
        <v>68</v>
      </c>
      <c r="BJ242" s="1" t="s">
        <v>68</v>
      </c>
      <c r="BK242" s="1" t="s">
        <v>95</v>
      </c>
      <c r="BL242" s="1" t="s">
        <v>5244</v>
      </c>
      <c r="BM242" s="1" t="str">
        <f>HYPERLINK("https%3A%2F%2Fwww.webofscience.com%2Fwos%2Fwoscc%2Ffull-record%2FWOS:000364107400007","View Full Record in Web of Science")</f>
        <v>View Full Record in Web of Science</v>
      </c>
    </row>
    <row r="243" ht="12.75" customHeight="1">
      <c r="A243" s="1" t="s">
        <v>65</v>
      </c>
      <c r="B243" s="1" t="s">
        <v>5245</v>
      </c>
      <c r="C243" s="1" t="s">
        <v>5246</v>
      </c>
      <c r="D243" s="1" t="s">
        <v>68</v>
      </c>
      <c r="E243" s="1" t="s">
        <v>5247</v>
      </c>
      <c r="F243" s="1" t="s">
        <v>467</v>
      </c>
      <c r="G243" s="1" t="s">
        <v>68</v>
      </c>
      <c r="H243" s="1" t="s">
        <v>71</v>
      </c>
      <c r="I243" s="1" t="s">
        <v>72</v>
      </c>
      <c r="J243" s="1" t="s">
        <v>68</v>
      </c>
      <c r="K243" s="1" t="s">
        <v>68</v>
      </c>
      <c r="L243" s="1" t="s">
        <v>68</v>
      </c>
      <c r="M243" s="1" t="s">
        <v>68</v>
      </c>
      <c r="N243" s="1" t="s">
        <v>5248</v>
      </c>
      <c r="O243" s="1" t="s">
        <v>5249</v>
      </c>
      <c r="P243" s="1" t="s">
        <v>5250</v>
      </c>
      <c r="Q243" s="1" t="s">
        <v>5251</v>
      </c>
      <c r="R243" s="1" t="s">
        <v>5252</v>
      </c>
      <c r="S243" s="1" t="s">
        <v>5253</v>
      </c>
      <c r="T243" s="1" t="s">
        <v>5254</v>
      </c>
      <c r="U243" s="1" t="s">
        <v>68</v>
      </c>
      <c r="V243" s="1" t="s">
        <v>68</v>
      </c>
      <c r="W243" s="1" t="s">
        <v>5255</v>
      </c>
      <c r="X243" s="1" t="s">
        <v>5256</v>
      </c>
      <c r="Y243" s="1" t="s">
        <v>5257</v>
      </c>
      <c r="Z243" s="1">
        <v>64.0</v>
      </c>
      <c r="AA243" s="1">
        <v>1.0</v>
      </c>
      <c r="AB243" s="1">
        <v>2.0</v>
      </c>
      <c r="AC243" s="1">
        <v>1.0</v>
      </c>
      <c r="AD243" s="1">
        <v>13.0</v>
      </c>
      <c r="AE243" s="1" t="s">
        <v>83</v>
      </c>
      <c r="AF243" s="1" t="s">
        <v>84</v>
      </c>
      <c r="AG243" s="1" t="s">
        <v>85</v>
      </c>
      <c r="AH243" s="1" t="s">
        <v>68</v>
      </c>
      <c r="AI243" s="1" t="s">
        <v>479</v>
      </c>
      <c r="AJ243" s="1" t="s">
        <v>68</v>
      </c>
      <c r="AK243" s="1" t="s">
        <v>480</v>
      </c>
      <c r="AL243" s="1" t="s">
        <v>481</v>
      </c>
      <c r="AM243" s="1" t="s">
        <v>5258</v>
      </c>
      <c r="AN243" s="1">
        <v>2023.0</v>
      </c>
      <c r="AO243" s="1">
        <v>11.0</v>
      </c>
      <c r="AP243" s="1" t="s">
        <v>68</v>
      </c>
      <c r="AQ243" s="1" t="s">
        <v>68</v>
      </c>
      <c r="AR243" s="1" t="s">
        <v>68</v>
      </c>
      <c r="AS243" s="1" t="s">
        <v>68</v>
      </c>
      <c r="AT243" s="1" t="s">
        <v>68</v>
      </c>
      <c r="AU243" s="1" t="s">
        <v>68</v>
      </c>
      <c r="AV243" s="1" t="s">
        <v>68</v>
      </c>
      <c r="AW243" s="1">
        <v>1130210.0</v>
      </c>
      <c r="AX243" s="1" t="s">
        <v>5259</v>
      </c>
      <c r="AY243" s="3" t="str">
        <f>HYPERLINK("http://dx.doi.org/10.3389/fenvs.2023.1130210","http://dx.doi.org/10.3389/fenvs.2023.1130210")</f>
        <v>http://dx.doi.org/10.3389/fenvs.2023.1130210</v>
      </c>
      <c r="AZ243" s="1" t="s">
        <v>68</v>
      </c>
      <c r="BA243" s="1" t="s">
        <v>68</v>
      </c>
      <c r="BB243" s="1">
        <v>18.0</v>
      </c>
      <c r="BC243" s="1" t="s">
        <v>484</v>
      </c>
      <c r="BD243" s="1" t="s">
        <v>92</v>
      </c>
      <c r="BE243" s="1" t="s">
        <v>333</v>
      </c>
      <c r="BF243" s="1" t="s">
        <v>5260</v>
      </c>
      <c r="BG243" s="1" t="s">
        <v>68</v>
      </c>
      <c r="BH243" s="1" t="s">
        <v>94</v>
      </c>
      <c r="BI243" s="1" t="s">
        <v>68</v>
      </c>
      <c r="BJ243" s="1" t="s">
        <v>68</v>
      </c>
      <c r="BK243" s="1" t="s">
        <v>95</v>
      </c>
      <c r="BL243" s="1" t="s">
        <v>5261</v>
      </c>
      <c r="BM243" s="1" t="str">
        <f>HYPERLINK("https%3A%2F%2Fwww.webofscience.com%2Fwos%2Fwoscc%2Ffull-record%2FWOS:001058972600001","View Full Record in Web of Science")</f>
        <v>View Full Record in Web of Science</v>
      </c>
    </row>
    <row r="244" ht="12.75" customHeight="1">
      <c r="A244" s="1" t="s">
        <v>65</v>
      </c>
      <c r="B244" s="1" t="s">
        <v>5262</v>
      </c>
      <c r="C244" s="1" t="s">
        <v>5263</v>
      </c>
      <c r="D244" s="1" t="s">
        <v>68</v>
      </c>
      <c r="E244" s="1" t="s">
        <v>5264</v>
      </c>
      <c r="F244" s="1" t="s">
        <v>798</v>
      </c>
      <c r="G244" s="1" t="s">
        <v>68</v>
      </c>
      <c r="H244" s="1" t="s">
        <v>71</v>
      </c>
      <c r="I244" s="1" t="s">
        <v>72</v>
      </c>
      <c r="J244" s="1" t="s">
        <v>68</v>
      </c>
      <c r="K244" s="1" t="s">
        <v>68</v>
      </c>
      <c r="L244" s="1" t="s">
        <v>68</v>
      </c>
      <c r="M244" s="1" t="s">
        <v>68</v>
      </c>
      <c r="N244" s="1" t="s">
        <v>5265</v>
      </c>
      <c r="O244" s="1" t="s">
        <v>5266</v>
      </c>
      <c r="P244" s="1" t="s">
        <v>5267</v>
      </c>
      <c r="Q244" s="1" t="s">
        <v>5268</v>
      </c>
      <c r="R244" s="1" t="s">
        <v>68</v>
      </c>
      <c r="S244" s="1" t="s">
        <v>5269</v>
      </c>
      <c r="T244" s="1" t="s">
        <v>5270</v>
      </c>
      <c r="U244" s="1" t="s">
        <v>5271</v>
      </c>
      <c r="V244" s="1" t="s">
        <v>68</v>
      </c>
      <c r="W244" s="1" t="s">
        <v>5272</v>
      </c>
      <c r="X244" s="1" t="s">
        <v>5273</v>
      </c>
      <c r="Y244" s="1" t="s">
        <v>5274</v>
      </c>
      <c r="Z244" s="1">
        <v>95.0</v>
      </c>
      <c r="AA244" s="1">
        <v>128.0</v>
      </c>
      <c r="AB244" s="1">
        <v>154.0</v>
      </c>
      <c r="AC244" s="1">
        <v>5.0</v>
      </c>
      <c r="AD244" s="1">
        <v>292.0</v>
      </c>
      <c r="AE244" s="1" t="s">
        <v>811</v>
      </c>
      <c r="AF244" s="1" t="s">
        <v>423</v>
      </c>
      <c r="AG244" s="1" t="s">
        <v>812</v>
      </c>
      <c r="AH244" s="1" t="s">
        <v>813</v>
      </c>
      <c r="AI244" s="1" t="s">
        <v>814</v>
      </c>
      <c r="AJ244" s="1" t="s">
        <v>68</v>
      </c>
      <c r="AK244" s="1" t="s">
        <v>815</v>
      </c>
      <c r="AL244" s="1" t="s">
        <v>816</v>
      </c>
      <c r="AM244" s="1" t="s">
        <v>224</v>
      </c>
      <c r="AN244" s="1">
        <v>2015.0</v>
      </c>
      <c r="AO244" s="1">
        <v>182.0</v>
      </c>
      <c r="AP244" s="1" t="s">
        <v>68</v>
      </c>
      <c r="AQ244" s="1" t="s">
        <v>68</v>
      </c>
      <c r="AR244" s="1" t="s">
        <v>68</v>
      </c>
      <c r="AS244" s="1" t="s">
        <v>68</v>
      </c>
      <c r="AT244" s="1" t="s">
        <v>68</v>
      </c>
      <c r="AU244" s="1">
        <v>14.0</v>
      </c>
      <c r="AV244" s="1">
        <v>26.0</v>
      </c>
      <c r="AW244" s="1" t="s">
        <v>68</v>
      </c>
      <c r="AX244" s="1" t="s">
        <v>5275</v>
      </c>
      <c r="AY244" s="3" t="str">
        <f>HYPERLINK("http://dx.doi.org/10.1016/j.biocon.2014.11.022","http://dx.doi.org/10.1016/j.biocon.2014.11.022")</f>
        <v>http://dx.doi.org/10.1016/j.biocon.2014.11.022</v>
      </c>
      <c r="AZ244" s="1" t="s">
        <v>68</v>
      </c>
      <c r="BA244" s="1" t="s">
        <v>68</v>
      </c>
      <c r="BB244" s="1">
        <v>13.0</v>
      </c>
      <c r="BC244" s="1" t="s">
        <v>122</v>
      </c>
      <c r="BD244" s="1" t="s">
        <v>92</v>
      </c>
      <c r="BE244" s="1" t="s">
        <v>123</v>
      </c>
      <c r="BF244" s="1" t="s">
        <v>5276</v>
      </c>
      <c r="BG244" s="1" t="s">
        <v>68</v>
      </c>
      <c r="BH244" s="1" t="s">
        <v>68</v>
      </c>
      <c r="BI244" s="1" t="s">
        <v>68</v>
      </c>
      <c r="BJ244" s="1" t="s">
        <v>68</v>
      </c>
      <c r="BK244" s="1" t="s">
        <v>95</v>
      </c>
      <c r="BL244" s="1" t="s">
        <v>5277</v>
      </c>
      <c r="BM244" s="1" t="str">
        <f>HYPERLINK("https%3A%2F%2Fwww.webofscience.com%2Fwos%2Fwoscc%2Ffull-record%2FWOS:000349501400004","View Full Record in Web of Science")</f>
        <v>View Full Record in Web of Science</v>
      </c>
    </row>
    <row r="245" ht="12.75" customHeight="1">
      <c r="A245" s="1" t="s">
        <v>65</v>
      </c>
      <c r="B245" s="1" t="s">
        <v>5278</v>
      </c>
      <c r="C245" s="1" t="s">
        <v>5279</v>
      </c>
      <c r="D245" s="1" t="s">
        <v>68</v>
      </c>
      <c r="E245" s="1" t="s">
        <v>5280</v>
      </c>
      <c r="F245" s="1" t="s">
        <v>5281</v>
      </c>
      <c r="G245" s="1" t="s">
        <v>68</v>
      </c>
      <c r="H245" s="1" t="s">
        <v>71</v>
      </c>
      <c r="I245" s="1" t="s">
        <v>72</v>
      </c>
      <c r="J245" s="1" t="s">
        <v>68</v>
      </c>
      <c r="K245" s="1" t="s">
        <v>68</v>
      </c>
      <c r="L245" s="1" t="s">
        <v>68</v>
      </c>
      <c r="M245" s="1" t="s">
        <v>68</v>
      </c>
      <c r="N245" s="1" t="s">
        <v>5282</v>
      </c>
      <c r="O245" s="1" t="s">
        <v>5283</v>
      </c>
      <c r="P245" s="1" t="s">
        <v>5284</v>
      </c>
      <c r="Q245" s="1" t="s">
        <v>5285</v>
      </c>
      <c r="R245" s="1" t="s">
        <v>5286</v>
      </c>
      <c r="S245" s="1" t="s">
        <v>5287</v>
      </c>
      <c r="T245" s="1" t="s">
        <v>5288</v>
      </c>
      <c r="U245" s="1" t="s">
        <v>5289</v>
      </c>
      <c r="V245" s="1" t="s">
        <v>5290</v>
      </c>
      <c r="W245" s="1" t="s">
        <v>68</v>
      </c>
      <c r="X245" s="1" t="s">
        <v>68</v>
      </c>
      <c r="Y245" s="1" t="s">
        <v>68</v>
      </c>
      <c r="Z245" s="1">
        <v>38.0</v>
      </c>
      <c r="AA245" s="1">
        <v>37.0</v>
      </c>
      <c r="AB245" s="1">
        <v>42.0</v>
      </c>
      <c r="AC245" s="1">
        <v>0.0</v>
      </c>
      <c r="AD245" s="1">
        <v>8.0</v>
      </c>
      <c r="AE245" s="1" t="s">
        <v>83</v>
      </c>
      <c r="AF245" s="1" t="s">
        <v>84</v>
      </c>
      <c r="AG245" s="1" t="s">
        <v>85</v>
      </c>
      <c r="AH245" s="1" t="s">
        <v>5291</v>
      </c>
      <c r="AI245" s="1" t="s">
        <v>68</v>
      </c>
      <c r="AJ245" s="1" t="s">
        <v>68</v>
      </c>
      <c r="AK245" s="1" t="s">
        <v>5292</v>
      </c>
      <c r="AL245" s="1" t="s">
        <v>5293</v>
      </c>
      <c r="AM245" s="1" t="s">
        <v>5294</v>
      </c>
      <c r="AN245" s="1">
        <v>2020.0</v>
      </c>
      <c r="AO245" s="1">
        <v>11.0</v>
      </c>
      <c r="AP245" s="1" t="s">
        <v>68</v>
      </c>
      <c r="AQ245" s="1" t="s">
        <v>68</v>
      </c>
      <c r="AR245" s="1" t="s">
        <v>68</v>
      </c>
      <c r="AS245" s="1" t="s">
        <v>68</v>
      </c>
      <c r="AT245" s="1" t="s">
        <v>68</v>
      </c>
      <c r="AU245" s="1" t="s">
        <v>68</v>
      </c>
      <c r="AV245" s="1" t="s">
        <v>68</v>
      </c>
      <c r="AW245" s="1">
        <v>2133.0</v>
      </c>
      <c r="AX245" s="1" t="s">
        <v>5295</v>
      </c>
      <c r="AY245" s="3" t="str">
        <f>HYPERLINK("http://dx.doi.org/10.3389/fpsyg.2020.02133","http://dx.doi.org/10.3389/fpsyg.2020.02133")</f>
        <v>http://dx.doi.org/10.3389/fpsyg.2020.02133</v>
      </c>
      <c r="AZ245" s="1" t="s">
        <v>68</v>
      </c>
      <c r="BA245" s="1" t="s">
        <v>68</v>
      </c>
      <c r="BB245" s="1">
        <v>10.0</v>
      </c>
      <c r="BC245" s="1" t="s">
        <v>5296</v>
      </c>
      <c r="BD245" s="1" t="s">
        <v>1438</v>
      </c>
      <c r="BE245" s="1" t="s">
        <v>5297</v>
      </c>
      <c r="BF245" s="1" t="s">
        <v>5298</v>
      </c>
      <c r="BG245" s="1">
        <v>3.2973636E7</v>
      </c>
      <c r="BH245" s="1" t="s">
        <v>94</v>
      </c>
      <c r="BI245" s="1" t="s">
        <v>68</v>
      </c>
      <c r="BJ245" s="1" t="s">
        <v>68</v>
      </c>
      <c r="BK245" s="1" t="s">
        <v>95</v>
      </c>
      <c r="BL245" s="1" t="s">
        <v>5299</v>
      </c>
      <c r="BM245" s="1" t="str">
        <f>HYPERLINK("https%3A%2F%2Fwww.webofscience.com%2Fwos%2Fwoscc%2Ffull-record%2FWOS:000567824300001","View Full Record in Web of Science")</f>
        <v>View Full Record in Web of Science</v>
      </c>
    </row>
    <row r="246" ht="12.75" customHeight="1">
      <c r="A246" s="1" t="s">
        <v>65</v>
      </c>
      <c r="B246" s="1" t="s">
        <v>5300</v>
      </c>
      <c r="C246" s="1" t="s">
        <v>5301</v>
      </c>
      <c r="D246" s="1" t="s">
        <v>68</v>
      </c>
      <c r="E246" s="1" t="s">
        <v>5302</v>
      </c>
      <c r="F246" s="1" t="s">
        <v>1586</v>
      </c>
      <c r="G246" s="1" t="s">
        <v>68</v>
      </c>
      <c r="H246" s="1" t="s">
        <v>71</v>
      </c>
      <c r="I246" s="1" t="s">
        <v>72</v>
      </c>
      <c r="J246" s="1" t="s">
        <v>68</v>
      </c>
      <c r="K246" s="1" t="s">
        <v>68</v>
      </c>
      <c r="L246" s="1" t="s">
        <v>68</v>
      </c>
      <c r="M246" s="1" t="s">
        <v>68</v>
      </c>
      <c r="N246" s="1" t="s">
        <v>5303</v>
      </c>
      <c r="O246" s="1" t="s">
        <v>5304</v>
      </c>
      <c r="P246" s="1" t="s">
        <v>5305</v>
      </c>
      <c r="Q246" s="1" t="s">
        <v>5306</v>
      </c>
      <c r="R246" s="1" t="s">
        <v>5307</v>
      </c>
      <c r="S246" s="1" t="s">
        <v>5308</v>
      </c>
      <c r="T246" s="1" t="s">
        <v>5309</v>
      </c>
      <c r="U246" s="1" t="s">
        <v>68</v>
      </c>
      <c r="V246" s="1" t="s">
        <v>5310</v>
      </c>
      <c r="W246" s="1" t="s">
        <v>5311</v>
      </c>
      <c r="X246" s="1" t="s">
        <v>5311</v>
      </c>
      <c r="Y246" s="1" t="s">
        <v>5312</v>
      </c>
      <c r="Z246" s="1">
        <v>49.0</v>
      </c>
      <c r="AA246" s="1">
        <v>72.0</v>
      </c>
      <c r="AB246" s="1">
        <v>82.0</v>
      </c>
      <c r="AC246" s="1">
        <v>3.0</v>
      </c>
      <c r="AD246" s="1">
        <v>64.0</v>
      </c>
      <c r="AE246" s="1" t="s">
        <v>1596</v>
      </c>
      <c r="AF246" s="1" t="s">
        <v>1182</v>
      </c>
      <c r="AG246" s="1" t="s">
        <v>1597</v>
      </c>
      <c r="AH246" s="1" t="s">
        <v>1598</v>
      </c>
      <c r="AI246" s="1" t="s">
        <v>1599</v>
      </c>
      <c r="AJ246" s="1" t="s">
        <v>68</v>
      </c>
      <c r="AK246" s="1" t="s">
        <v>1600</v>
      </c>
      <c r="AL246" s="1" t="s">
        <v>1601</v>
      </c>
      <c r="AM246" s="1" t="s">
        <v>668</v>
      </c>
      <c r="AN246" s="1">
        <v>2020.0</v>
      </c>
      <c r="AO246" s="1">
        <v>699.0</v>
      </c>
      <c r="AP246" s="1" t="s">
        <v>68</v>
      </c>
      <c r="AQ246" s="1" t="s">
        <v>68</v>
      </c>
      <c r="AR246" s="1" t="s">
        <v>68</v>
      </c>
      <c r="AS246" s="1" t="s">
        <v>68</v>
      </c>
      <c r="AT246" s="1" t="s">
        <v>68</v>
      </c>
      <c r="AU246" s="1" t="s">
        <v>68</v>
      </c>
      <c r="AV246" s="1" t="s">
        <v>68</v>
      </c>
      <c r="AW246" s="1">
        <v>134255.0</v>
      </c>
      <c r="AX246" s="1" t="s">
        <v>5313</v>
      </c>
      <c r="AY246" s="3" t="str">
        <f>HYPERLINK("http://dx.doi.org/10.1016/j.scitotenv.2019.134255","http://dx.doi.org/10.1016/j.scitotenv.2019.134255")</f>
        <v>http://dx.doi.org/10.1016/j.scitotenv.2019.134255</v>
      </c>
      <c r="AZ246" s="1" t="s">
        <v>68</v>
      </c>
      <c r="BA246" s="1" t="s">
        <v>68</v>
      </c>
      <c r="BB246" s="1">
        <v>9.0</v>
      </c>
      <c r="BC246" s="1" t="s">
        <v>484</v>
      </c>
      <c r="BD246" s="1" t="s">
        <v>279</v>
      </c>
      <c r="BE246" s="1" t="s">
        <v>333</v>
      </c>
      <c r="BF246" s="1" t="s">
        <v>5314</v>
      </c>
      <c r="BG246" s="1">
        <v>3.1683215E7</v>
      </c>
      <c r="BH246" s="1" t="s">
        <v>5315</v>
      </c>
      <c r="BI246" s="1" t="s">
        <v>68</v>
      </c>
      <c r="BJ246" s="1" t="s">
        <v>68</v>
      </c>
      <c r="BK246" s="1" t="s">
        <v>95</v>
      </c>
      <c r="BL246" s="1" t="s">
        <v>5316</v>
      </c>
      <c r="BM246" s="1" t="str">
        <f>HYPERLINK("https%3A%2F%2Fwww.webofscience.com%2Fwos%2Fwoscc%2Ffull-record%2FWOS:000500583400038","View Full Record in Web of Science")</f>
        <v>View Full Record in Web of Science</v>
      </c>
    </row>
    <row r="247" ht="12.75" customHeight="1">
      <c r="A247" s="1" t="s">
        <v>65</v>
      </c>
      <c r="B247" s="1" t="s">
        <v>5317</v>
      </c>
      <c r="C247" s="1" t="s">
        <v>5318</v>
      </c>
      <c r="D247" s="1" t="s">
        <v>68</v>
      </c>
      <c r="E247" s="1" t="s">
        <v>5319</v>
      </c>
      <c r="F247" s="1" t="s">
        <v>5320</v>
      </c>
      <c r="G247" s="1" t="s">
        <v>68</v>
      </c>
      <c r="H247" s="1" t="s">
        <v>71</v>
      </c>
      <c r="I247" s="1" t="s">
        <v>72</v>
      </c>
      <c r="J247" s="1" t="s">
        <v>68</v>
      </c>
      <c r="K247" s="1" t="s">
        <v>68</v>
      </c>
      <c r="L247" s="1" t="s">
        <v>68</v>
      </c>
      <c r="M247" s="1" t="s">
        <v>68</v>
      </c>
      <c r="N247" s="1" t="s">
        <v>5321</v>
      </c>
      <c r="O247" s="1" t="s">
        <v>5322</v>
      </c>
      <c r="P247" s="1" t="s">
        <v>5323</v>
      </c>
      <c r="Q247" s="1" t="s">
        <v>5324</v>
      </c>
      <c r="R247" s="1" t="s">
        <v>5325</v>
      </c>
      <c r="S247" s="1" t="s">
        <v>5326</v>
      </c>
      <c r="T247" s="1" t="s">
        <v>5327</v>
      </c>
      <c r="U247" s="1" t="s">
        <v>5328</v>
      </c>
      <c r="V247" s="1" t="s">
        <v>5329</v>
      </c>
      <c r="W247" s="1" t="s">
        <v>5330</v>
      </c>
      <c r="X247" s="1" t="s">
        <v>5331</v>
      </c>
      <c r="Y247" s="1" t="s">
        <v>5332</v>
      </c>
      <c r="Z247" s="1">
        <v>193.0</v>
      </c>
      <c r="AA247" s="1">
        <v>3.0</v>
      </c>
      <c r="AB247" s="1">
        <v>3.0</v>
      </c>
      <c r="AC247" s="1">
        <v>11.0</v>
      </c>
      <c r="AD247" s="1">
        <v>11.0</v>
      </c>
      <c r="AE247" s="1" t="s">
        <v>503</v>
      </c>
      <c r="AF247" s="1" t="s">
        <v>504</v>
      </c>
      <c r="AG247" s="1" t="s">
        <v>505</v>
      </c>
      <c r="AH247" s="1" t="s">
        <v>5333</v>
      </c>
      <c r="AI247" s="1" t="s">
        <v>5334</v>
      </c>
      <c r="AJ247" s="1" t="s">
        <v>68</v>
      </c>
      <c r="AK247" s="1" t="s">
        <v>5335</v>
      </c>
      <c r="AL247" s="1" t="s">
        <v>5336</v>
      </c>
      <c r="AM247" s="1" t="s">
        <v>428</v>
      </c>
      <c r="AN247" s="1">
        <v>2025.0</v>
      </c>
      <c r="AO247" s="1">
        <v>34.0</v>
      </c>
      <c r="AP247" s="1">
        <v>19.0</v>
      </c>
      <c r="AQ247" s="1" t="s">
        <v>68</v>
      </c>
      <c r="AR247" s="1" t="s">
        <v>68</v>
      </c>
      <c r="AS247" s="1" t="s">
        <v>68</v>
      </c>
      <c r="AT247" s="1" t="s">
        <v>68</v>
      </c>
      <c r="AU247" s="1" t="s">
        <v>68</v>
      </c>
      <c r="AV247" s="1" t="s">
        <v>68</v>
      </c>
      <c r="AW247" s="1" t="s">
        <v>5337</v>
      </c>
      <c r="AX247" s="1" t="s">
        <v>5338</v>
      </c>
      <c r="AY247" s="3" t="str">
        <f>HYPERLINK("http://dx.doi.org/10.1111/mec.70100","http://dx.doi.org/10.1111/mec.70100")</f>
        <v>http://dx.doi.org/10.1111/mec.70100</v>
      </c>
      <c r="AZ247" s="1" t="s">
        <v>68</v>
      </c>
      <c r="BA247" s="1" t="s">
        <v>4148</v>
      </c>
      <c r="BB247" s="1">
        <v>14.0</v>
      </c>
      <c r="BC247" s="1" t="s">
        <v>5339</v>
      </c>
      <c r="BD247" s="1" t="s">
        <v>92</v>
      </c>
      <c r="BE247" s="1" t="s">
        <v>5340</v>
      </c>
      <c r="BF247" s="1" t="s">
        <v>5341</v>
      </c>
      <c r="BG247" s="1">
        <v>4.0937587E7</v>
      </c>
      <c r="BH247" s="1" t="s">
        <v>644</v>
      </c>
      <c r="BI247" s="1" t="s">
        <v>68</v>
      </c>
      <c r="BJ247" s="1" t="s">
        <v>68</v>
      </c>
      <c r="BK247" s="1" t="s">
        <v>95</v>
      </c>
      <c r="BL247" s="1" t="s">
        <v>5342</v>
      </c>
      <c r="BM247" s="1" t="str">
        <f>HYPERLINK("https%3A%2F%2Fwww.webofscience.com%2Fwos%2Fwoscc%2Ffull-record%2FWOS:001571130300001","View Full Record in Web of Science")</f>
        <v>View Full Record in Web of Science</v>
      </c>
    </row>
    <row r="248" ht="12.75" customHeight="1">
      <c r="A248" s="1" t="s">
        <v>65</v>
      </c>
      <c r="B248" s="1" t="s">
        <v>5343</v>
      </c>
      <c r="C248" s="1" t="s">
        <v>5344</v>
      </c>
      <c r="D248" s="1" t="s">
        <v>68</v>
      </c>
      <c r="E248" s="1" t="s">
        <v>5345</v>
      </c>
      <c r="F248" s="1" t="s">
        <v>5346</v>
      </c>
      <c r="G248" s="1" t="s">
        <v>68</v>
      </c>
      <c r="H248" s="1" t="s">
        <v>71</v>
      </c>
      <c r="I248" s="1" t="s">
        <v>72</v>
      </c>
      <c r="J248" s="1" t="s">
        <v>68</v>
      </c>
      <c r="K248" s="1" t="s">
        <v>68</v>
      </c>
      <c r="L248" s="1" t="s">
        <v>68</v>
      </c>
      <c r="M248" s="1" t="s">
        <v>68</v>
      </c>
      <c r="N248" s="1" t="s">
        <v>5347</v>
      </c>
      <c r="O248" s="1" t="s">
        <v>5348</v>
      </c>
      <c r="P248" s="1" t="s">
        <v>5349</v>
      </c>
      <c r="Q248" s="1" t="s">
        <v>5350</v>
      </c>
      <c r="R248" s="1" t="s">
        <v>5351</v>
      </c>
      <c r="S248" s="1" t="s">
        <v>5352</v>
      </c>
      <c r="T248" s="1" t="s">
        <v>5353</v>
      </c>
      <c r="U248" s="1" t="s">
        <v>5354</v>
      </c>
      <c r="V248" s="1" t="s">
        <v>5355</v>
      </c>
      <c r="W248" s="1" t="s">
        <v>5356</v>
      </c>
      <c r="X248" s="1" t="s">
        <v>5356</v>
      </c>
      <c r="Y248" s="1" t="s">
        <v>5357</v>
      </c>
      <c r="Z248" s="1">
        <v>73.0</v>
      </c>
      <c r="AA248" s="1">
        <v>9.0</v>
      </c>
      <c r="AB248" s="1">
        <v>10.0</v>
      </c>
      <c r="AC248" s="1">
        <v>0.0</v>
      </c>
      <c r="AD248" s="1">
        <v>16.0</v>
      </c>
      <c r="AE248" s="1" t="s">
        <v>5358</v>
      </c>
      <c r="AF248" s="1" t="s">
        <v>5359</v>
      </c>
      <c r="AG248" s="1" t="s">
        <v>5360</v>
      </c>
      <c r="AH248" s="1" t="s">
        <v>5361</v>
      </c>
      <c r="AI248" s="1" t="s">
        <v>5362</v>
      </c>
      <c r="AJ248" s="1" t="s">
        <v>68</v>
      </c>
      <c r="AK248" s="1" t="s">
        <v>5346</v>
      </c>
      <c r="AL248" s="1" t="s">
        <v>5363</v>
      </c>
      <c r="AM248" s="1" t="s">
        <v>1264</v>
      </c>
      <c r="AN248" s="1">
        <v>2020.0</v>
      </c>
      <c r="AO248" s="1">
        <v>108.0</v>
      </c>
      <c r="AP248" s="1">
        <v>2.0</v>
      </c>
      <c r="AQ248" s="1" t="s">
        <v>68</v>
      </c>
      <c r="AR248" s="1" t="s">
        <v>68</v>
      </c>
      <c r="AS248" s="1" t="s">
        <v>68</v>
      </c>
      <c r="AT248" s="1" t="s">
        <v>68</v>
      </c>
      <c r="AU248" s="1">
        <v>139.0</v>
      </c>
      <c r="AV248" s="1">
        <v>149.0</v>
      </c>
      <c r="AW248" s="1" t="s">
        <v>68</v>
      </c>
      <c r="AX248" s="1" t="s">
        <v>5364</v>
      </c>
      <c r="AY248" s="3" t="str">
        <f>HYPERLINK("http://dx.doi.org/10.5253/arde.v108i2.a3","http://dx.doi.org/10.5253/arde.v108i2.a3")</f>
        <v>http://dx.doi.org/10.5253/arde.v108i2.a3</v>
      </c>
      <c r="AZ248" s="1" t="s">
        <v>68</v>
      </c>
      <c r="BA248" s="1" t="s">
        <v>68</v>
      </c>
      <c r="BB248" s="1">
        <v>11.0</v>
      </c>
      <c r="BC248" s="1" t="s">
        <v>3021</v>
      </c>
      <c r="BD248" s="1" t="s">
        <v>92</v>
      </c>
      <c r="BE248" s="1" t="s">
        <v>933</v>
      </c>
      <c r="BF248" s="1" t="s">
        <v>5365</v>
      </c>
      <c r="BG248" s="1" t="s">
        <v>68</v>
      </c>
      <c r="BH248" s="1" t="s">
        <v>68</v>
      </c>
      <c r="BI248" s="1" t="s">
        <v>68</v>
      </c>
      <c r="BJ248" s="1" t="s">
        <v>68</v>
      </c>
      <c r="BK248" s="1" t="s">
        <v>95</v>
      </c>
      <c r="BL248" s="1" t="s">
        <v>5366</v>
      </c>
      <c r="BM248" s="1" t="str">
        <f>HYPERLINK("https%3A%2F%2Fwww.webofscience.com%2Fwos%2Fwoscc%2Ffull-record%2FWOS:000600067400004","View Full Record in Web of Science")</f>
        <v>View Full Record in Web of Science</v>
      </c>
    </row>
    <row r="249" ht="12.75" customHeight="1">
      <c r="A249" s="1" t="s">
        <v>65</v>
      </c>
      <c r="B249" s="1" t="s">
        <v>5367</v>
      </c>
      <c r="C249" s="1" t="s">
        <v>5368</v>
      </c>
      <c r="D249" s="1" t="s">
        <v>68</v>
      </c>
      <c r="E249" s="1" t="s">
        <v>5369</v>
      </c>
      <c r="F249" s="1" t="s">
        <v>1996</v>
      </c>
      <c r="G249" s="1" t="s">
        <v>68</v>
      </c>
      <c r="H249" s="1" t="s">
        <v>71</v>
      </c>
      <c r="I249" s="1" t="s">
        <v>72</v>
      </c>
      <c r="J249" s="1" t="s">
        <v>68</v>
      </c>
      <c r="K249" s="1" t="s">
        <v>68</v>
      </c>
      <c r="L249" s="1" t="s">
        <v>68</v>
      </c>
      <c r="M249" s="1" t="s">
        <v>68</v>
      </c>
      <c r="N249" s="1" t="s">
        <v>5370</v>
      </c>
      <c r="O249" s="1" t="s">
        <v>68</v>
      </c>
      <c r="P249" s="1" t="s">
        <v>5371</v>
      </c>
      <c r="Q249" s="1" t="s">
        <v>5372</v>
      </c>
      <c r="R249" s="1" t="s">
        <v>5373</v>
      </c>
      <c r="S249" s="1" t="s">
        <v>5374</v>
      </c>
      <c r="T249" s="1" t="s">
        <v>5375</v>
      </c>
      <c r="U249" s="1" t="s">
        <v>5376</v>
      </c>
      <c r="V249" s="1" t="s">
        <v>5377</v>
      </c>
      <c r="W249" s="1" t="s">
        <v>5378</v>
      </c>
      <c r="X249" s="1" t="s">
        <v>5379</v>
      </c>
      <c r="Y249" s="1" t="s">
        <v>5380</v>
      </c>
      <c r="Z249" s="1">
        <v>28.0</v>
      </c>
      <c r="AA249" s="1">
        <v>32.0</v>
      </c>
      <c r="AB249" s="1">
        <v>34.0</v>
      </c>
      <c r="AC249" s="1">
        <v>1.0</v>
      </c>
      <c r="AD249" s="1">
        <v>21.0</v>
      </c>
      <c r="AE249" s="1" t="s">
        <v>247</v>
      </c>
      <c r="AF249" s="1" t="s">
        <v>248</v>
      </c>
      <c r="AG249" s="1" t="s">
        <v>249</v>
      </c>
      <c r="AH249" s="1" t="s">
        <v>68</v>
      </c>
      <c r="AI249" s="1" t="s">
        <v>2007</v>
      </c>
      <c r="AJ249" s="1" t="s">
        <v>68</v>
      </c>
      <c r="AK249" s="1" t="s">
        <v>2008</v>
      </c>
      <c r="AL249" s="1" t="s">
        <v>2009</v>
      </c>
      <c r="AM249" s="1" t="s">
        <v>120</v>
      </c>
      <c r="AN249" s="1">
        <v>2020.0</v>
      </c>
      <c r="AO249" s="1">
        <v>12.0</v>
      </c>
      <c r="AP249" s="1">
        <v>24.0</v>
      </c>
      <c r="AQ249" s="1" t="s">
        <v>68</v>
      </c>
      <c r="AR249" s="1" t="s">
        <v>68</v>
      </c>
      <c r="AS249" s="1" t="s">
        <v>68</v>
      </c>
      <c r="AT249" s="1" t="s">
        <v>68</v>
      </c>
      <c r="AU249" s="1" t="s">
        <v>68</v>
      </c>
      <c r="AV249" s="1" t="s">
        <v>68</v>
      </c>
      <c r="AW249" s="1">
        <v>10271.0</v>
      </c>
      <c r="AX249" s="1" t="s">
        <v>5381</v>
      </c>
      <c r="AY249" s="3" t="str">
        <f>HYPERLINK("http://dx.doi.org/10.3390/su122410271","http://dx.doi.org/10.3390/su122410271")</f>
        <v>http://dx.doi.org/10.3390/su122410271</v>
      </c>
      <c r="AZ249" s="1" t="s">
        <v>68</v>
      </c>
      <c r="BA249" s="1" t="s">
        <v>68</v>
      </c>
      <c r="BB249" s="1">
        <v>15.0</v>
      </c>
      <c r="BC249" s="1" t="s">
        <v>1052</v>
      </c>
      <c r="BD249" s="1" t="s">
        <v>279</v>
      </c>
      <c r="BE249" s="1" t="s">
        <v>1053</v>
      </c>
      <c r="BF249" s="1" t="s">
        <v>5382</v>
      </c>
      <c r="BG249" s="1" t="s">
        <v>68</v>
      </c>
      <c r="BH249" s="1" t="s">
        <v>94</v>
      </c>
      <c r="BI249" s="1" t="s">
        <v>68</v>
      </c>
      <c r="BJ249" s="1" t="s">
        <v>68</v>
      </c>
      <c r="BK249" s="1" t="s">
        <v>95</v>
      </c>
      <c r="BL249" s="1" t="s">
        <v>5383</v>
      </c>
      <c r="BM249" s="1" t="str">
        <f>HYPERLINK("https%3A%2F%2Fwww.webofscience.com%2Fwos%2Fwoscc%2Ffull-record%2FWOS:000603309800001","View Full Record in Web of Science")</f>
        <v>View Full Record in Web of Science</v>
      </c>
    </row>
    <row r="250" ht="12.75" customHeight="1">
      <c r="A250" s="1" t="s">
        <v>65</v>
      </c>
      <c r="B250" s="1" t="s">
        <v>5384</v>
      </c>
      <c r="C250" s="1" t="s">
        <v>5385</v>
      </c>
      <c r="D250" s="1" t="s">
        <v>68</v>
      </c>
      <c r="E250" s="1" t="s">
        <v>5386</v>
      </c>
      <c r="F250" s="1" t="s">
        <v>3546</v>
      </c>
      <c r="G250" s="1" t="s">
        <v>68</v>
      </c>
      <c r="H250" s="1" t="s">
        <v>71</v>
      </c>
      <c r="I250" s="1" t="s">
        <v>72</v>
      </c>
      <c r="J250" s="1" t="s">
        <v>68</v>
      </c>
      <c r="K250" s="1" t="s">
        <v>68</v>
      </c>
      <c r="L250" s="1" t="s">
        <v>68</v>
      </c>
      <c r="M250" s="1" t="s">
        <v>68</v>
      </c>
      <c r="N250" s="1" t="s">
        <v>5387</v>
      </c>
      <c r="O250" s="1" t="s">
        <v>5388</v>
      </c>
      <c r="P250" s="1" t="s">
        <v>5389</v>
      </c>
      <c r="Q250" s="1" t="s">
        <v>5390</v>
      </c>
      <c r="R250" s="1" t="s">
        <v>5391</v>
      </c>
      <c r="S250" s="1" t="s">
        <v>5392</v>
      </c>
      <c r="T250" s="1" t="s">
        <v>5393</v>
      </c>
      <c r="U250" s="1" t="s">
        <v>5394</v>
      </c>
      <c r="V250" s="1" t="s">
        <v>5395</v>
      </c>
      <c r="W250" s="1" t="s">
        <v>5396</v>
      </c>
      <c r="X250" s="1" t="s">
        <v>5397</v>
      </c>
      <c r="Y250" s="1" t="s">
        <v>5398</v>
      </c>
      <c r="Z250" s="1">
        <v>42.0</v>
      </c>
      <c r="AA250" s="1">
        <v>22.0</v>
      </c>
      <c r="AB250" s="1">
        <v>24.0</v>
      </c>
      <c r="AC250" s="1">
        <v>0.0</v>
      </c>
      <c r="AD250" s="1">
        <v>20.0</v>
      </c>
      <c r="AE250" s="1" t="s">
        <v>1181</v>
      </c>
      <c r="AF250" s="1" t="s">
        <v>1182</v>
      </c>
      <c r="AG250" s="1" t="s">
        <v>1183</v>
      </c>
      <c r="AH250" s="1" t="s">
        <v>3558</v>
      </c>
      <c r="AI250" s="1" t="s">
        <v>3559</v>
      </c>
      <c r="AJ250" s="1" t="s">
        <v>68</v>
      </c>
      <c r="AK250" s="1" t="s">
        <v>3560</v>
      </c>
      <c r="AL250" s="1" t="s">
        <v>3561</v>
      </c>
      <c r="AM250" s="1" t="s">
        <v>252</v>
      </c>
      <c r="AN250" s="1">
        <v>2019.0</v>
      </c>
      <c r="AO250" s="1">
        <v>52.0</v>
      </c>
      <c r="AP250" s="1" t="s">
        <v>68</v>
      </c>
      <c r="AQ250" s="1" t="s">
        <v>68</v>
      </c>
      <c r="AR250" s="1" t="s">
        <v>68</v>
      </c>
      <c r="AS250" s="1" t="s">
        <v>68</v>
      </c>
      <c r="AT250" s="1" t="s">
        <v>68</v>
      </c>
      <c r="AU250" s="1">
        <v>35.0</v>
      </c>
      <c r="AV250" s="1">
        <v>45.0</v>
      </c>
      <c r="AW250" s="1" t="s">
        <v>68</v>
      </c>
      <c r="AX250" s="1" t="s">
        <v>5399</v>
      </c>
      <c r="AY250" s="3" t="str">
        <f>HYPERLINK("http://dx.doi.org/10.1016/j.ecoinf.2019.05.001","http://dx.doi.org/10.1016/j.ecoinf.2019.05.001")</f>
        <v>http://dx.doi.org/10.1016/j.ecoinf.2019.05.001</v>
      </c>
      <c r="AZ250" s="1" t="s">
        <v>68</v>
      </c>
      <c r="BA250" s="1" t="s">
        <v>68</v>
      </c>
      <c r="BB250" s="1">
        <v>11.0</v>
      </c>
      <c r="BC250" s="1" t="s">
        <v>332</v>
      </c>
      <c r="BD250" s="1" t="s">
        <v>279</v>
      </c>
      <c r="BE250" s="1" t="s">
        <v>333</v>
      </c>
      <c r="BF250" s="1" t="s">
        <v>5400</v>
      </c>
      <c r="BG250" s="1" t="s">
        <v>68</v>
      </c>
      <c r="BH250" s="1" t="s">
        <v>68</v>
      </c>
      <c r="BI250" s="1" t="s">
        <v>68</v>
      </c>
      <c r="BJ250" s="1" t="s">
        <v>68</v>
      </c>
      <c r="BK250" s="1" t="s">
        <v>95</v>
      </c>
      <c r="BL250" s="1" t="s">
        <v>5401</v>
      </c>
      <c r="BM250" s="1" t="str">
        <f>HYPERLINK("https%3A%2F%2Fwww.webofscience.com%2Fwos%2Fwoscc%2Ffull-record%2FWOS:000472984800005","View Full Record in Web of Science")</f>
        <v>View Full Record in Web of Science</v>
      </c>
    </row>
    <row r="251" ht="12.75" customHeight="1">
      <c r="A251" s="1" t="s">
        <v>65</v>
      </c>
      <c r="B251" s="1" t="s">
        <v>5402</v>
      </c>
      <c r="C251" s="1" t="s">
        <v>5403</v>
      </c>
      <c r="D251" s="1" t="s">
        <v>68</v>
      </c>
      <c r="E251" s="1" t="s">
        <v>5404</v>
      </c>
      <c r="F251" s="1" t="s">
        <v>5405</v>
      </c>
      <c r="G251" s="1" t="s">
        <v>68</v>
      </c>
      <c r="H251" s="1" t="s">
        <v>5406</v>
      </c>
      <c r="I251" s="1" t="s">
        <v>597</v>
      </c>
      <c r="J251" s="1" t="s">
        <v>68</v>
      </c>
      <c r="K251" s="1" t="s">
        <v>68</v>
      </c>
      <c r="L251" s="1" t="s">
        <v>68</v>
      </c>
      <c r="M251" s="1" t="s">
        <v>68</v>
      </c>
      <c r="N251" s="1" t="s">
        <v>68</v>
      </c>
      <c r="O251" s="1" t="s">
        <v>68</v>
      </c>
      <c r="P251" s="1" t="s">
        <v>68</v>
      </c>
      <c r="Q251" s="1" t="s">
        <v>5407</v>
      </c>
      <c r="R251" s="1" t="s">
        <v>5408</v>
      </c>
      <c r="S251" s="1" t="s">
        <v>5409</v>
      </c>
      <c r="T251" s="1" t="s">
        <v>5410</v>
      </c>
      <c r="U251" s="1" t="s">
        <v>5411</v>
      </c>
      <c r="V251" s="1" t="s">
        <v>5412</v>
      </c>
      <c r="W251" s="1" t="s">
        <v>68</v>
      </c>
      <c r="X251" s="1" t="s">
        <v>68</v>
      </c>
      <c r="Y251" s="1" t="s">
        <v>68</v>
      </c>
      <c r="Z251" s="1">
        <v>0.0</v>
      </c>
      <c r="AA251" s="1">
        <v>0.0</v>
      </c>
      <c r="AB251" s="1">
        <v>0.0</v>
      </c>
      <c r="AC251" s="1">
        <v>0.0</v>
      </c>
      <c r="AD251" s="1">
        <v>0.0</v>
      </c>
      <c r="AE251" s="1" t="s">
        <v>5413</v>
      </c>
      <c r="AF251" s="1" t="s">
        <v>5414</v>
      </c>
      <c r="AG251" s="1" t="s">
        <v>5415</v>
      </c>
      <c r="AH251" s="1" t="s">
        <v>5416</v>
      </c>
      <c r="AI251" s="1" t="s">
        <v>68</v>
      </c>
      <c r="AJ251" s="1" t="s">
        <v>68</v>
      </c>
      <c r="AK251" s="1" t="s">
        <v>5405</v>
      </c>
      <c r="AL251" s="1" t="s">
        <v>5417</v>
      </c>
      <c r="AM251" s="1" t="s">
        <v>5418</v>
      </c>
      <c r="AN251" s="1">
        <v>2022.0</v>
      </c>
      <c r="AO251" s="1">
        <v>31.0</v>
      </c>
      <c r="AP251" s="1">
        <v>2.0</v>
      </c>
      <c r="AQ251" s="1" t="s">
        <v>68</v>
      </c>
      <c r="AR251" s="1" t="s">
        <v>68</v>
      </c>
      <c r="AS251" s="1" t="s">
        <v>68</v>
      </c>
      <c r="AT251" s="1" t="s">
        <v>68</v>
      </c>
      <c r="AU251" s="1" t="s">
        <v>68</v>
      </c>
      <c r="AV251" s="1" t="s">
        <v>68</v>
      </c>
      <c r="AW251" s="1" t="s">
        <v>68</v>
      </c>
      <c r="AX251" s="1" t="s">
        <v>5419</v>
      </c>
      <c r="AY251" s="3" t="str">
        <f>HYPERLINK("http://dx.doi.org/10.7818/ECOS.2397","http://dx.doi.org/10.7818/ECOS.2397")</f>
        <v>http://dx.doi.org/10.7818/ECOS.2397</v>
      </c>
      <c r="AZ251" s="1" t="s">
        <v>68</v>
      </c>
      <c r="BA251" s="1" t="s">
        <v>68</v>
      </c>
      <c r="BB251" s="1">
        <v>2.0</v>
      </c>
      <c r="BC251" s="1" t="s">
        <v>332</v>
      </c>
      <c r="BD251" s="1" t="s">
        <v>197</v>
      </c>
      <c r="BE251" s="1" t="s">
        <v>333</v>
      </c>
      <c r="BF251" s="1" t="s">
        <v>5420</v>
      </c>
      <c r="BG251" s="1" t="s">
        <v>68</v>
      </c>
      <c r="BH251" s="1" t="s">
        <v>462</v>
      </c>
      <c r="BI251" s="1" t="s">
        <v>68</v>
      </c>
      <c r="BJ251" s="1" t="s">
        <v>68</v>
      </c>
      <c r="BK251" s="1" t="s">
        <v>95</v>
      </c>
      <c r="BL251" s="1" t="s">
        <v>5421</v>
      </c>
      <c r="BM251" s="1" t="str">
        <f>HYPERLINK("https%3A%2F%2Fwww.webofscience.com%2Fwos%2Fwoscc%2Ffull-record%2FWOS:000830892100009","View Full Record in Web of Science")</f>
        <v>View Full Record in Web of Science</v>
      </c>
    </row>
    <row r="252" ht="12.75" customHeight="1">
      <c r="A252" s="1" t="s">
        <v>65</v>
      </c>
      <c r="B252" s="1" t="s">
        <v>5422</v>
      </c>
      <c r="C252" s="1" t="s">
        <v>5423</v>
      </c>
      <c r="D252" s="1" t="s">
        <v>68</v>
      </c>
      <c r="E252" s="1" t="s">
        <v>5424</v>
      </c>
      <c r="F252" s="1" t="s">
        <v>5425</v>
      </c>
      <c r="G252" s="1" t="s">
        <v>68</v>
      </c>
      <c r="H252" s="1" t="s">
        <v>71</v>
      </c>
      <c r="I252" s="1" t="s">
        <v>72</v>
      </c>
      <c r="J252" s="1" t="s">
        <v>68</v>
      </c>
      <c r="K252" s="1" t="s">
        <v>68</v>
      </c>
      <c r="L252" s="1" t="s">
        <v>68</v>
      </c>
      <c r="M252" s="1" t="s">
        <v>68</v>
      </c>
      <c r="N252" s="1" t="s">
        <v>5426</v>
      </c>
      <c r="O252" s="1" t="s">
        <v>5427</v>
      </c>
      <c r="P252" s="1" t="s">
        <v>5428</v>
      </c>
      <c r="Q252" s="1" t="s">
        <v>5429</v>
      </c>
      <c r="R252" s="1" t="s">
        <v>5430</v>
      </c>
      <c r="S252" s="1" t="s">
        <v>5431</v>
      </c>
      <c r="T252" s="1" t="s">
        <v>5432</v>
      </c>
      <c r="U252" s="1" t="s">
        <v>5433</v>
      </c>
      <c r="V252" s="1" t="s">
        <v>5434</v>
      </c>
      <c r="W252" s="1" t="s">
        <v>68</v>
      </c>
      <c r="X252" s="1" t="s">
        <v>68</v>
      </c>
      <c r="Y252" s="1" t="s">
        <v>68</v>
      </c>
      <c r="Z252" s="1">
        <v>30.0</v>
      </c>
      <c r="AA252" s="1">
        <v>22.0</v>
      </c>
      <c r="AB252" s="1">
        <v>26.0</v>
      </c>
      <c r="AC252" s="1">
        <v>4.0</v>
      </c>
      <c r="AD252" s="1">
        <v>38.0</v>
      </c>
      <c r="AE252" s="1" t="s">
        <v>503</v>
      </c>
      <c r="AF252" s="1" t="s">
        <v>504</v>
      </c>
      <c r="AG252" s="1" t="s">
        <v>505</v>
      </c>
      <c r="AH252" s="1" t="s">
        <v>5435</v>
      </c>
      <c r="AI252" s="1" t="s">
        <v>5436</v>
      </c>
      <c r="AJ252" s="1" t="s">
        <v>68</v>
      </c>
      <c r="AK252" s="1" t="s">
        <v>5437</v>
      </c>
      <c r="AL252" s="1" t="s">
        <v>5438</v>
      </c>
      <c r="AM252" s="1" t="s">
        <v>404</v>
      </c>
      <c r="AN252" s="1">
        <v>2021.0</v>
      </c>
      <c r="AO252" s="1">
        <v>37.0</v>
      </c>
      <c r="AP252" s="1">
        <v>7.0</v>
      </c>
      <c r="AQ252" s="1" t="s">
        <v>68</v>
      </c>
      <c r="AR252" s="1" t="s">
        <v>68</v>
      </c>
      <c r="AS252" s="1" t="s">
        <v>68</v>
      </c>
      <c r="AT252" s="1" t="s">
        <v>68</v>
      </c>
      <c r="AU252" s="1">
        <v>1025.0</v>
      </c>
      <c r="AV252" s="1">
        <v>1031.0</v>
      </c>
      <c r="AW252" s="1" t="s">
        <v>68</v>
      </c>
      <c r="AX252" s="1" t="s">
        <v>5439</v>
      </c>
      <c r="AY252" s="3" t="str">
        <f>HYPERLINK("http://dx.doi.org/10.1002/rra.3820","http://dx.doi.org/10.1002/rra.3820")</f>
        <v>http://dx.doi.org/10.1002/rra.3820</v>
      </c>
      <c r="AZ252" s="1" t="s">
        <v>68</v>
      </c>
      <c r="BA252" s="1" t="s">
        <v>1580</v>
      </c>
      <c r="BB252" s="1">
        <v>7.0</v>
      </c>
      <c r="BC252" s="1" t="s">
        <v>2973</v>
      </c>
      <c r="BD252" s="1" t="s">
        <v>92</v>
      </c>
      <c r="BE252" s="1" t="s">
        <v>2974</v>
      </c>
      <c r="BF252" s="1" t="s">
        <v>5440</v>
      </c>
      <c r="BG252" s="1">
        <v>3.422682E7</v>
      </c>
      <c r="BH252" s="1" t="s">
        <v>5315</v>
      </c>
      <c r="BI252" s="1" t="s">
        <v>68</v>
      </c>
      <c r="BJ252" s="1" t="s">
        <v>68</v>
      </c>
      <c r="BK252" s="1" t="s">
        <v>95</v>
      </c>
      <c r="BL252" s="1" t="s">
        <v>5441</v>
      </c>
      <c r="BM252" s="1" t="str">
        <f>HYPERLINK("https%3A%2F%2Fwww.webofscience.com%2Fwos%2Fwoscc%2Ffull-record%2FWOS:000656092800001","View Full Record in Web of Science")</f>
        <v>View Full Record in Web of Science</v>
      </c>
    </row>
    <row r="253" ht="12.75" customHeight="1">
      <c r="A253" s="1" t="s">
        <v>65</v>
      </c>
      <c r="B253" s="1" t="s">
        <v>5442</v>
      </c>
      <c r="C253" s="1" t="s">
        <v>5443</v>
      </c>
      <c r="D253" s="1" t="s">
        <v>68</v>
      </c>
      <c r="E253" s="1" t="s">
        <v>5444</v>
      </c>
      <c r="F253" s="1" t="s">
        <v>798</v>
      </c>
      <c r="G253" s="1" t="s">
        <v>68</v>
      </c>
      <c r="H253" s="1" t="s">
        <v>71</v>
      </c>
      <c r="I253" s="1" t="s">
        <v>72</v>
      </c>
      <c r="J253" s="1" t="s">
        <v>68</v>
      </c>
      <c r="K253" s="1" t="s">
        <v>68</v>
      </c>
      <c r="L253" s="1" t="s">
        <v>68</v>
      </c>
      <c r="M253" s="1" t="s">
        <v>68</v>
      </c>
      <c r="N253" s="1" t="s">
        <v>5445</v>
      </c>
      <c r="O253" s="1" t="s">
        <v>5446</v>
      </c>
      <c r="P253" s="1" t="s">
        <v>5447</v>
      </c>
      <c r="Q253" s="1" t="s">
        <v>5448</v>
      </c>
      <c r="R253" s="1" t="s">
        <v>5449</v>
      </c>
      <c r="S253" s="1" t="s">
        <v>5450</v>
      </c>
      <c r="T253" s="1" t="s">
        <v>5451</v>
      </c>
      <c r="U253" s="1" t="s">
        <v>5452</v>
      </c>
      <c r="V253" s="1" t="s">
        <v>5453</v>
      </c>
      <c r="W253" s="1" t="s">
        <v>5454</v>
      </c>
      <c r="X253" s="1" t="s">
        <v>5455</v>
      </c>
      <c r="Y253" s="1" t="s">
        <v>5456</v>
      </c>
      <c r="Z253" s="1">
        <v>43.0</v>
      </c>
      <c r="AA253" s="1">
        <v>66.0</v>
      </c>
      <c r="AB253" s="1">
        <v>87.0</v>
      </c>
      <c r="AC253" s="1">
        <v>4.0</v>
      </c>
      <c r="AD253" s="1">
        <v>92.0</v>
      </c>
      <c r="AE253" s="1" t="s">
        <v>811</v>
      </c>
      <c r="AF253" s="1" t="s">
        <v>1666</v>
      </c>
      <c r="AG253" s="1" t="s">
        <v>1667</v>
      </c>
      <c r="AH253" s="1" t="s">
        <v>813</v>
      </c>
      <c r="AI253" s="1" t="s">
        <v>814</v>
      </c>
      <c r="AJ253" s="1" t="s">
        <v>68</v>
      </c>
      <c r="AK253" s="1" t="s">
        <v>815</v>
      </c>
      <c r="AL253" s="1" t="s">
        <v>816</v>
      </c>
      <c r="AM253" s="1" t="s">
        <v>790</v>
      </c>
      <c r="AN253" s="1">
        <v>2020.0</v>
      </c>
      <c r="AO253" s="1">
        <v>248.0</v>
      </c>
      <c r="AP253" s="1" t="s">
        <v>68</v>
      </c>
      <c r="AQ253" s="1" t="s">
        <v>68</v>
      </c>
      <c r="AR253" s="1" t="s">
        <v>68</v>
      </c>
      <c r="AS253" s="1" t="s">
        <v>68</v>
      </c>
      <c r="AT253" s="1" t="s">
        <v>68</v>
      </c>
      <c r="AU253" s="1" t="s">
        <v>68</v>
      </c>
      <c r="AV253" s="1" t="s">
        <v>68</v>
      </c>
      <c r="AW253" s="1">
        <v>108653.0</v>
      </c>
      <c r="AX253" s="1" t="s">
        <v>5457</v>
      </c>
      <c r="AY253" s="3" t="str">
        <f>HYPERLINK("http://dx.doi.org/10.1016/j.biocon.2020.108653","http://dx.doi.org/10.1016/j.biocon.2020.108653")</f>
        <v>http://dx.doi.org/10.1016/j.biocon.2020.108653</v>
      </c>
      <c r="AZ253" s="1" t="s">
        <v>68</v>
      </c>
      <c r="BA253" s="1" t="s">
        <v>68</v>
      </c>
      <c r="BB253" s="1">
        <v>7.0</v>
      </c>
      <c r="BC253" s="1" t="s">
        <v>122</v>
      </c>
      <c r="BD253" s="1" t="s">
        <v>92</v>
      </c>
      <c r="BE253" s="1" t="s">
        <v>123</v>
      </c>
      <c r="BF253" s="1" t="s">
        <v>5458</v>
      </c>
      <c r="BG253" s="1" t="s">
        <v>68</v>
      </c>
      <c r="BH253" s="1" t="s">
        <v>68</v>
      </c>
      <c r="BI253" s="1" t="s">
        <v>68</v>
      </c>
      <c r="BJ253" s="1" t="s">
        <v>68</v>
      </c>
      <c r="BK253" s="1" t="s">
        <v>95</v>
      </c>
      <c r="BL253" s="1" t="s">
        <v>5459</v>
      </c>
      <c r="BM253" s="1" t="str">
        <f>HYPERLINK("https%3A%2F%2Fwww.webofscience.com%2Fwos%2Fwoscc%2Ffull-record%2FWOS:000556843900024","View Full Record in Web of Science")</f>
        <v>View Full Record in Web of Science</v>
      </c>
    </row>
    <row r="254" ht="12.75" customHeight="1">
      <c r="A254" s="1" t="s">
        <v>65</v>
      </c>
      <c r="B254" s="1" t="s">
        <v>5460</v>
      </c>
      <c r="C254" s="1" t="s">
        <v>5461</v>
      </c>
      <c r="D254" s="1" t="s">
        <v>68</v>
      </c>
      <c r="E254" s="1" t="s">
        <v>5462</v>
      </c>
      <c r="F254" s="1" t="s">
        <v>5463</v>
      </c>
      <c r="G254" s="1" t="s">
        <v>68</v>
      </c>
      <c r="H254" s="1" t="s">
        <v>71</v>
      </c>
      <c r="I254" s="1" t="s">
        <v>72</v>
      </c>
      <c r="J254" s="1" t="s">
        <v>68</v>
      </c>
      <c r="K254" s="1" t="s">
        <v>68</v>
      </c>
      <c r="L254" s="1" t="s">
        <v>68</v>
      </c>
      <c r="M254" s="1" t="s">
        <v>68</v>
      </c>
      <c r="N254" s="1" t="s">
        <v>5464</v>
      </c>
      <c r="O254" s="1" t="s">
        <v>5465</v>
      </c>
      <c r="P254" s="1" t="s">
        <v>5466</v>
      </c>
      <c r="Q254" s="1" t="s">
        <v>5467</v>
      </c>
      <c r="R254" s="1" t="s">
        <v>5468</v>
      </c>
      <c r="S254" s="1" t="s">
        <v>5469</v>
      </c>
      <c r="T254" s="1" t="s">
        <v>5470</v>
      </c>
      <c r="U254" s="1" t="s">
        <v>5471</v>
      </c>
      <c r="V254" s="1" t="s">
        <v>5472</v>
      </c>
      <c r="W254" s="1" t="s">
        <v>5473</v>
      </c>
      <c r="X254" s="1" t="s">
        <v>5473</v>
      </c>
      <c r="Y254" s="1" t="s">
        <v>5474</v>
      </c>
      <c r="Z254" s="1">
        <v>58.0</v>
      </c>
      <c r="AA254" s="1">
        <v>8.0</v>
      </c>
      <c r="AB254" s="1">
        <v>8.0</v>
      </c>
      <c r="AC254" s="1">
        <v>0.0</v>
      </c>
      <c r="AD254" s="1">
        <v>3.0</v>
      </c>
      <c r="AE254" s="1" t="s">
        <v>114</v>
      </c>
      <c r="AF254" s="1" t="s">
        <v>115</v>
      </c>
      <c r="AG254" s="1" t="s">
        <v>2993</v>
      </c>
      <c r="AH254" s="1" t="s">
        <v>5475</v>
      </c>
      <c r="AI254" s="1" t="s">
        <v>5476</v>
      </c>
      <c r="AJ254" s="1" t="s">
        <v>68</v>
      </c>
      <c r="AK254" s="1" t="s">
        <v>5477</v>
      </c>
      <c r="AL254" s="1" t="s">
        <v>5478</v>
      </c>
      <c r="AM254" s="1" t="s">
        <v>790</v>
      </c>
      <c r="AN254" s="1">
        <v>2024.0</v>
      </c>
      <c r="AO254" s="1">
        <v>28.0</v>
      </c>
      <c r="AP254" s="1">
        <v>4.0</v>
      </c>
      <c r="AQ254" s="1" t="s">
        <v>68</v>
      </c>
      <c r="AR254" s="1" t="s">
        <v>68</v>
      </c>
      <c r="AS254" s="1" t="s">
        <v>68</v>
      </c>
      <c r="AT254" s="1" t="s">
        <v>68</v>
      </c>
      <c r="AU254" s="1" t="s">
        <v>68</v>
      </c>
      <c r="AV254" s="1" t="s">
        <v>68</v>
      </c>
      <c r="AW254" s="1">
        <v>59.0</v>
      </c>
      <c r="AX254" s="1" t="s">
        <v>5479</v>
      </c>
      <c r="AY254" s="3" t="str">
        <f>HYPERLINK("http://dx.doi.org/10.1007/s11852-024-01063-0","http://dx.doi.org/10.1007/s11852-024-01063-0")</f>
        <v>http://dx.doi.org/10.1007/s11852-024-01063-0</v>
      </c>
      <c r="AZ254" s="1" t="s">
        <v>68</v>
      </c>
      <c r="BA254" s="1" t="s">
        <v>68</v>
      </c>
      <c r="BB254" s="1">
        <v>10.0</v>
      </c>
      <c r="BC254" s="1" t="s">
        <v>5480</v>
      </c>
      <c r="BD254" s="1" t="s">
        <v>92</v>
      </c>
      <c r="BE254" s="1" t="s">
        <v>5481</v>
      </c>
      <c r="BF254" s="1" t="s">
        <v>5482</v>
      </c>
      <c r="BG254" s="1" t="s">
        <v>68</v>
      </c>
      <c r="BH254" s="1" t="s">
        <v>68</v>
      </c>
      <c r="BI254" s="1" t="s">
        <v>68</v>
      </c>
      <c r="BJ254" s="1" t="s">
        <v>68</v>
      </c>
      <c r="BK254" s="1" t="s">
        <v>95</v>
      </c>
      <c r="BL254" s="1" t="s">
        <v>5483</v>
      </c>
      <c r="BM254" s="1" t="str">
        <f>HYPERLINK("https%3A%2F%2Fwww.webofscience.com%2Fwos%2Fwoscc%2Ffull-record%2FWOS:001260793100001","View Full Record in Web of Science")</f>
        <v>View Full Record in Web of Science</v>
      </c>
    </row>
    <row r="255" ht="12.75" customHeight="1">
      <c r="A255" s="1" t="s">
        <v>65</v>
      </c>
      <c r="B255" s="1" t="s">
        <v>5484</v>
      </c>
      <c r="C255" s="1" t="s">
        <v>5485</v>
      </c>
      <c r="D255" s="1" t="s">
        <v>68</v>
      </c>
      <c r="E255" s="1" t="s">
        <v>5486</v>
      </c>
      <c r="F255" s="1" t="s">
        <v>5487</v>
      </c>
      <c r="G255" s="1" t="s">
        <v>68</v>
      </c>
      <c r="H255" s="1" t="s">
        <v>71</v>
      </c>
      <c r="I255" s="1" t="s">
        <v>72</v>
      </c>
      <c r="J255" s="1" t="s">
        <v>68</v>
      </c>
      <c r="K255" s="1" t="s">
        <v>68</v>
      </c>
      <c r="L255" s="1" t="s">
        <v>68</v>
      </c>
      <c r="M255" s="1" t="s">
        <v>68</v>
      </c>
      <c r="N255" s="1" t="s">
        <v>68</v>
      </c>
      <c r="O255" s="1" t="s">
        <v>5488</v>
      </c>
      <c r="P255" s="1" t="s">
        <v>5489</v>
      </c>
      <c r="Q255" s="1" t="s">
        <v>5490</v>
      </c>
      <c r="R255" s="1" t="s">
        <v>5491</v>
      </c>
      <c r="S255" s="1" t="s">
        <v>5492</v>
      </c>
      <c r="T255" s="1" t="s">
        <v>5493</v>
      </c>
      <c r="U255" s="1" t="s">
        <v>5494</v>
      </c>
      <c r="V255" s="1" t="s">
        <v>68</v>
      </c>
      <c r="W255" s="1" t="s">
        <v>5495</v>
      </c>
      <c r="X255" s="1" t="s">
        <v>5495</v>
      </c>
      <c r="Y255" s="1" t="s">
        <v>5496</v>
      </c>
      <c r="Z255" s="1">
        <v>84.0</v>
      </c>
      <c r="AA255" s="1">
        <v>0.0</v>
      </c>
      <c r="AB255" s="1">
        <v>0.0</v>
      </c>
      <c r="AC255" s="1">
        <v>4.0</v>
      </c>
      <c r="AD255" s="1">
        <v>4.0</v>
      </c>
      <c r="AE255" s="1" t="s">
        <v>3445</v>
      </c>
      <c r="AF255" s="1" t="s">
        <v>3446</v>
      </c>
      <c r="AG255" s="1" t="s">
        <v>3447</v>
      </c>
      <c r="AH255" s="1" t="s">
        <v>5497</v>
      </c>
      <c r="AI255" s="1" t="s">
        <v>5498</v>
      </c>
      <c r="AJ255" s="1" t="s">
        <v>68</v>
      </c>
      <c r="AK255" s="1" t="s">
        <v>5499</v>
      </c>
      <c r="AL255" s="1" t="s">
        <v>5500</v>
      </c>
      <c r="AM255" s="1" t="s">
        <v>5501</v>
      </c>
      <c r="AN255" s="1">
        <v>2025.0</v>
      </c>
      <c r="AO255" s="1">
        <v>25.0</v>
      </c>
      <c r="AP255" s="1">
        <v>2.0</v>
      </c>
      <c r="AQ255" s="1" t="s">
        <v>68</v>
      </c>
      <c r="AR255" s="1" t="s">
        <v>68</v>
      </c>
      <c r="AS255" s="1" t="s">
        <v>68</v>
      </c>
      <c r="AT255" s="1" t="s">
        <v>68</v>
      </c>
      <c r="AU255" s="1">
        <v>177.0</v>
      </c>
      <c r="AV255" s="1">
        <v>188.0</v>
      </c>
      <c r="AW255" s="1" t="s">
        <v>68</v>
      </c>
      <c r="AX255" s="1" t="s">
        <v>5502</v>
      </c>
      <c r="AY255" s="3" t="str">
        <f>HYPERLINK("http://dx.doi.org/10.5194/we-25-177-2025","http://dx.doi.org/10.5194/we-25-177-2025")</f>
        <v>http://dx.doi.org/10.5194/we-25-177-2025</v>
      </c>
      <c r="AZ255" s="1" t="s">
        <v>68</v>
      </c>
      <c r="BA255" s="1" t="s">
        <v>68</v>
      </c>
      <c r="BB255" s="1">
        <v>12.0</v>
      </c>
      <c r="BC255" s="1" t="s">
        <v>792</v>
      </c>
      <c r="BD255" s="1" t="s">
        <v>92</v>
      </c>
      <c r="BE255" s="1" t="s">
        <v>333</v>
      </c>
      <c r="BF255" s="1" t="s">
        <v>5503</v>
      </c>
      <c r="BG255" s="1" t="s">
        <v>68</v>
      </c>
      <c r="BH255" s="1" t="s">
        <v>94</v>
      </c>
      <c r="BI255" s="1" t="s">
        <v>68</v>
      </c>
      <c r="BJ255" s="1" t="s">
        <v>68</v>
      </c>
      <c r="BK255" s="1" t="s">
        <v>95</v>
      </c>
      <c r="BL255" s="1" t="s">
        <v>5504</v>
      </c>
      <c r="BM255" s="1" t="str">
        <f>HYPERLINK("https%3A%2F%2Fwww.webofscience.com%2Fwos%2Fwoscc%2Ffull-record%2FWOS:001588098500001","View Full Record in Web of Science")</f>
        <v>View Full Record in Web of Science</v>
      </c>
    </row>
    <row r="256" ht="12.75" customHeight="1">
      <c r="A256" s="1" t="s">
        <v>65</v>
      </c>
      <c r="B256" s="1" t="s">
        <v>5505</v>
      </c>
      <c r="C256" s="1" t="s">
        <v>5506</v>
      </c>
      <c r="D256" s="1" t="s">
        <v>68</v>
      </c>
      <c r="E256" s="1" t="s">
        <v>5507</v>
      </c>
      <c r="F256" s="1" t="s">
        <v>5508</v>
      </c>
      <c r="G256" s="1" t="s">
        <v>68</v>
      </c>
      <c r="H256" s="1" t="s">
        <v>71</v>
      </c>
      <c r="I256" s="1" t="s">
        <v>72</v>
      </c>
      <c r="J256" s="1" t="s">
        <v>68</v>
      </c>
      <c r="K256" s="1" t="s">
        <v>68</v>
      </c>
      <c r="L256" s="1" t="s">
        <v>68</v>
      </c>
      <c r="M256" s="1" t="s">
        <v>68</v>
      </c>
      <c r="N256" s="1" t="s">
        <v>5509</v>
      </c>
      <c r="O256" s="1" t="s">
        <v>68</v>
      </c>
      <c r="P256" s="1" t="s">
        <v>5510</v>
      </c>
      <c r="Q256" s="1" t="s">
        <v>5511</v>
      </c>
      <c r="R256" s="1" t="s">
        <v>5512</v>
      </c>
      <c r="S256" s="1" t="s">
        <v>5513</v>
      </c>
      <c r="T256" s="1" t="s">
        <v>5514</v>
      </c>
      <c r="U256" s="1" t="s">
        <v>5515</v>
      </c>
      <c r="V256" s="1" t="s">
        <v>5516</v>
      </c>
      <c r="W256" s="1" t="s">
        <v>5517</v>
      </c>
      <c r="X256" s="1" t="s">
        <v>5517</v>
      </c>
      <c r="Y256" s="1" t="s">
        <v>5518</v>
      </c>
      <c r="Z256" s="1">
        <v>33.0</v>
      </c>
      <c r="AA256" s="1">
        <v>1.0</v>
      </c>
      <c r="AB256" s="1">
        <v>3.0</v>
      </c>
      <c r="AC256" s="1">
        <v>5.0</v>
      </c>
      <c r="AD256" s="1">
        <v>15.0</v>
      </c>
      <c r="AE256" s="1" t="s">
        <v>1139</v>
      </c>
      <c r="AF256" s="1" t="s">
        <v>785</v>
      </c>
      <c r="AG256" s="1" t="s">
        <v>1140</v>
      </c>
      <c r="AH256" s="1" t="s">
        <v>68</v>
      </c>
      <c r="AI256" s="1" t="s">
        <v>5519</v>
      </c>
      <c r="AJ256" s="1" t="s">
        <v>68</v>
      </c>
      <c r="AK256" s="1" t="s">
        <v>5520</v>
      </c>
      <c r="AL256" s="1" t="s">
        <v>5521</v>
      </c>
      <c r="AM256" s="1" t="s">
        <v>5522</v>
      </c>
      <c r="AN256" s="1">
        <v>2024.0</v>
      </c>
      <c r="AO256" s="1">
        <v>4.0</v>
      </c>
      <c r="AP256" s="1">
        <v>2.0</v>
      </c>
      <c r="AQ256" s="1" t="s">
        <v>68</v>
      </c>
      <c r="AR256" s="1" t="s">
        <v>68</v>
      </c>
      <c r="AS256" s="1" t="s">
        <v>68</v>
      </c>
      <c r="AT256" s="1" t="s">
        <v>68</v>
      </c>
      <c r="AU256" s="1">
        <v>601.0</v>
      </c>
      <c r="AV256" s="1">
        <v>609.0</v>
      </c>
      <c r="AW256" s="1" t="s">
        <v>68</v>
      </c>
      <c r="AX256" s="1" t="s">
        <v>5523</v>
      </c>
      <c r="AY256" s="3" t="str">
        <f>HYPERLINK("http://dx.doi.org/10.1021/acsestwater.3c00640","http://dx.doi.org/10.1021/acsestwater.3c00640")</f>
        <v>http://dx.doi.org/10.1021/acsestwater.3c00640</v>
      </c>
      <c r="AZ256" s="1" t="s">
        <v>68</v>
      </c>
      <c r="BA256" s="1" t="s">
        <v>68</v>
      </c>
      <c r="BB256" s="1">
        <v>9.0</v>
      </c>
      <c r="BC256" s="1" t="s">
        <v>2973</v>
      </c>
      <c r="BD256" s="1" t="s">
        <v>197</v>
      </c>
      <c r="BE256" s="1" t="s">
        <v>2974</v>
      </c>
      <c r="BF256" s="1" t="s">
        <v>5524</v>
      </c>
      <c r="BG256" s="1" t="s">
        <v>68</v>
      </c>
      <c r="BH256" s="1" t="s">
        <v>68</v>
      </c>
      <c r="BI256" s="1" t="s">
        <v>68</v>
      </c>
      <c r="BJ256" s="1" t="s">
        <v>68</v>
      </c>
      <c r="BK256" s="1" t="s">
        <v>95</v>
      </c>
      <c r="BL256" s="1" t="s">
        <v>5525</v>
      </c>
      <c r="BM256" s="1" t="str">
        <f>HYPERLINK("https%3A%2F%2Fwww.webofscience.com%2Fwos%2Fwoscc%2Ffull-record%2FWOS:001161377800001","View Full Record in Web of Science")</f>
        <v>View Full Record in Web of Science</v>
      </c>
    </row>
    <row r="257" ht="12.75" customHeight="1">
      <c r="A257" s="1" t="s">
        <v>65</v>
      </c>
      <c r="B257" s="1" t="s">
        <v>5526</v>
      </c>
      <c r="C257" s="1" t="s">
        <v>5527</v>
      </c>
      <c r="D257" s="1" t="s">
        <v>68</v>
      </c>
      <c r="E257" s="1" t="s">
        <v>5528</v>
      </c>
      <c r="F257" s="1" t="s">
        <v>5529</v>
      </c>
      <c r="G257" s="1" t="s">
        <v>68</v>
      </c>
      <c r="H257" s="1" t="s">
        <v>71</v>
      </c>
      <c r="I257" s="1" t="s">
        <v>72</v>
      </c>
      <c r="J257" s="1" t="s">
        <v>68</v>
      </c>
      <c r="K257" s="1" t="s">
        <v>68</v>
      </c>
      <c r="L257" s="1" t="s">
        <v>68</v>
      </c>
      <c r="M257" s="1" t="s">
        <v>68</v>
      </c>
      <c r="N257" s="1" t="s">
        <v>5530</v>
      </c>
      <c r="O257" s="1" t="s">
        <v>68</v>
      </c>
      <c r="P257" s="1" t="s">
        <v>5531</v>
      </c>
      <c r="Q257" s="1" t="s">
        <v>5532</v>
      </c>
      <c r="R257" s="1" t="s">
        <v>5533</v>
      </c>
      <c r="S257" s="1" t="s">
        <v>5534</v>
      </c>
      <c r="T257" s="1" t="s">
        <v>5535</v>
      </c>
      <c r="U257" s="1" t="s">
        <v>68</v>
      </c>
      <c r="V257" s="1" t="s">
        <v>5536</v>
      </c>
      <c r="W257" s="1" t="s">
        <v>5537</v>
      </c>
      <c r="X257" s="1" t="s">
        <v>5538</v>
      </c>
      <c r="Y257" s="1" t="s">
        <v>5539</v>
      </c>
      <c r="Z257" s="1">
        <v>68.0</v>
      </c>
      <c r="AA257" s="1">
        <v>17.0</v>
      </c>
      <c r="AB257" s="1">
        <v>23.0</v>
      </c>
      <c r="AC257" s="1">
        <v>1.0</v>
      </c>
      <c r="AD257" s="1">
        <v>11.0</v>
      </c>
      <c r="AE257" s="1" t="s">
        <v>1782</v>
      </c>
      <c r="AF257" s="1" t="s">
        <v>1783</v>
      </c>
      <c r="AG257" s="1" t="s">
        <v>1784</v>
      </c>
      <c r="AH257" s="1" t="s">
        <v>5540</v>
      </c>
      <c r="AI257" s="1" t="s">
        <v>5541</v>
      </c>
      <c r="AJ257" s="1" t="s">
        <v>68</v>
      </c>
      <c r="AK257" s="1" t="s">
        <v>5542</v>
      </c>
      <c r="AL257" s="1" t="s">
        <v>5543</v>
      </c>
      <c r="AM257" s="1" t="s">
        <v>252</v>
      </c>
      <c r="AN257" s="1">
        <v>2021.0</v>
      </c>
      <c r="AO257" s="1">
        <v>28.0</v>
      </c>
      <c r="AP257" s="1">
        <v>28.0</v>
      </c>
      <c r="AQ257" s="1" t="s">
        <v>68</v>
      </c>
      <c r="AR257" s="1" t="s">
        <v>68</v>
      </c>
      <c r="AS257" s="1" t="s">
        <v>68</v>
      </c>
      <c r="AT257" s="1" t="s">
        <v>68</v>
      </c>
      <c r="AU257" s="1">
        <v>37995.0</v>
      </c>
      <c r="AV257" s="1">
        <v>38006.0</v>
      </c>
      <c r="AW257" s="1" t="s">
        <v>68</v>
      </c>
      <c r="AX257" s="1" t="s">
        <v>5544</v>
      </c>
      <c r="AY257" s="3" t="str">
        <f>HYPERLINK("http://dx.doi.org/10.1007/s11356-021-13379-7","http://dx.doi.org/10.1007/s11356-021-13379-7")</f>
        <v>http://dx.doi.org/10.1007/s11356-021-13379-7</v>
      </c>
      <c r="AZ257" s="1" t="s">
        <v>68</v>
      </c>
      <c r="BA257" s="1" t="s">
        <v>2555</v>
      </c>
      <c r="BB257" s="1">
        <v>12.0</v>
      </c>
      <c r="BC257" s="1" t="s">
        <v>484</v>
      </c>
      <c r="BD257" s="1" t="s">
        <v>279</v>
      </c>
      <c r="BE257" s="1" t="s">
        <v>333</v>
      </c>
      <c r="BF257" s="1" t="s">
        <v>5545</v>
      </c>
      <c r="BG257" s="1">
        <v>3.3728609E7</v>
      </c>
      <c r="BH257" s="1" t="s">
        <v>644</v>
      </c>
      <c r="BI257" s="1" t="s">
        <v>68</v>
      </c>
      <c r="BJ257" s="1" t="s">
        <v>68</v>
      </c>
      <c r="BK257" s="1" t="s">
        <v>95</v>
      </c>
      <c r="BL257" s="1" t="s">
        <v>5546</v>
      </c>
      <c r="BM257" s="1" t="str">
        <f>HYPERLINK("https%3A%2F%2Fwww.webofscience.com%2Fwos%2Fwoscc%2Ffull-record%2FWOS:000629549300015","View Full Record in Web of Science")</f>
        <v>View Full Record in Web of Science</v>
      </c>
    </row>
    <row r="258" ht="12.75" customHeight="1">
      <c r="A258" s="1" t="s">
        <v>65</v>
      </c>
      <c r="B258" s="1" t="s">
        <v>5547</v>
      </c>
      <c r="C258" s="1" t="s">
        <v>5548</v>
      </c>
      <c r="D258" s="1" t="s">
        <v>68</v>
      </c>
      <c r="E258" s="1" t="s">
        <v>5549</v>
      </c>
      <c r="F258" s="1" t="s">
        <v>4573</v>
      </c>
      <c r="G258" s="1" t="s">
        <v>68</v>
      </c>
      <c r="H258" s="1" t="s">
        <v>71</v>
      </c>
      <c r="I258" s="1" t="s">
        <v>72</v>
      </c>
      <c r="J258" s="1" t="s">
        <v>68</v>
      </c>
      <c r="K258" s="1" t="s">
        <v>68</v>
      </c>
      <c r="L258" s="1" t="s">
        <v>68</v>
      </c>
      <c r="M258" s="1" t="s">
        <v>68</v>
      </c>
      <c r="N258" s="1" t="s">
        <v>5550</v>
      </c>
      <c r="O258" s="1" t="s">
        <v>5551</v>
      </c>
      <c r="P258" s="1" t="s">
        <v>5552</v>
      </c>
      <c r="Q258" s="1" t="s">
        <v>5553</v>
      </c>
      <c r="R258" s="1" t="s">
        <v>5554</v>
      </c>
      <c r="S258" s="1" t="s">
        <v>5555</v>
      </c>
      <c r="T258" s="1" t="s">
        <v>5556</v>
      </c>
      <c r="U258" s="1" t="s">
        <v>68</v>
      </c>
      <c r="V258" s="1" t="s">
        <v>5557</v>
      </c>
      <c r="W258" s="1" t="s">
        <v>68</v>
      </c>
      <c r="X258" s="1" t="s">
        <v>68</v>
      </c>
      <c r="Y258" s="1" t="s">
        <v>68</v>
      </c>
      <c r="Z258" s="1">
        <v>19.0</v>
      </c>
      <c r="AA258" s="1">
        <v>32.0</v>
      </c>
      <c r="AB258" s="1">
        <v>39.0</v>
      </c>
      <c r="AC258" s="1">
        <v>3.0</v>
      </c>
      <c r="AD258" s="1">
        <v>62.0</v>
      </c>
      <c r="AE258" s="1" t="s">
        <v>4584</v>
      </c>
      <c r="AF258" s="1" t="s">
        <v>4585</v>
      </c>
      <c r="AG258" s="1" t="s">
        <v>4586</v>
      </c>
      <c r="AH258" s="1" t="s">
        <v>4587</v>
      </c>
      <c r="AI258" s="1" t="s">
        <v>4588</v>
      </c>
      <c r="AJ258" s="1" t="s">
        <v>68</v>
      </c>
      <c r="AK258" s="1" t="s">
        <v>4589</v>
      </c>
      <c r="AL258" s="1" t="s">
        <v>4590</v>
      </c>
      <c r="AM258" s="1" t="s">
        <v>4591</v>
      </c>
      <c r="AN258" s="1">
        <v>2019.0</v>
      </c>
      <c r="AO258" s="1">
        <v>38.0</v>
      </c>
      <c r="AP258" s="1">
        <v>2.0</v>
      </c>
      <c r="AQ258" s="1" t="s">
        <v>68</v>
      </c>
      <c r="AR258" s="1" t="s">
        <v>68</v>
      </c>
      <c r="AS258" s="1" t="s">
        <v>68</v>
      </c>
      <c r="AT258" s="1" t="s">
        <v>68</v>
      </c>
      <c r="AU258" s="1">
        <v>270.0</v>
      </c>
      <c r="AV258" s="1">
        <v>280.0</v>
      </c>
      <c r="AW258" s="1" t="s">
        <v>68</v>
      </c>
      <c r="AX258" s="1" t="s">
        <v>5558</v>
      </c>
      <c r="AY258" s="3" t="str">
        <f>HYPERLINK("http://dx.doi.org/10.1086/703397","http://dx.doi.org/10.1086/703397")</f>
        <v>http://dx.doi.org/10.1086/703397</v>
      </c>
      <c r="AZ258" s="1" t="s">
        <v>68</v>
      </c>
      <c r="BA258" s="1" t="s">
        <v>68</v>
      </c>
      <c r="BB258" s="1">
        <v>11.0</v>
      </c>
      <c r="BC258" s="1" t="s">
        <v>4593</v>
      </c>
      <c r="BD258" s="1" t="s">
        <v>92</v>
      </c>
      <c r="BE258" s="1" t="s">
        <v>2350</v>
      </c>
      <c r="BF258" s="1" t="s">
        <v>4594</v>
      </c>
      <c r="BG258" s="1" t="s">
        <v>68</v>
      </c>
      <c r="BH258" s="1" t="s">
        <v>591</v>
      </c>
      <c r="BI258" s="1" t="s">
        <v>68</v>
      </c>
      <c r="BJ258" s="1" t="s">
        <v>68</v>
      </c>
      <c r="BK258" s="1" t="s">
        <v>95</v>
      </c>
      <c r="BL258" s="1" t="s">
        <v>5559</v>
      </c>
      <c r="BM258" s="1" t="str">
        <f>HYPERLINK("https%3A%2F%2Fwww.webofscience.com%2Fwos%2Fwoscc%2Ffull-record%2FWOS:000474076400005","View Full Record in Web of Science")</f>
        <v>View Full Record in Web of Science</v>
      </c>
    </row>
    <row r="259" ht="12.75" customHeight="1">
      <c r="A259" s="1" t="s">
        <v>65</v>
      </c>
      <c r="B259" s="1" t="s">
        <v>5560</v>
      </c>
      <c r="C259" s="1" t="s">
        <v>5561</v>
      </c>
      <c r="D259" s="1" t="s">
        <v>68</v>
      </c>
      <c r="E259" s="1" t="s">
        <v>5562</v>
      </c>
      <c r="F259" s="1" t="s">
        <v>5563</v>
      </c>
      <c r="G259" s="1" t="s">
        <v>68</v>
      </c>
      <c r="H259" s="1" t="s">
        <v>71</v>
      </c>
      <c r="I259" s="1" t="s">
        <v>72</v>
      </c>
      <c r="J259" s="1" t="s">
        <v>68</v>
      </c>
      <c r="K259" s="1" t="s">
        <v>68</v>
      </c>
      <c r="L259" s="1" t="s">
        <v>68</v>
      </c>
      <c r="M259" s="1" t="s">
        <v>68</v>
      </c>
      <c r="N259" s="1" t="s">
        <v>5564</v>
      </c>
      <c r="O259" s="1" t="s">
        <v>5565</v>
      </c>
      <c r="P259" s="1" t="s">
        <v>5566</v>
      </c>
      <c r="Q259" s="1" t="s">
        <v>5567</v>
      </c>
      <c r="R259" s="1" t="s">
        <v>5568</v>
      </c>
      <c r="S259" s="1" t="s">
        <v>5569</v>
      </c>
      <c r="T259" s="1" t="s">
        <v>5570</v>
      </c>
      <c r="U259" s="1" t="s">
        <v>5571</v>
      </c>
      <c r="V259" s="1" t="s">
        <v>5572</v>
      </c>
      <c r="W259" s="1" t="s">
        <v>68</v>
      </c>
      <c r="X259" s="1" t="s">
        <v>68</v>
      </c>
      <c r="Y259" s="1" t="s">
        <v>68</v>
      </c>
      <c r="Z259" s="1">
        <v>65.0</v>
      </c>
      <c r="AA259" s="1">
        <v>1.0</v>
      </c>
      <c r="AB259" s="1">
        <v>1.0</v>
      </c>
      <c r="AC259" s="1">
        <v>0.0</v>
      </c>
      <c r="AD259" s="1">
        <v>14.0</v>
      </c>
      <c r="AE259" s="1" t="s">
        <v>5573</v>
      </c>
      <c r="AF259" s="1" t="s">
        <v>5574</v>
      </c>
      <c r="AG259" s="1" t="s">
        <v>5575</v>
      </c>
      <c r="AH259" s="1" t="s">
        <v>5576</v>
      </c>
      <c r="AI259" s="1" t="s">
        <v>68</v>
      </c>
      <c r="AJ259" s="1" t="s">
        <v>68</v>
      </c>
      <c r="AK259" s="1" t="s">
        <v>5563</v>
      </c>
      <c r="AL259" s="1" t="s">
        <v>5577</v>
      </c>
      <c r="AM259" s="1" t="s">
        <v>5578</v>
      </c>
      <c r="AN259" s="1">
        <v>2017.0</v>
      </c>
      <c r="AO259" s="1">
        <v>2.0</v>
      </c>
      <c r="AP259" s="1" t="s">
        <v>68</v>
      </c>
      <c r="AQ259" s="1" t="s">
        <v>68</v>
      </c>
      <c r="AR259" s="1" t="s">
        <v>68</v>
      </c>
      <c r="AS259" s="1" t="s">
        <v>68</v>
      </c>
      <c r="AT259" s="1" t="s">
        <v>68</v>
      </c>
      <c r="AU259" s="1">
        <v>734.0</v>
      </c>
      <c r="AV259" s="1">
        <v>753.0</v>
      </c>
      <c r="AW259" s="1" t="s">
        <v>68</v>
      </c>
      <c r="AX259" s="1" t="s">
        <v>5579</v>
      </c>
      <c r="AY259" s="3" t="str">
        <f>HYPERLINK("http://dx.doi.org/10.1139/facets-2017-0030","http://dx.doi.org/10.1139/facets-2017-0030")</f>
        <v>http://dx.doi.org/10.1139/facets-2017-0030</v>
      </c>
      <c r="AZ259" s="1" t="s">
        <v>68</v>
      </c>
      <c r="BA259" s="1" t="s">
        <v>68</v>
      </c>
      <c r="BB259" s="1">
        <v>20.0</v>
      </c>
      <c r="BC259" s="1" t="s">
        <v>742</v>
      </c>
      <c r="BD259" s="1" t="s">
        <v>197</v>
      </c>
      <c r="BE259" s="1" t="s">
        <v>743</v>
      </c>
      <c r="BF259" s="1" t="s">
        <v>5580</v>
      </c>
      <c r="BG259" s="1" t="s">
        <v>68</v>
      </c>
      <c r="BH259" s="1" t="s">
        <v>94</v>
      </c>
      <c r="BI259" s="1" t="s">
        <v>68</v>
      </c>
      <c r="BJ259" s="1" t="s">
        <v>68</v>
      </c>
      <c r="BK259" s="1" t="s">
        <v>95</v>
      </c>
      <c r="BL259" s="1" t="s">
        <v>5581</v>
      </c>
      <c r="BM259" s="1" t="str">
        <f>HYPERLINK("https%3A%2F%2Fwww.webofscience.com%2Fwos%2Fwoscc%2Ffull-record%2FWOS:000412178100001","View Full Record in Web of Science")</f>
        <v>View Full Record in Web of Science</v>
      </c>
    </row>
    <row r="260" ht="12.75" customHeight="1">
      <c r="A260" s="1" t="s">
        <v>65</v>
      </c>
      <c r="B260" s="1" t="s">
        <v>5582</v>
      </c>
      <c r="C260" s="1" t="s">
        <v>5583</v>
      </c>
      <c r="D260" s="1" t="s">
        <v>68</v>
      </c>
      <c r="E260" s="1" t="s">
        <v>5584</v>
      </c>
      <c r="F260" s="1" t="s">
        <v>5585</v>
      </c>
      <c r="G260" s="1" t="s">
        <v>68</v>
      </c>
      <c r="H260" s="1" t="s">
        <v>71</v>
      </c>
      <c r="I260" s="1" t="s">
        <v>72</v>
      </c>
      <c r="J260" s="1" t="s">
        <v>68</v>
      </c>
      <c r="K260" s="1" t="s">
        <v>68</v>
      </c>
      <c r="L260" s="1" t="s">
        <v>68</v>
      </c>
      <c r="M260" s="1" t="s">
        <v>68</v>
      </c>
      <c r="N260" s="1" t="s">
        <v>5586</v>
      </c>
      <c r="O260" s="1" t="s">
        <v>5587</v>
      </c>
      <c r="P260" s="1" t="s">
        <v>5588</v>
      </c>
      <c r="Q260" s="1" t="s">
        <v>5589</v>
      </c>
      <c r="R260" s="1" t="s">
        <v>5590</v>
      </c>
      <c r="S260" s="1" t="s">
        <v>5591</v>
      </c>
      <c r="T260" s="1" t="s">
        <v>5592</v>
      </c>
      <c r="U260" s="1" t="s">
        <v>5593</v>
      </c>
      <c r="V260" s="1" t="s">
        <v>5594</v>
      </c>
      <c r="W260" s="1" t="s">
        <v>5595</v>
      </c>
      <c r="X260" s="1" t="s">
        <v>5596</v>
      </c>
      <c r="Y260" s="1" t="s">
        <v>5597</v>
      </c>
      <c r="Z260" s="1">
        <v>73.0</v>
      </c>
      <c r="AA260" s="1">
        <v>0.0</v>
      </c>
      <c r="AB260" s="1">
        <v>0.0</v>
      </c>
      <c r="AC260" s="1">
        <v>7.0</v>
      </c>
      <c r="AD260" s="1">
        <v>7.0</v>
      </c>
      <c r="AE260" s="1" t="s">
        <v>247</v>
      </c>
      <c r="AF260" s="1" t="s">
        <v>248</v>
      </c>
      <c r="AG260" s="1" t="s">
        <v>249</v>
      </c>
      <c r="AH260" s="1" t="s">
        <v>68</v>
      </c>
      <c r="AI260" s="1" t="s">
        <v>5598</v>
      </c>
      <c r="AJ260" s="1" t="s">
        <v>68</v>
      </c>
      <c r="AK260" s="1" t="s">
        <v>5599</v>
      </c>
      <c r="AL260" s="1" t="s">
        <v>5599</v>
      </c>
      <c r="AM260" s="1" t="s">
        <v>5600</v>
      </c>
      <c r="AN260" s="1">
        <v>2025.0</v>
      </c>
      <c r="AO260" s="1">
        <v>15.0</v>
      </c>
      <c r="AP260" s="1">
        <v>17.0</v>
      </c>
      <c r="AQ260" s="1" t="s">
        <v>68</v>
      </c>
      <c r="AR260" s="1" t="s">
        <v>68</v>
      </c>
      <c r="AS260" s="1" t="s">
        <v>68</v>
      </c>
      <c r="AT260" s="1" t="s">
        <v>68</v>
      </c>
      <c r="AU260" s="1" t="s">
        <v>68</v>
      </c>
      <c r="AV260" s="1" t="s">
        <v>68</v>
      </c>
      <c r="AW260" s="1">
        <v>3131.0</v>
      </c>
      <c r="AX260" s="1" t="s">
        <v>5601</v>
      </c>
      <c r="AY260" s="3" t="str">
        <f>HYPERLINK("http://dx.doi.org/10.3390/buildings15173131","http://dx.doi.org/10.3390/buildings15173131")</f>
        <v>http://dx.doi.org/10.3390/buildings15173131</v>
      </c>
      <c r="AZ260" s="1" t="s">
        <v>68</v>
      </c>
      <c r="BA260" s="1" t="s">
        <v>68</v>
      </c>
      <c r="BB260" s="1">
        <v>14.0</v>
      </c>
      <c r="BC260" s="1" t="s">
        <v>5602</v>
      </c>
      <c r="BD260" s="1" t="s">
        <v>92</v>
      </c>
      <c r="BE260" s="1" t="s">
        <v>5603</v>
      </c>
      <c r="BF260" s="1" t="s">
        <v>5604</v>
      </c>
      <c r="BG260" s="1" t="s">
        <v>68</v>
      </c>
      <c r="BH260" s="1" t="s">
        <v>94</v>
      </c>
      <c r="BI260" s="1" t="s">
        <v>68</v>
      </c>
      <c r="BJ260" s="1" t="s">
        <v>68</v>
      </c>
      <c r="BK260" s="1" t="s">
        <v>95</v>
      </c>
      <c r="BL260" s="1" t="s">
        <v>5605</v>
      </c>
      <c r="BM260" s="1" t="str">
        <f>HYPERLINK("https%3A%2F%2Fwww.webofscience.com%2Fwos%2Fwoscc%2Ffull-record%2FWOS:001569868900001","View Full Record in Web of Science")</f>
        <v>View Full Record in Web of Science</v>
      </c>
    </row>
    <row r="261" ht="12.75" customHeight="1">
      <c r="A261" s="1" t="s">
        <v>65</v>
      </c>
      <c r="B261" s="1" t="s">
        <v>5606</v>
      </c>
      <c r="C261" s="1" t="s">
        <v>5607</v>
      </c>
      <c r="D261" s="1" t="s">
        <v>68</v>
      </c>
      <c r="E261" s="1" t="s">
        <v>5608</v>
      </c>
      <c r="F261" s="1" t="s">
        <v>5609</v>
      </c>
      <c r="G261" s="1" t="s">
        <v>68</v>
      </c>
      <c r="H261" s="1" t="s">
        <v>71</v>
      </c>
      <c r="I261" s="1" t="s">
        <v>72</v>
      </c>
      <c r="J261" s="1" t="s">
        <v>68</v>
      </c>
      <c r="K261" s="1" t="s">
        <v>68</v>
      </c>
      <c r="L261" s="1" t="s">
        <v>68</v>
      </c>
      <c r="M261" s="1" t="s">
        <v>68</v>
      </c>
      <c r="N261" s="1" t="s">
        <v>5610</v>
      </c>
      <c r="O261" s="1" t="s">
        <v>5611</v>
      </c>
      <c r="P261" s="1" t="s">
        <v>5612</v>
      </c>
      <c r="Q261" s="1" t="s">
        <v>5613</v>
      </c>
      <c r="R261" s="1" t="s">
        <v>5614</v>
      </c>
      <c r="S261" s="1" t="s">
        <v>5615</v>
      </c>
      <c r="T261" s="1" t="s">
        <v>5616</v>
      </c>
      <c r="U261" s="1" t="s">
        <v>5617</v>
      </c>
      <c r="V261" s="1" t="s">
        <v>5618</v>
      </c>
      <c r="W261" s="1" t="s">
        <v>5619</v>
      </c>
      <c r="X261" s="1" t="s">
        <v>5620</v>
      </c>
      <c r="Y261" s="1" t="s">
        <v>5621</v>
      </c>
      <c r="Z261" s="1">
        <v>85.0</v>
      </c>
      <c r="AA261" s="1">
        <v>2.0</v>
      </c>
      <c r="AB261" s="1">
        <v>2.0</v>
      </c>
      <c r="AC261" s="1">
        <v>0.0</v>
      </c>
      <c r="AD261" s="1">
        <v>0.0</v>
      </c>
      <c r="AE261" s="1" t="s">
        <v>422</v>
      </c>
      <c r="AF261" s="1" t="s">
        <v>423</v>
      </c>
      <c r="AG261" s="1" t="s">
        <v>424</v>
      </c>
      <c r="AH261" s="1" t="s">
        <v>5622</v>
      </c>
      <c r="AI261" s="1" t="s">
        <v>5623</v>
      </c>
      <c r="AJ261" s="1" t="s">
        <v>68</v>
      </c>
      <c r="AK261" s="1" t="s">
        <v>5624</v>
      </c>
      <c r="AL261" s="1" t="s">
        <v>5625</v>
      </c>
      <c r="AM261" s="1" t="s">
        <v>1264</v>
      </c>
      <c r="AN261" s="1">
        <v>2025.0</v>
      </c>
      <c r="AO261" s="1">
        <v>74.0</v>
      </c>
      <c r="AP261" s="1">
        <v>4.0</v>
      </c>
      <c r="AQ261" s="1" t="s">
        <v>68</v>
      </c>
      <c r="AR261" s="1" t="s">
        <v>68</v>
      </c>
      <c r="AS261" s="1" t="s">
        <v>68</v>
      </c>
      <c r="AT261" s="1" t="s">
        <v>68</v>
      </c>
      <c r="AU261" s="1">
        <v>905.0</v>
      </c>
      <c r="AV261" s="1">
        <v>924.0</v>
      </c>
      <c r="AW261" s="1" t="s">
        <v>68</v>
      </c>
      <c r="AX261" s="1" t="s">
        <v>5626</v>
      </c>
      <c r="AY261" s="3" t="str">
        <f>HYPERLINK("http://dx.doi.org/10.1093/jrsssc/qlaf007","http://dx.doi.org/10.1093/jrsssc/qlaf007")</f>
        <v>http://dx.doi.org/10.1093/jrsssc/qlaf007</v>
      </c>
      <c r="AZ261" s="1" t="s">
        <v>68</v>
      </c>
      <c r="BA261" s="1" t="s">
        <v>5627</v>
      </c>
      <c r="BB261" s="1">
        <v>20.0</v>
      </c>
      <c r="BC261" s="1" t="s">
        <v>5628</v>
      </c>
      <c r="BD261" s="1" t="s">
        <v>92</v>
      </c>
      <c r="BE261" s="1" t="s">
        <v>5629</v>
      </c>
      <c r="BF261" s="1" t="s">
        <v>5630</v>
      </c>
      <c r="BG261" s="1" t="s">
        <v>68</v>
      </c>
      <c r="BH261" s="1" t="s">
        <v>512</v>
      </c>
      <c r="BI261" s="1" t="s">
        <v>68</v>
      </c>
      <c r="BJ261" s="1" t="s">
        <v>68</v>
      </c>
      <c r="BK261" s="1" t="s">
        <v>95</v>
      </c>
      <c r="BL261" s="1" t="s">
        <v>5631</v>
      </c>
      <c r="BM261" s="1" t="str">
        <f>HYPERLINK("https%3A%2F%2Fwww.webofscience.com%2Fwos%2Fwoscc%2Ffull-record%2FWOS:001429419000001","View Full Record in Web of Science")</f>
        <v>View Full Record in Web of Science</v>
      </c>
    </row>
    <row r="262" ht="12.75" customHeight="1">
      <c r="A262" s="1" t="s">
        <v>65</v>
      </c>
      <c r="B262" s="1" t="s">
        <v>5632</v>
      </c>
      <c r="C262" s="1" t="s">
        <v>5633</v>
      </c>
      <c r="D262" s="1" t="s">
        <v>68</v>
      </c>
      <c r="E262" s="1" t="s">
        <v>5634</v>
      </c>
      <c r="F262" s="1" t="s">
        <v>1106</v>
      </c>
      <c r="G262" s="1" t="s">
        <v>68</v>
      </c>
      <c r="H262" s="1" t="s">
        <v>71</v>
      </c>
      <c r="I262" s="1" t="s">
        <v>72</v>
      </c>
      <c r="J262" s="1" t="s">
        <v>68</v>
      </c>
      <c r="K262" s="1" t="s">
        <v>68</v>
      </c>
      <c r="L262" s="1" t="s">
        <v>68</v>
      </c>
      <c r="M262" s="1" t="s">
        <v>68</v>
      </c>
      <c r="N262" s="1" t="s">
        <v>5635</v>
      </c>
      <c r="O262" s="1" t="s">
        <v>5636</v>
      </c>
      <c r="P262" s="1" t="s">
        <v>5637</v>
      </c>
      <c r="Q262" s="1" t="s">
        <v>5638</v>
      </c>
      <c r="R262" s="1" t="s">
        <v>5639</v>
      </c>
      <c r="S262" s="1" t="s">
        <v>5640</v>
      </c>
      <c r="T262" s="1" t="s">
        <v>5641</v>
      </c>
      <c r="U262" s="1" t="s">
        <v>5642</v>
      </c>
      <c r="V262" s="1" t="s">
        <v>5643</v>
      </c>
      <c r="W262" s="1" t="s">
        <v>68</v>
      </c>
      <c r="X262" s="1" t="s">
        <v>68</v>
      </c>
      <c r="Y262" s="1" t="s">
        <v>68</v>
      </c>
      <c r="Z262" s="1">
        <v>111.0</v>
      </c>
      <c r="AA262" s="1">
        <v>54.0</v>
      </c>
      <c r="AB262" s="1">
        <v>58.0</v>
      </c>
      <c r="AC262" s="1">
        <v>8.0</v>
      </c>
      <c r="AD262" s="1">
        <v>75.0</v>
      </c>
      <c r="AE262" s="1" t="s">
        <v>83</v>
      </c>
      <c r="AF262" s="1" t="s">
        <v>84</v>
      </c>
      <c r="AG262" s="1" t="s">
        <v>85</v>
      </c>
      <c r="AH262" s="1" t="s">
        <v>68</v>
      </c>
      <c r="AI262" s="1" t="s">
        <v>1119</v>
      </c>
      <c r="AJ262" s="1" t="s">
        <v>68</v>
      </c>
      <c r="AK262" s="1" t="s">
        <v>1120</v>
      </c>
      <c r="AL262" s="1" t="s">
        <v>1121</v>
      </c>
      <c r="AM262" s="1" t="s">
        <v>3119</v>
      </c>
      <c r="AN262" s="1">
        <v>2022.0</v>
      </c>
      <c r="AO262" s="1">
        <v>9.0</v>
      </c>
      <c r="AP262" s="1" t="s">
        <v>68</v>
      </c>
      <c r="AQ262" s="1" t="s">
        <v>68</v>
      </c>
      <c r="AR262" s="1" t="s">
        <v>68</v>
      </c>
      <c r="AS262" s="1" t="s">
        <v>68</v>
      </c>
      <c r="AT262" s="1" t="s">
        <v>68</v>
      </c>
      <c r="AU262" s="1" t="s">
        <v>68</v>
      </c>
      <c r="AV262" s="1" t="s">
        <v>68</v>
      </c>
      <c r="AW262" s="1">
        <v>824100.0</v>
      </c>
      <c r="AX262" s="1" t="s">
        <v>5644</v>
      </c>
      <c r="AY262" s="3" t="str">
        <f>HYPERLINK("http://dx.doi.org/10.3389/fmars.2022.824100","http://dx.doi.org/10.3389/fmars.2022.824100")</f>
        <v>http://dx.doi.org/10.3389/fmars.2022.824100</v>
      </c>
      <c r="AZ262" s="1" t="s">
        <v>68</v>
      </c>
      <c r="BA262" s="1" t="s">
        <v>68</v>
      </c>
      <c r="BB262" s="1">
        <v>17.0</v>
      </c>
      <c r="BC262" s="1" t="s">
        <v>1124</v>
      </c>
      <c r="BD262" s="1" t="s">
        <v>92</v>
      </c>
      <c r="BE262" s="1" t="s">
        <v>1125</v>
      </c>
      <c r="BF262" s="1" t="s">
        <v>5645</v>
      </c>
      <c r="BG262" s="1" t="s">
        <v>68</v>
      </c>
      <c r="BH262" s="1" t="s">
        <v>94</v>
      </c>
      <c r="BI262" s="1" t="s">
        <v>68</v>
      </c>
      <c r="BJ262" s="1" t="s">
        <v>68</v>
      </c>
      <c r="BK262" s="1" t="s">
        <v>95</v>
      </c>
      <c r="BL262" s="1" t="s">
        <v>5646</v>
      </c>
      <c r="BM262" s="1" t="str">
        <f>HYPERLINK("https%3A%2F%2Fwww.webofscience.com%2Fwos%2Fwoscc%2Ffull-record%2FWOS:000788561000001","View Full Record in Web of Science")</f>
        <v>View Full Record in Web of Science</v>
      </c>
    </row>
    <row r="263" ht="12.75" customHeight="1">
      <c r="A263" s="1" t="s">
        <v>65</v>
      </c>
      <c r="B263" s="1" t="s">
        <v>5647</v>
      </c>
      <c r="C263" s="1" t="s">
        <v>5648</v>
      </c>
      <c r="D263" s="1" t="s">
        <v>68</v>
      </c>
      <c r="E263" s="1" t="s">
        <v>5649</v>
      </c>
      <c r="F263" s="1" t="s">
        <v>467</v>
      </c>
      <c r="G263" s="1" t="s">
        <v>68</v>
      </c>
      <c r="H263" s="1" t="s">
        <v>71</v>
      </c>
      <c r="I263" s="1" t="s">
        <v>72</v>
      </c>
      <c r="J263" s="1" t="s">
        <v>68</v>
      </c>
      <c r="K263" s="1" t="s">
        <v>68</v>
      </c>
      <c r="L263" s="1" t="s">
        <v>68</v>
      </c>
      <c r="M263" s="1" t="s">
        <v>68</v>
      </c>
      <c r="N263" s="1" t="s">
        <v>5650</v>
      </c>
      <c r="O263" s="1" t="s">
        <v>5651</v>
      </c>
      <c r="P263" s="1" t="s">
        <v>5652</v>
      </c>
      <c r="Q263" s="1" t="s">
        <v>5653</v>
      </c>
      <c r="R263" s="1" t="s">
        <v>5654</v>
      </c>
      <c r="S263" s="1" t="s">
        <v>5655</v>
      </c>
      <c r="T263" s="1" t="s">
        <v>5656</v>
      </c>
      <c r="U263" s="1" t="s">
        <v>68</v>
      </c>
      <c r="V263" s="1" t="s">
        <v>5657</v>
      </c>
      <c r="W263" s="1" t="s">
        <v>5658</v>
      </c>
      <c r="X263" s="1" t="s">
        <v>5659</v>
      </c>
      <c r="Y263" s="1" t="s">
        <v>5660</v>
      </c>
      <c r="Z263" s="1">
        <v>53.0</v>
      </c>
      <c r="AA263" s="1">
        <v>5.0</v>
      </c>
      <c r="AB263" s="1">
        <v>5.0</v>
      </c>
      <c r="AC263" s="1">
        <v>1.0</v>
      </c>
      <c r="AD263" s="1">
        <v>6.0</v>
      </c>
      <c r="AE263" s="1" t="s">
        <v>83</v>
      </c>
      <c r="AF263" s="1" t="s">
        <v>84</v>
      </c>
      <c r="AG263" s="1" t="s">
        <v>85</v>
      </c>
      <c r="AH263" s="1" t="s">
        <v>68</v>
      </c>
      <c r="AI263" s="1" t="s">
        <v>479</v>
      </c>
      <c r="AJ263" s="1" t="s">
        <v>68</v>
      </c>
      <c r="AK263" s="1" t="s">
        <v>480</v>
      </c>
      <c r="AL263" s="1" t="s">
        <v>481</v>
      </c>
      <c r="AM263" s="1" t="s">
        <v>5661</v>
      </c>
      <c r="AN263" s="1">
        <v>2023.0</v>
      </c>
      <c r="AO263" s="1">
        <v>11.0</v>
      </c>
      <c r="AP263" s="1" t="s">
        <v>68</v>
      </c>
      <c r="AQ263" s="1" t="s">
        <v>68</v>
      </c>
      <c r="AR263" s="1" t="s">
        <v>68</v>
      </c>
      <c r="AS263" s="1" t="s">
        <v>68</v>
      </c>
      <c r="AT263" s="1" t="s">
        <v>68</v>
      </c>
      <c r="AU263" s="1" t="s">
        <v>68</v>
      </c>
      <c r="AV263" s="1" t="s">
        <v>68</v>
      </c>
      <c r="AW263" s="1">
        <v>1101458.0</v>
      </c>
      <c r="AX263" s="1" t="s">
        <v>5662</v>
      </c>
      <c r="AY263" s="3" t="str">
        <f>HYPERLINK("http://dx.doi.org/10.3389/fenvs.2023.1101458","http://dx.doi.org/10.3389/fenvs.2023.1101458")</f>
        <v>http://dx.doi.org/10.3389/fenvs.2023.1101458</v>
      </c>
      <c r="AZ263" s="1" t="s">
        <v>68</v>
      </c>
      <c r="BA263" s="1" t="s">
        <v>68</v>
      </c>
      <c r="BB263" s="1">
        <v>14.0</v>
      </c>
      <c r="BC263" s="1" t="s">
        <v>484</v>
      </c>
      <c r="BD263" s="1" t="s">
        <v>92</v>
      </c>
      <c r="BE263" s="1" t="s">
        <v>333</v>
      </c>
      <c r="BF263" s="1" t="s">
        <v>5663</v>
      </c>
      <c r="BG263" s="1" t="s">
        <v>68</v>
      </c>
      <c r="BH263" s="1" t="s">
        <v>94</v>
      </c>
      <c r="BI263" s="1" t="s">
        <v>68</v>
      </c>
      <c r="BJ263" s="1" t="s">
        <v>68</v>
      </c>
      <c r="BK263" s="1" t="s">
        <v>95</v>
      </c>
      <c r="BL263" s="1" t="s">
        <v>5664</v>
      </c>
      <c r="BM263" s="1" t="str">
        <f>HYPERLINK("https%3A%2F%2Fwww.webofscience.com%2Fwos%2Fwoscc%2Ffull-record%2FWOS:000974862900001","View Full Record in Web of Science")</f>
        <v>View Full Record in Web of Science</v>
      </c>
    </row>
    <row r="264" ht="12.75" customHeight="1">
      <c r="A264" s="1" t="s">
        <v>65</v>
      </c>
      <c r="B264" s="1" t="s">
        <v>5665</v>
      </c>
      <c r="C264" s="1" t="s">
        <v>5666</v>
      </c>
      <c r="D264" s="1" t="s">
        <v>68</v>
      </c>
      <c r="E264" s="1" t="s">
        <v>5667</v>
      </c>
      <c r="F264" s="1" t="s">
        <v>1106</v>
      </c>
      <c r="G264" s="1" t="s">
        <v>68</v>
      </c>
      <c r="H264" s="1" t="s">
        <v>71</v>
      </c>
      <c r="I264" s="1" t="s">
        <v>72</v>
      </c>
      <c r="J264" s="1" t="s">
        <v>68</v>
      </c>
      <c r="K264" s="1" t="s">
        <v>68</v>
      </c>
      <c r="L264" s="1" t="s">
        <v>68</v>
      </c>
      <c r="M264" s="1" t="s">
        <v>68</v>
      </c>
      <c r="N264" s="1" t="s">
        <v>5668</v>
      </c>
      <c r="O264" s="1" t="s">
        <v>5669</v>
      </c>
      <c r="P264" s="1" t="s">
        <v>5670</v>
      </c>
      <c r="Q264" s="1" t="s">
        <v>5671</v>
      </c>
      <c r="R264" s="1" t="s">
        <v>5672</v>
      </c>
      <c r="S264" s="1" t="s">
        <v>5673</v>
      </c>
      <c r="T264" s="1" t="s">
        <v>5674</v>
      </c>
      <c r="U264" s="1" t="s">
        <v>68</v>
      </c>
      <c r="V264" s="1" t="s">
        <v>5675</v>
      </c>
      <c r="W264" s="1" t="s">
        <v>5676</v>
      </c>
      <c r="X264" s="1" t="s">
        <v>5676</v>
      </c>
      <c r="Y264" s="1" t="s">
        <v>5677</v>
      </c>
      <c r="Z264" s="1">
        <v>79.0</v>
      </c>
      <c r="AA264" s="1">
        <v>4.0</v>
      </c>
      <c r="AB264" s="1">
        <v>5.0</v>
      </c>
      <c r="AC264" s="1">
        <v>1.0</v>
      </c>
      <c r="AD264" s="1">
        <v>18.0</v>
      </c>
      <c r="AE264" s="1" t="s">
        <v>83</v>
      </c>
      <c r="AF264" s="1" t="s">
        <v>84</v>
      </c>
      <c r="AG264" s="1" t="s">
        <v>85</v>
      </c>
      <c r="AH264" s="1" t="s">
        <v>68</v>
      </c>
      <c r="AI264" s="1" t="s">
        <v>1119</v>
      </c>
      <c r="AJ264" s="1" t="s">
        <v>68</v>
      </c>
      <c r="AK264" s="1" t="s">
        <v>1120</v>
      </c>
      <c r="AL264" s="1" t="s">
        <v>1121</v>
      </c>
      <c r="AM264" s="1" t="s">
        <v>5678</v>
      </c>
      <c r="AN264" s="1">
        <v>2022.0</v>
      </c>
      <c r="AO264" s="1">
        <v>9.0</v>
      </c>
      <c r="AP264" s="1" t="s">
        <v>68</v>
      </c>
      <c r="AQ264" s="1" t="s">
        <v>68</v>
      </c>
      <c r="AR264" s="1" t="s">
        <v>68</v>
      </c>
      <c r="AS264" s="1" t="s">
        <v>68</v>
      </c>
      <c r="AT264" s="1" t="s">
        <v>68</v>
      </c>
      <c r="AU264" s="1" t="s">
        <v>68</v>
      </c>
      <c r="AV264" s="1" t="s">
        <v>68</v>
      </c>
      <c r="AW264" s="1">
        <v>961095.0</v>
      </c>
      <c r="AX264" s="1" t="s">
        <v>5679</v>
      </c>
      <c r="AY264" s="3" t="str">
        <f>HYPERLINK("http://dx.doi.org/10.3389/fmars.2022.961095","http://dx.doi.org/10.3389/fmars.2022.961095")</f>
        <v>http://dx.doi.org/10.3389/fmars.2022.961095</v>
      </c>
      <c r="AZ264" s="1" t="s">
        <v>68</v>
      </c>
      <c r="BA264" s="1" t="s">
        <v>68</v>
      </c>
      <c r="BB264" s="1">
        <v>14.0</v>
      </c>
      <c r="BC264" s="1" t="s">
        <v>1124</v>
      </c>
      <c r="BD264" s="1" t="s">
        <v>92</v>
      </c>
      <c r="BE264" s="1" t="s">
        <v>1125</v>
      </c>
      <c r="BF264" s="1" t="s">
        <v>5680</v>
      </c>
      <c r="BG264" s="1" t="s">
        <v>68</v>
      </c>
      <c r="BH264" s="1" t="s">
        <v>94</v>
      </c>
      <c r="BI264" s="1" t="s">
        <v>68</v>
      </c>
      <c r="BJ264" s="1" t="s">
        <v>68</v>
      </c>
      <c r="BK264" s="1" t="s">
        <v>95</v>
      </c>
      <c r="BL264" s="1" t="s">
        <v>5681</v>
      </c>
      <c r="BM264" s="1" t="str">
        <f>HYPERLINK("https%3A%2F%2Fwww.webofscience.com%2Fwos%2Fwoscc%2Ffull-record%2FWOS:000886536000001","View Full Record in Web of Science")</f>
        <v>View Full Record in Web of Science</v>
      </c>
    </row>
    <row r="265" ht="12.75" customHeight="1">
      <c r="A265" s="1" t="s">
        <v>65</v>
      </c>
      <c r="B265" s="1" t="s">
        <v>5682</v>
      </c>
      <c r="C265" s="1" t="s">
        <v>5683</v>
      </c>
      <c r="D265" s="1" t="s">
        <v>68</v>
      </c>
      <c r="E265" s="1" t="s">
        <v>5684</v>
      </c>
      <c r="F265" s="1" t="s">
        <v>1468</v>
      </c>
      <c r="G265" s="1" t="s">
        <v>68</v>
      </c>
      <c r="H265" s="1" t="s">
        <v>71</v>
      </c>
      <c r="I265" s="1" t="s">
        <v>72</v>
      </c>
      <c r="J265" s="1" t="s">
        <v>68</v>
      </c>
      <c r="K265" s="1" t="s">
        <v>68</v>
      </c>
      <c r="L265" s="1" t="s">
        <v>68</v>
      </c>
      <c r="M265" s="1" t="s">
        <v>68</v>
      </c>
      <c r="N265" s="1" t="s">
        <v>5685</v>
      </c>
      <c r="O265" s="1" t="s">
        <v>5686</v>
      </c>
      <c r="P265" s="1" t="s">
        <v>5687</v>
      </c>
      <c r="Q265" s="1" t="s">
        <v>5688</v>
      </c>
      <c r="R265" s="1" t="s">
        <v>5689</v>
      </c>
      <c r="S265" s="1" t="s">
        <v>5690</v>
      </c>
      <c r="T265" s="1" t="s">
        <v>5691</v>
      </c>
      <c r="U265" s="1" t="s">
        <v>5692</v>
      </c>
      <c r="V265" s="1" t="s">
        <v>5693</v>
      </c>
      <c r="W265" s="1" t="s">
        <v>5694</v>
      </c>
      <c r="X265" s="1" t="s">
        <v>5695</v>
      </c>
      <c r="Y265" s="1" t="s">
        <v>5696</v>
      </c>
      <c r="Z265" s="1">
        <v>50.0</v>
      </c>
      <c r="AA265" s="1">
        <v>21.0</v>
      </c>
      <c r="AB265" s="1">
        <v>22.0</v>
      </c>
      <c r="AC265" s="1">
        <v>2.0</v>
      </c>
      <c r="AD265" s="1">
        <v>12.0</v>
      </c>
      <c r="AE265" s="1" t="s">
        <v>1481</v>
      </c>
      <c r="AF265" s="1" t="s">
        <v>663</v>
      </c>
      <c r="AG265" s="1" t="s">
        <v>1482</v>
      </c>
      <c r="AH265" s="1" t="s">
        <v>1483</v>
      </c>
      <c r="AI265" s="1" t="s">
        <v>68</v>
      </c>
      <c r="AJ265" s="1" t="s">
        <v>68</v>
      </c>
      <c r="AK265" s="1" t="s">
        <v>1468</v>
      </c>
      <c r="AL265" s="1" t="s">
        <v>1484</v>
      </c>
      <c r="AM265" s="1" t="s">
        <v>5697</v>
      </c>
      <c r="AN265" s="1">
        <v>2020.0</v>
      </c>
      <c r="AO265" s="1">
        <v>8.0</v>
      </c>
      <c r="AP265" s="1" t="s">
        <v>68</v>
      </c>
      <c r="AQ265" s="1" t="s">
        <v>68</v>
      </c>
      <c r="AR265" s="1" t="s">
        <v>68</v>
      </c>
      <c r="AS265" s="1" t="s">
        <v>68</v>
      </c>
      <c r="AT265" s="1" t="s">
        <v>68</v>
      </c>
      <c r="AU265" s="1" t="s">
        <v>68</v>
      </c>
      <c r="AV265" s="1" t="s">
        <v>68</v>
      </c>
      <c r="AW265" s="1" t="s">
        <v>5698</v>
      </c>
      <c r="AX265" s="1" t="s">
        <v>5699</v>
      </c>
      <c r="AY265" s="3" t="str">
        <f>HYPERLINK("http://dx.doi.org/10.7717/peerj.8850","http://dx.doi.org/10.7717/peerj.8850")</f>
        <v>http://dx.doi.org/10.7717/peerj.8850</v>
      </c>
      <c r="AZ265" s="1" t="s">
        <v>68</v>
      </c>
      <c r="BA265" s="1" t="s">
        <v>68</v>
      </c>
      <c r="BB265" s="1">
        <v>19.0</v>
      </c>
      <c r="BC265" s="1" t="s">
        <v>742</v>
      </c>
      <c r="BD265" s="1" t="s">
        <v>92</v>
      </c>
      <c r="BE265" s="1" t="s">
        <v>743</v>
      </c>
      <c r="BF265" s="1" t="s">
        <v>5700</v>
      </c>
      <c r="BG265" s="1">
        <v>3.2296601E7</v>
      </c>
      <c r="BH265" s="1" t="s">
        <v>94</v>
      </c>
      <c r="BI265" s="1" t="s">
        <v>68</v>
      </c>
      <c r="BJ265" s="1" t="s">
        <v>68</v>
      </c>
      <c r="BK265" s="1" t="s">
        <v>95</v>
      </c>
      <c r="BL265" s="1" t="s">
        <v>5701</v>
      </c>
      <c r="BM265" s="1" t="str">
        <f>HYPERLINK("https%3A%2F%2Fwww.webofscience.com%2Fwos%2Fwoscc%2Ffull-record%2FWOS:000524530100004","View Full Record in Web of Science")</f>
        <v>View Full Record in Web of Science</v>
      </c>
    </row>
    <row r="266" ht="12.75" customHeight="1">
      <c r="A266" s="1" t="s">
        <v>65</v>
      </c>
      <c r="B266" s="1" t="s">
        <v>5702</v>
      </c>
      <c r="C266" s="1" t="s">
        <v>5703</v>
      </c>
      <c r="D266" s="1" t="s">
        <v>68</v>
      </c>
      <c r="E266" s="1" t="s">
        <v>5704</v>
      </c>
      <c r="F266" s="1" t="s">
        <v>3926</v>
      </c>
      <c r="G266" s="1" t="s">
        <v>68</v>
      </c>
      <c r="H266" s="1" t="s">
        <v>71</v>
      </c>
      <c r="I266" s="1" t="s">
        <v>72</v>
      </c>
      <c r="J266" s="1" t="s">
        <v>68</v>
      </c>
      <c r="K266" s="1" t="s">
        <v>68</v>
      </c>
      <c r="L266" s="1" t="s">
        <v>68</v>
      </c>
      <c r="M266" s="1" t="s">
        <v>68</v>
      </c>
      <c r="N266" s="1" t="s">
        <v>5705</v>
      </c>
      <c r="O266" s="1" t="s">
        <v>68</v>
      </c>
      <c r="P266" s="1" t="s">
        <v>5706</v>
      </c>
      <c r="Q266" s="1" t="s">
        <v>5707</v>
      </c>
      <c r="R266" s="1" t="s">
        <v>5708</v>
      </c>
      <c r="S266" s="1" t="s">
        <v>5709</v>
      </c>
      <c r="T266" s="1" t="s">
        <v>5710</v>
      </c>
      <c r="U266" s="1" t="s">
        <v>68</v>
      </c>
      <c r="V266" s="1" t="s">
        <v>68</v>
      </c>
      <c r="W266" s="1" t="s">
        <v>5711</v>
      </c>
      <c r="X266" s="1" t="s">
        <v>3184</v>
      </c>
      <c r="Y266" s="1" t="s">
        <v>5712</v>
      </c>
      <c r="Z266" s="1">
        <v>8.0</v>
      </c>
      <c r="AA266" s="1">
        <v>0.0</v>
      </c>
      <c r="AB266" s="1">
        <v>0.0</v>
      </c>
      <c r="AC266" s="1">
        <v>1.0</v>
      </c>
      <c r="AD266" s="1">
        <v>3.0</v>
      </c>
      <c r="AE266" s="1" t="s">
        <v>1596</v>
      </c>
      <c r="AF266" s="1" t="s">
        <v>1182</v>
      </c>
      <c r="AG266" s="1" t="s">
        <v>1597</v>
      </c>
      <c r="AH266" s="1" t="s">
        <v>68</v>
      </c>
      <c r="AI266" s="1" t="s">
        <v>3939</v>
      </c>
      <c r="AJ266" s="1" t="s">
        <v>68</v>
      </c>
      <c r="AK266" s="1" t="s">
        <v>3926</v>
      </c>
      <c r="AL266" s="1" t="s">
        <v>3940</v>
      </c>
      <c r="AM266" s="1" t="s">
        <v>120</v>
      </c>
      <c r="AN266" s="1">
        <v>2024.0</v>
      </c>
      <c r="AO266" s="1">
        <v>20.0</v>
      </c>
      <c r="AP266" s="1" t="s">
        <v>68</v>
      </c>
      <c r="AQ266" s="1" t="s">
        <v>68</v>
      </c>
      <c r="AR266" s="1" t="s">
        <v>68</v>
      </c>
      <c r="AS266" s="1" t="s">
        <v>68</v>
      </c>
      <c r="AT266" s="1" t="s">
        <v>68</v>
      </c>
      <c r="AU266" s="1" t="s">
        <v>68</v>
      </c>
      <c r="AV266" s="1" t="s">
        <v>68</v>
      </c>
      <c r="AW266" s="1" t="s">
        <v>5713</v>
      </c>
      <c r="AX266" s="1" t="s">
        <v>5714</v>
      </c>
      <c r="AY266" s="3" t="str">
        <f>HYPERLINK("http://dx.doi.org/10.1016/j.ohx.2024.e00580","http://dx.doi.org/10.1016/j.ohx.2024.e00580")</f>
        <v>http://dx.doi.org/10.1016/j.ohx.2024.e00580</v>
      </c>
      <c r="AZ266" s="1" t="s">
        <v>68</v>
      </c>
      <c r="BA266" s="1" t="s">
        <v>68</v>
      </c>
      <c r="BB266" s="1">
        <v>12.0</v>
      </c>
      <c r="BC266" s="1" t="s">
        <v>3943</v>
      </c>
      <c r="BD266" s="1" t="s">
        <v>197</v>
      </c>
      <c r="BE266" s="1" t="s">
        <v>3944</v>
      </c>
      <c r="BF266" s="1" t="s">
        <v>5715</v>
      </c>
      <c r="BG266" s="1">
        <v>3.9314535E7</v>
      </c>
      <c r="BH266" s="1" t="s">
        <v>94</v>
      </c>
      <c r="BI266" s="1" t="s">
        <v>68</v>
      </c>
      <c r="BJ266" s="1" t="s">
        <v>68</v>
      </c>
      <c r="BK266" s="1" t="s">
        <v>95</v>
      </c>
      <c r="BL266" s="1" t="s">
        <v>5716</v>
      </c>
      <c r="BM266" s="1" t="str">
        <f>HYPERLINK("https%3A%2F%2Fwww.webofscience.com%2Fwos%2Fwoscc%2Ffull-record%2FWOS:001316381200001","View Full Record in Web of Science")</f>
        <v>View Full Record in Web of Science</v>
      </c>
    </row>
    <row r="267" ht="12.75" customHeight="1">
      <c r="A267" s="1" t="s">
        <v>65</v>
      </c>
      <c r="B267" s="1" t="s">
        <v>5717</v>
      </c>
      <c r="C267" s="1" t="s">
        <v>5718</v>
      </c>
      <c r="D267" s="1" t="s">
        <v>68</v>
      </c>
      <c r="E267" s="1" t="s">
        <v>5719</v>
      </c>
      <c r="F267" s="1" t="s">
        <v>5720</v>
      </c>
      <c r="G267" s="1" t="s">
        <v>68</v>
      </c>
      <c r="H267" s="1" t="s">
        <v>71</v>
      </c>
      <c r="I267" s="1" t="s">
        <v>72</v>
      </c>
      <c r="J267" s="1" t="s">
        <v>68</v>
      </c>
      <c r="K267" s="1" t="s">
        <v>68</v>
      </c>
      <c r="L267" s="1" t="s">
        <v>68</v>
      </c>
      <c r="M267" s="1" t="s">
        <v>68</v>
      </c>
      <c r="N267" s="1" t="s">
        <v>5721</v>
      </c>
      <c r="O267" s="1" t="s">
        <v>5722</v>
      </c>
      <c r="P267" s="1" t="s">
        <v>5723</v>
      </c>
      <c r="Q267" s="1" t="s">
        <v>5724</v>
      </c>
      <c r="R267" s="1" t="s">
        <v>68</v>
      </c>
      <c r="S267" s="1" t="s">
        <v>5725</v>
      </c>
      <c r="T267" s="1" t="s">
        <v>5726</v>
      </c>
      <c r="U267" s="1" t="s">
        <v>68</v>
      </c>
      <c r="V267" s="1" t="s">
        <v>5727</v>
      </c>
      <c r="W267" s="1" t="s">
        <v>68</v>
      </c>
      <c r="X267" s="1" t="s">
        <v>68</v>
      </c>
      <c r="Y267" s="1" t="s">
        <v>5728</v>
      </c>
      <c r="Z267" s="1">
        <v>42.0</v>
      </c>
      <c r="AA267" s="1">
        <v>1.0</v>
      </c>
      <c r="AB267" s="1">
        <v>1.0</v>
      </c>
      <c r="AC267" s="1">
        <v>4.0</v>
      </c>
      <c r="AD267" s="1">
        <v>8.0</v>
      </c>
      <c r="AE267" s="1" t="s">
        <v>2282</v>
      </c>
      <c r="AF267" s="1" t="s">
        <v>1933</v>
      </c>
      <c r="AG267" s="1" t="s">
        <v>2283</v>
      </c>
      <c r="AH267" s="1" t="s">
        <v>5729</v>
      </c>
      <c r="AI267" s="1" t="s">
        <v>5730</v>
      </c>
      <c r="AJ267" s="1" t="s">
        <v>68</v>
      </c>
      <c r="AK267" s="1" t="s">
        <v>5731</v>
      </c>
      <c r="AL267" s="1" t="s">
        <v>5732</v>
      </c>
      <c r="AM267" s="1" t="s">
        <v>5733</v>
      </c>
      <c r="AN267" s="1">
        <v>2024.0</v>
      </c>
      <c r="AO267" s="1">
        <v>148.0</v>
      </c>
      <c r="AP267" s="1">
        <v>1.0</v>
      </c>
      <c r="AQ267" s="1" t="s">
        <v>68</v>
      </c>
      <c r="AR267" s="1" t="s">
        <v>68</v>
      </c>
      <c r="AS267" s="1" t="s">
        <v>68</v>
      </c>
      <c r="AT267" s="1" t="s">
        <v>68</v>
      </c>
      <c r="AU267" s="1">
        <v>99.0</v>
      </c>
      <c r="AV267" s="1">
        <v>124.0</v>
      </c>
      <c r="AW267" s="1" t="s">
        <v>68</v>
      </c>
      <c r="AX267" s="1" t="s">
        <v>5734</v>
      </c>
      <c r="AY267" s="3" t="str">
        <f>HYPERLINK("http://dx.doi.org/10.1080/03721426.2024.2341350","http://dx.doi.org/10.1080/03721426.2024.2341350")</f>
        <v>http://dx.doi.org/10.1080/03721426.2024.2341350</v>
      </c>
      <c r="AZ267" s="1" t="s">
        <v>68</v>
      </c>
      <c r="BA267" s="1" t="s">
        <v>1051</v>
      </c>
      <c r="BB267" s="1">
        <v>26.0</v>
      </c>
      <c r="BC267" s="1" t="s">
        <v>742</v>
      </c>
      <c r="BD267" s="1" t="s">
        <v>92</v>
      </c>
      <c r="BE267" s="1" t="s">
        <v>743</v>
      </c>
      <c r="BF267" s="1" t="s">
        <v>5735</v>
      </c>
      <c r="BG267" s="1" t="s">
        <v>68</v>
      </c>
      <c r="BH267" s="1" t="s">
        <v>68</v>
      </c>
      <c r="BI267" s="1" t="s">
        <v>68</v>
      </c>
      <c r="BJ267" s="1" t="s">
        <v>68</v>
      </c>
      <c r="BK267" s="1" t="s">
        <v>95</v>
      </c>
      <c r="BL267" s="1" t="s">
        <v>5736</v>
      </c>
      <c r="BM267" s="1" t="str">
        <f>HYPERLINK("https%3A%2F%2Fwww.webofscience.com%2Fwos%2Fwoscc%2Ffull-record%2FWOS:001201348500001","View Full Record in Web of Science")</f>
        <v>View Full Record in Web of Science</v>
      </c>
    </row>
    <row r="268" ht="12.75" customHeight="1">
      <c r="A268" s="1" t="s">
        <v>65</v>
      </c>
      <c r="B268" s="1" t="s">
        <v>5737</v>
      </c>
      <c r="C268" s="1" t="s">
        <v>5738</v>
      </c>
      <c r="D268" s="1" t="s">
        <v>68</v>
      </c>
      <c r="E268" s="1" t="s">
        <v>5739</v>
      </c>
      <c r="F268" s="1" t="s">
        <v>1562</v>
      </c>
      <c r="G268" s="1" t="s">
        <v>68</v>
      </c>
      <c r="H268" s="1" t="s">
        <v>71</v>
      </c>
      <c r="I268" s="1" t="s">
        <v>72</v>
      </c>
      <c r="J268" s="1" t="s">
        <v>68</v>
      </c>
      <c r="K268" s="1" t="s">
        <v>68</v>
      </c>
      <c r="L268" s="1" t="s">
        <v>68</v>
      </c>
      <c r="M268" s="1" t="s">
        <v>68</v>
      </c>
      <c r="N268" s="1" t="s">
        <v>5740</v>
      </c>
      <c r="O268" s="1" t="s">
        <v>68</v>
      </c>
      <c r="P268" s="1" t="s">
        <v>5741</v>
      </c>
      <c r="Q268" s="1" t="s">
        <v>5742</v>
      </c>
      <c r="R268" s="1" t="s">
        <v>5743</v>
      </c>
      <c r="S268" s="1" t="s">
        <v>5744</v>
      </c>
      <c r="T268" s="1" t="s">
        <v>5745</v>
      </c>
      <c r="U268" s="1" t="s">
        <v>5746</v>
      </c>
      <c r="V268" s="1" t="s">
        <v>5747</v>
      </c>
      <c r="W268" s="1" t="s">
        <v>5748</v>
      </c>
      <c r="X268" s="1" t="s">
        <v>1229</v>
      </c>
      <c r="Y268" s="1" t="s">
        <v>68</v>
      </c>
      <c r="Z268" s="1">
        <v>34.0</v>
      </c>
      <c r="AA268" s="1">
        <v>22.0</v>
      </c>
      <c r="AB268" s="1">
        <v>27.0</v>
      </c>
      <c r="AC268" s="1">
        <v>3.0</v>
      </c>
      <c r="AD268" s="1">
        <v>10.0</v>
      </c>
      <c r="AE268" s="1" t="s">
        <v>503</v>
      </c>
      <c r="AF268" s="1" t="s">
        <v>504</v>
      </c>
      <c r="AG268" s="1" t="s">
        <v>505</v>
      </c>
      <c r="AH268" s="1" t="s">
        <v>1575</v>
      </c>
      <c r="AI268" s="1" t="s">
        <v>1576</v>
      </c>
      <c r="AJ268" s="1" t="s">
        <v>68</v>
      </c>
      <c r="AK268" s="1" t="s">
        <v>1577</v>
      </c>
      <c r="AL268" s="1" t="s">
        <v>1578</v>
      </c>
      <c r="AM268" s="1" t="s">
        <v>1264</v>
      </c>
      <c r="AN268" s="1">
        <v>2018.0</v>
      </c>
      <c r="AO268" s="1">
        <v>55.0</v>
      </c>
      <c r="AP268" s="1">
        <v>6.0</v>
      </c>
      <c r="AQ268" s="1" t="s">
        <v>68</v>
      </c>
      <c r="AR268" s="1" t="s">
        <v>68</v>
      </c>
      <c r="AS268" s="1" t="s">
        <v>68</v>
      </c>
      <c r="AT268" s="1" t="s">
        <v>68</v>
      </c>
      <c r="AU268" s="1">
        <v>2544.0</v>
      </c>
      <c r="AV268" s="1">
        <v>2551.0</v>
      </c>
      <c r="AW268" s="1" t="s">
        <v>68</v>
      </c>
      <c r="AX268" s="1" t="s">
        <v>5749</v>
      </c>
      <c r="AY268" s="3" t="str">
        <f>HYPERLINK("http://dx.doi.org/10.1111/1365-2664.13180","http://dx.doi.org/10.1111/1365-2664.13180")</f>
        <v>http://dx.doi.org/10.1111/1365-2664.13180</v>
      </c>
      <c r="AZ268" s="1" t="s">
        <v>68</v>
      </c>
      <c r="BA268" s="1" t="s">
        <v>68</v>
      </c>
      <c r="BB268" s="1">
        <v>8.0</v>
      </c>
      <c r="BC268" s="1" t="s">
        <v>1011</v>
      </c>
      <c r="BD268" s="1" t="s">
        <v>92</v>
      </c>
      <c r="BE268" s="1" t="s">
        <v>123</v>
      </c>
      <c r="BF268" s="1" t="s">
        <v>5750</v>
      </c>
      <c r="BG268" s="1" t="s">
        <v>68</v>
      </c>
      <c r="BH268" s="1" t="s">
        <v>867</v>
      </c>
      <c r="BI268" s="1" t="s">
        <v>68</v>
      </c>
      <c r="BJ268" s="1" t="s">
        <v>68</v>
      </c>
      <c r="BK268" s="1" t="s">
        <v>95</v>
      </c>
      <c r="BL268" s="1" t="s">
        <v>5751</v>
      </c>
      <c r="BM268" s="1" t="str">
        <f>HYPERLINK("https%3A%2F%2Fwww.webofscience.com%2Fwos%2Fwoscc%2Ffull-record%2FWOS:000447296300003","View Full Record in Web of Science")</f>
        <v>View Full Record in Web of Science</v>
      </c>
    </row>
    <row r="269" ht="12.75" customHeight="1">
      <c r="A269" s="1" t="s">
        <v>65</v>
      </c>
      <c r="B269" s="1" t="s">
        <v>5752</v>
      </c>
      <c r="C269" s="1" t="s">
        <v>5753</v>
      </c>
      <c r="D269" s="1" t="s">
        <v>68</v>
      </c>
      <c r="E269" s="1" t="s">
        <v>5754</v>
      </c>
      <c r="F269" s="1" t="s">
        <v>5755</v>
      </c>
      <c r="G269" s="1" t="s">
        <v>68</v>
      </c>
      <c r="H269" s="1" t="s">
        <v>71</v>
      </c>
      <c r="I269" s="1" t="s">
        <v>72</v>
      </c>
      <c r="J269" s="1" t="s">
        <v>68</v>
      </c>
      <c r="K269" s="1" t="s">
        <v>68</v>
      </c>
      <c r="L269" s="1" t="s">
        <v>68</v>
      </c>
      <c r="M269" s="1" t="s">
        <v>68</v>
      </c>
      <c r="N269" s="1" t="s">
        <v>5756</v>
      </c>
      <c r="O269" s="1" t="s">
        <v>5757</v>
      </c>
      <c r="P269" s="1" t="s">
        <v>5758</v>
      </c>
      <c r="Q269" s="1" t="s">
        <v>5759</v>
      </c>
      <c r="R269" s="1" t="s">
        <v>5760</v>
      </c>
      <c r="S269" s="1" t="s">
        <v>5761</v>
      </c>
      <c r="T269" s="1" t="s">
        <v>5762</v>
      </c>
      <c r="U269" s="1" t="s">
        <v>5763</v>
      </c>
      <c r="V269" s="1" t="s">
        <v>5764</v>
      </c>
      <c r="W269" s="1" t="s">
        <v>5765</v>
      </c>
      <c r="X269" s="1" t="s">
        <v>5766</v>
      </c>
      <c r="Y269" s="1" t="s">
        <v>5767</v>
      </c>
      <c r="Z269" s="1">
        <v>52.0</v>
      </c>
      <c r="AA269" s="1">
        <v>7.0</v>
      </c>
      <c r="AB269" s="1">
        <v>7.0</v>
      </c>
      <c r="AC269" s="1">
        <v>7.0</v>
      </c>
      <c r="AD269" s="1">
        <v>21.0</v>
      </c>
      <c r="AE269" s="1" t="s">
        <v>503</v>
      </c>
      <c r="AF269" s="1" t="s">
        <v>504</v>
      </c>
      <c r="AG269" s="1" t="s">
        <v>505</v>
      </c>
      <c r="AH269" s="1" t="s">
        <v>5768</v>
      </c>
      <c r="AI269" s="1" t="s">
        <v>5769</v>
      </c>
      <c r="AJ269" s="1" t="s">
        <v>68</v>
      </c>
      <c r="AK269" s="1" t="s">
        <v>5770</v>
      </c>
      <c r="AL269" s="1" t="s">
        <v>5771</v>
      </c>
      <c r="AM269" s="1" t="s">
        <v>790</v>
      </c>
      <c r="AN269" s="1">
        <v>2024.0</v>
      </c>
      <c r="AO269" s="1">
        <v>30.0</v>
      </c>
      <c r="AP269" s="1">
        <v>8.0</v>
      </c>
      <c r="AQ269" s="1" t="s">
        <v>68</v>
      </c>
      <c r="AR269" s="1" t="s">
        <v>68</v>
      </c>
      <c r="AS269" s="1" t="s">
        <v>68</v>
      </c>
      <c r="AT269" s="1" t="s">
        <v>68</v>
      </c>
      <c r="AU269" s="1" t="s">
        <v>68</v>
      </c>
      <c r="AV269" s="1" t="s">
        <v>68</v>
      </c>
      <c r="AW269" s="1" t="s">
        <v>68</v>
      </c>
      <c r="AX269" s="1" t="s">
        <v>5772</v>
      </c>
      <c r="AY269" s="3" t="str">
        <f>HYPERLINK("http://dx.doi.org/10.1111/ddi.13863","http://dx.doi.org/10.1111/ddi.13863")</f>
        <v>http://dx.doi.org/10.1111/ddi.13863</v>
      </c>
      <c r="AZ269" s="1" t="s">
        <v>68</v>
      </c>
      <c r="BA269" s="1" t="s">
        <v>5773</v>
      </c>
      <c r="BB269" s="1">
        <v>13.0</v>
      </c>
      <c r="BC269" s="1" t="s">
        <v>1011</v>
      </c>
      <c r="BD269" s="1" t="s">
        <v>92</v>
      </c>
      <c r="BE269" s="1" t="s">
        <v>123</v>
      </c>
      <c r="BF269" s="1" t="s">
        <v>5774</v>
      </c>
      <c r="BG269" s="1" t="s">
        <v>68</v>
      </c>
      <c r="BH269" s="1" t="s">
        <v>462</v>
      </c>
      <c r="BI269" s="1" t="s">
        <v>68</v>
      </c>
      <c r="BJ269" s="1" t="s">
        <v>68</v>
      </c>
      <c r="BK269" s="1" t="s">
        <v>95</v>
      </c>
      <c r="BL269" s="1" t="s">
        <v>5775</v>
      </c>
      <c r="BM269" s="1" t="str">
        <f>HYPERLINK("https%3A%2F%2Fwww.webofscience.com%2Fwos%2Fwoscc%2Ffull-record%2FWOS:001237599500001","View Full Record in Web of Science")</f>
        <v>View Full Record in Web of Science</v>
      </c>
    </row>
    <row r="270" ht="12.75" customHeight="1">
      <c r="A270" s="1" t="s">
        <v>65</v>
      </c>
      <c r="B270" s="1" t="s">
        <v>5776</v>
      </c>
      <c r="C270" s="1" t="s">
        <v>5777</v>
      </c>
      <c r="D270" s="1" t="s">
        <v>68</v>
      </c>
      <c r="E270" s="1" t="s">
        <v>5778</v>
      </c>
      <c r="F270" s="1" t="s">
        <v>5779</v>
      </c>
      <c r="G270" s="1" t="s">
        <v>68</v>
      </c>
      <c r="H270" s="1" t="s">
        <v>71</v>
      </c>
      <c r="I270" s="1" t="s">
        <v>72</v>
      </c>
      <c r="J270" s="1" t="s">
        <v>68</v>
      </c>
      <c r="K270" s="1" t="s">
        <v>68</v>
      </c>
      <c r="L270" s="1" t="s">
        <v>68</v>
      </c>
      <c r="M270" s="1" t="s">
        <v>68</v>
      </c>
      <c r="N270" s="1" t="s">
        <v>5780</v>
      </c>
      <c r="O270" s="1" t="s">
        <v>5781</v>
      </c>
      <c r="P270" s="1" t="s">
        <v>5782</v>
      </c>
      <c r="Q270" s="1" t="s">
        <v>5783</v>
      </c>
      <c r="R270" s="1" t="s">
        <v>5784</v>
      </c>
      <c r="S270" s="1" t="s">
        <v>5785</v>
      </c>
      <c r="T270" s="1" t="s">
        <v>5786</v>
      </c>
      <c r="U270" s="1" t="s">
        <v>5787</v>
      </c>
      <c r="V270" s="1" t="s">
        <v>68</v>
      </c>
      <c r="W270" s="1" t="s">
        <v>5788</v>
      </c>
      <c r="X270" s="1" t="s">
        <v>5789</v>
      </c>
      <c r="Y270" s="1" t="s">
        <v>5790</v>
      </c>
      <c r="Z270" s="1">
        <v>88.0</v>
      </c>
      <c r="AA270" s="1">
        <v>0.0</v>
      </c>
      <c r="AB270" s="1">
        <v>0.0</v>
      </c>
      <c r="AC270" s="1">
        <v>0.0</v>
      </c>
      <c r="AD270" s="1">
        <v>0.0</v>
      </c>
      <c r="AE270" s="1" t="s">
        <v>1596</v>
      </c>
      <c r="AF270" s="1" t="s">
        <v>1182</v>
      </c>
      <c r="AG270" s="1" t="s">
        <v>1597</v>
      </c>
      <c r="AH270" s="1" t="s">
        <v>5791</v>
      </c>
      <c r="AI270" s="1" t="s">
        <v>68</v>
      </c>
      <c r="AJ270" s="1" t="s">
        <v>68</v>
      </c>
      <c r="AK270" s="1" t="s">
        <v>5792</v>
      </c>
      <c r="AL270" s="1" t="s">
        <v>5793</v>
      </c>
      <c r="AM270" s="1" t="s">
        <v>3782</v>
      </c>
      <c r="AN270" s="1">
        <v>2026.0</v>
      </c>
      <c r="AO270" s="1">
        <v>11.0</v>
      </c>
      <c r="AP270" s="1" t="s">
        <v>68</v>
      </c>
      <c r="AQ270" s="1" t="s">
        <v>68</v>
      </c>
      <c r="AR270" s="1" t="s">
        <v>68</v>
      </c>
      <c r="AS270" s="1" t="s">
        <v>68</v>
      </c>
      <c r="AT270" s="1" t="s">
        <v>68</v>
      </c>
      <c r="AU270" s="1" t="s">
        <v>68</v>
      </c>
      <c r="AV270" s="1" t="s">
        <v>68</v>
      </c>
      <c r="AW270" s="1">
        <v>101656.0</v>
      </c>
      <c r="AX270" s="1" t="s">
        <v>5794</v>
      </c>
      <c r="AY270" s="3" t="str">
        <f>HYPERLINK("http://dx.doi.org/10.1016/j.sftr.2026.101656","http://dx.doi.org/10.1016/j.sftr.2026.101656")</f>
        <v>http://dx.doi.org/10.1016/j.sftr.2026.101656</v>
      </c>
      <c r="AZ270" s="1" t="s">
        <v>68</v>
      </c>
      <c r="BA270" s="1" t="s">
        <v>5795</v>
      </c>
      <c r="BB270" s="1">
        <v>10.0</v>
      </c>
      <c r="BC270" s="1" t="s">
        <v>5796</v>
      </c>
      <c r="BD270" s="1" t="s">
        <v>197</v>
      </c>
      <c r="BE270" s="1" t="s">
        <v>5797</v>
      </c>
      <c r="BF270" s="1" t="s">
        <v>5798</v>
      </c>
      <c r="BG270" s="1" t="s">
        <v>68</v>
      </c>
      <c r="BH270" s="1" t="s">
        <v>94</v>
      </c>
      <c r="BI270" s="1" t="s">
        <v>68</v>
      </c>
      <c r="BJ270" s="1" t="s">
        <v>68</v>
      </c>
      <c r="BK270" s="1" t="s">
        <v>95</v>
      </c>
      <c r="BL270" s="1" t="s">
        <v>5799</v>
      </c>
      <c r="BM270" s="1" t="str">
        <f>HYPERLINK("https%3A%2F%2Fwww.webofscience.com%2Fwos%2Fwoscc%2Ffull-record%2FWOS:001669685700001","View Full Record in Web of Science")</f>
        <v>View Full Record in Web of Science</v>
      </c>
    </row>
    <row r="271" ht="12.75" customHeight="1">
      <c r="A271" s="1" t="s">
        <v>65</v>
      </c>
      <c r="B271" s="1" t="s">
        <v>3372</v>
      </c>
      <c r="C271" s="1" t="s">
        <v>3373</v>
      </c>
      <c r="D271" s="1" t="s">
        <v>68</v>
      </c>
      <c r="E271" s="1" t="s">
        <v>5800</v>
      </c>
      <c r="F271" s="1" t="s">
        <v>467</v>
      </c>
      <c r="G271" s="1" t="s">
        <v>68</v>
      </c>
      <c r="H271" s="1" t="s">
        <v>71</v>
      </c>
      <c r="I271" s="1" t="s">
        <v>72</v>
      </c>
      <c r="J271" s="1" t="s">
        <v>68</v>
      </c>
      <c r="K271" s="1" t="s">
        <v>68</v>
      </c>
      <c r="L271" s="1" t="s">
        <v>68</v>
      </c>
      <c r="M271" s="1" t="s">
        <v>68</v>
      </c>
      <c r="N271" s="1" t="s">
        <v>5801</v>
      </c>
      <c r="O271" s="1" t="s">
        <v>5802</v>
      </c>
      <c r="P271" s="1" t="s">
        <v>5803</v>
      </c>
      <c r="Q271" s="1" t="s">
        <v>5804</v>
      </c>
      <c r="R271" s="1" t="s">
        <v>3378</v>
      </c>
      <c r="S271" s="1" t="s">
        <v>5805</v>
      </c>
      <c r="T271" s="1" t="s">
        <v>3380</v>
      </c>
      <c r="U271" s="1" t="s">
        <v>5806</v>
      </c>
      <c r="V271" s="1" t="s">
        <v>5807</v>
      </c>
      <c r="W271" s="1" t="s">
        <v>5808</v>
      </c>
      <c r="X271" s="1" t="s">
        <v>5808</v>
      </c>
      <c r="Y271" s="1" t="s">
        <v>5808</v>
      </c>
      <c r="Z271" s="1">
        <v>54.0</v>
      </c>
      <c r="AA271" s="1">
        <v>4.0</v>
      </c>
      <c r="AB271" s="1">
        <v>5.0</v>
      </c>
      <c r="AC271" s="1">
        <v>4.0</v>
      </c>
      <c r="AD271" s="1">
        <v>30.0</v>
      </c>
      <c r="AE271" s="1" t="s">
        <v>83</v>
      </c>
      <c r="AF271" s="1" t="s">
        <v>84</v>
      </c>
      <c r="AG271" s="1" t="s">
        <v>85</v>
      </c>
      <c r="AH271" s="1" t="s">
        <v>68</v>
      </c>
      <c r="AI271" s="1" t="s">
        <v>479</v>
      </c>
      <c r="AJ271" s="1" t="s">
        <v>68</v>
      </c>
      <c r="AK271" s="1" t="s">
        <v>480</v>
      </c>
      <c r="AL271" s="1" t="s">
        <v>481</v>
      </c>
      <c r="AM271" s="1" t="s">
        <v>4842</v>
      </c>
      <c r="AN271" s="1">
        <v>2023.0</v>
      </c>
      <c r="AO271" s="1">
        <v>11.0</v>
      </c>
      <c r="AP271" s="1" t="s">
        <v>68</v>
      </c>
      <c r="AQ271" s="1" t="s">
        <v>68</v>
      </c>
      <c r="AR271" s="1" t="s">
        <v>68</v>
      </c>
      <c r="AS271" s="1" t="s">
        <v>68</v>
      </c>
      <c r="AT271" s="1" t="s">
        <v>68</v>
      </c>
      <c r="AU271" s="1" t="s">
        <v>68</v>
      </c>
      <c r="AV271" s="1" t="s">
        <v>68</v>
      </c>
      <c r="AW271" s="1">
        <v>1234966.0</v>
      </c>
      <c r="AX271" s="1" t="s">
        <v>5809</v>
      </c>
      <c r="AY271" s="3" t="str">
        <f>HYPERLINK("http://dx.doi.org/10.3389/fenvs.2023.1234966","http://dx.doi.org/10.3389/fenvs.2023.1234966")</f>
        <v>http://dx.doi.org/10.3389/fenvs.2023.1234966</v>
      </c>
      <c r="AZ271" s="1" t="s">
        <v>68</v>
      </c>
      <c r="BA271" s="1" t="s">
        <v>68</v>
      </c>
      <c r="BB271" s="1">
        <v>20.0</v>
      </c>
      <c r="BC271" s="1" t="s">
        <v>484</v>
      </c>
      <c r="BD271" s="1" t="s">
        <v>92</v>
      </c>
      <c r="BE271" s="1" t="s">
        <v>333</v>
      </c>
      <c r="BF271" s="1" t="s">
        <v>5810</v>
      </c>
      <c r="BG271" s="1" t="s">
        <v>68</v>
      </c>
      <c r="BH271" s="1" t="s">
        <v>94</v>
      </c>
      <c r="BI271" s="1" t="s">
        <v>68</v>
      </c>
      <c r="BJ271" s="1" t="s">
        <v>68</v>
      </c>
      <c r="BK271" s="1" t="s">
        <v>95</v>
      </c>
      <c r="BL271" s="1" t="s">
        <v>5811</v>
      </c>
      <c r="BM271" s="1" t="str">
        <f>HYPERLINK("https%3A%2F%2Fwww.webofscience.com%2Fwos%2Fwoscc%2Ffull-record%2FWOS:001101176800001","View Full Record in Web of Science")</f>
        <v>View Full Record in Web of Science</v>
      </c>
    </row>
    <row r="272" ht="12.75" customHeight="1">
      <c r="A272" s="1" t="s">
        <v>65</v>
      </c>
      <c r="B272" s="1" t="s">
        <v>5812</v>
      </c>
      <c r="C272" s="1" t="s">
        <v>5813</v>
      </c>
      <c r="D272" s="1" t="s">
        <v>68</v>
      </c>
      <c r="E272" s="1" t="s">
        <v>5814</v>
      </c>
      <c r="F272" s="1" t="s">
        <v>1996</v>
      </c>
      <c r="G272" s="1" t="s">
        <v>68</v>
      </c>
      <c r="H272" s="1" t="s">
        <v>71</v>
      </c>
      <c r="I272" s="1" t="s">
        <v>72</v>
      </c>
      <c r="J272" s="1" t="s">
        <v>68</v>
      </c>
      <c r="K272" s="1" t="s">
        <v>68</v>
      </c>
      <c r="L272" s="1" t="s">
        <v>68</v>
      </c>
      <c r="M272" s="1" t="s">
        <v>68</v>
      </c>
      <c r="N272" s="1" t="s">
        <v>5815</v>
      </c>
      <c r="O272" s="1" t="s">
        <v>5816</v>
      </c>
      <c r="P272" s="1" t="s">
        <v>5817</v>
      </c>
      <c r="Q272" s="1" t="s">
        <v>5818</v>
      </c>
      <c r="R272" s="1" t="s">
        <v>5819</v>
      </c>
      <c r="S272" s="1" t="s">
        <v>5820</v>
      </c>
      <c r="T272" s="1" t="s">
        <v>5821</v>
      </c>
      <c r="U272" s="1" t="s">
        <v>5822</v>
      </c>
      <c r="V272" s="1" t="s">
        <v>5823</v>
      </c>
      <c r="W272" s="1" t="s">
        <v>68</v>
      </c>
      <c r="X272" s="1" t="s">
        <v>68</v>
      </c>
      <c r="Y272" s="1" t="s">
        <v>68</v>
      </c>
      <c r="Z272" s="1">
        <v>64.0</v>
      </c>
      <c r="AA272" s="1">
        <v>8.0</v>
      </c>
      <c r="AB272" s="1">
        <v>8.0</v>
      </c>
      <c r="AC272" s="1">
        <v>2.0</v>
      </c>
      <c r="AD272" s="1">
        <v>8.0</v>
      </c>
      <c r="AE272" s="1" t="s">
        <v>247</v>
      </c>
      <c r="AF272" s="1" t="s">
        <v>248</v>
      </c>
      <c r="AG272" s="1" t="s">
        <v>249</v>
      </c>
      <c r="AH272" s="1" t="s">
        <v>68</v>
      </c>
      <c r="AI272" s="1" t="s">
        <v>2007</v>
      </c>
      <c r="AJ272" s="1" t="s">
        <v>68</v>
      </c>
      <c r="AK272" s="1" t="s">
        <v>2008</v>
      </c>
      <c r="AL272" s="1" t="s">
        <v>2009</v>
      </c>
      <c r="AM272" s="1" t="s">
        <v>1789</v>
      </c>
      <c r="AN272" s="1">
        <v>2022.0</v>
      </c>
      <c r="AO272" s="1">
        <v>14.0</v>
      </c>
      <c r="AP272" s="1">
        <v>2.0</v>
      </c>
      <c r="AQ272" s="1" t="s">
        <v>68</v>
      </c>
      <c r="AR272" s="1" t="s">
        <v>68</v>
      </c>
      <c r="AS272" s="1" t="s">
        <v>68</v>
      </c>
      <c r="AT272" s="1" t="s">
        <v>68</v>
      </c>
      <c r="AU272" s="1" t="s">
        <v>68</v>
      </c>
      <c r="AV272" s="1" t="s">
        <v>68</v>
      </c>
      <c r="AW272" s="1">
        <v>622.0</v>
      </c>
      <c r="AX272" s="1" t="s">
        <v>5824</v>
      </c>
      <c r="AY272" s="3" t="str">
        <f>HYPERLINK("http://dx.doi.org/10.3390/su14020622","http://dx.doi.org/10.3390/su14020622")</f>
        <v>http://dx.doi.org/10.3390/su14020622</v>
      </c>
      <c r="AZ272" s="1" t="s">
        <v>68</v>
      </c>
      <c r="BA272" s="1" t="s">
        <v>68</v>
      </c>
      <c r="BB272" s="1">
        <v>18.0</v>
      </c>
      <c r="BC272" s="1" t="s">
        <v>1052</v>
      </c>
      <c r="BD272" s="1" t="s">
        <v>279</v>
      </c>
      <c r="BE272" s="1" t="s">
        <v>1053</v>
      </c>
      <c r="BF272" s="1" t="s">
        <v>5825</v>
      </c>
      <c r="BG272" s="1" t="s">
        <v>68</v>
      </c>
      <c r="BH272" s="1" t="s">
        <v>618</v>
      </c>
      <c r="BI272" s="1" t="s">
        <v>68</v>
      </c>
      <c r="BJ272" s="1" t="s">
        <v>68</v>
      </c>
      <c r="BK272" s="1" t="s">
        <v>95</v>
      </c>
      <c r="BL272" s="1" t="s">
        <v>5826</v>
      </c>
      <c r="BM272" s="1" t="str">
        <f>HYPERLINK("https%3A%2F%2Fwww.webofscience.com%2Fwos%2Fwoscc%2Ffull-record%2FWOS:000746129300001","View Full Record in Web of Science")</f>
        <v>View Full Record in Web of Science</v>
      </c>
    </row>
    <row r="273" ht="12.75" customHeight="1">
      <c r="A273" s="1" t="s">
        <v>65</v>
      </c>
      <c r="B273" s="1" t="s">
        <v>5827</v>
      </c>
      <c r="C273" s="1" t="s">
        <v>5828</v>
      </c>
      <c r="D273" s="1" t="s">
        <v>68</v>
      </c>
      <c r="E273" s="1" t="s">
        <v>5829</v>
      </c>
      <c r="F273" s="1" t="s">
        <v>5830</v>
      </c>
      <c r="G273" s="1" t="s">
        <v>68</v>
      </c>
      <c r="H273" s="1" t="s">
        <v>71</v>
      </c>
      <c r="I273" s="1" t="s">
        <v>72</v>
      </c>
      <c r="J273" s="1" t="s">
        <v>68</v>
      </c>
      <c r="K273" s="1" t="s">
        <v>68</v>
      </c>
      <c r="L273" s="1" t="s">
        <v>68</v>
      </c>
      <c r="M273" s="1" t="s">
        <v>68</v>
      </c>
      <c r="N273" s="1" t="s">
        <v>68</v>
      </c>
      <c r="O273" s="1" t="s">
        <v>68</v>
      </c>
      <c r="P273" s="1" t="s">
        <v>5831</v>
      </c>
      <c r="Q273" s="1" t="s">
        <v>5832</v>
      </c>
      <c r="R273" s="1" t="s">
        <v>5833</v>
      </c>
      <c r="S273" s="1" t="s">
        <v>5834</v>
      </c>
      <c r="T273" s="1" t="s">
        <v>5835</v>
      </c>
      <c r="U273" s="1" t="s">
        <v>5836</v>
      </c>
      <c r="V273" s="1" t="s">
        <v>5837</v>
      </c>
      <c r="W273" s="1" t="s">
        <v>5838</v>
      </c>
      <c r="X273" s="1" t="s">
        <v>5839</v>
      </c>
      <c r="Y273" s="1" t="s">
        <v>5840</v>
      </c>
      <c r="Z273" s="1">
        <v>47.0</v>
      </c>
      <c r="AA273" s="1">
        <v>5.0</v>
      </c>
      <c r="AB273" s="1">
        <v>6.0</v>
      </c>
      <c r="AC273" s="1">
        <v>2.0</v>
      </c>
      <c r="AD273" s="1">
        <v>7.0</v>
      </c>
      <c r="AE273" s="1" t="s">
        <v>3445</v>
      </c>
      <c r="AF273" s="1" t="s">
        <v>3446</v>
      </c>
      <c r="AG273" s="1" t="s">
        <v>3447</v>
      </c>
      <c r="AH273" s="1" t="s">
        <v>5841</v>
      </c>
      <c r="AI273" s="1" t="s">
        <v>5842</v>
      </c>
      <c r="AJ273" s="1" t="s">
        <v>68</v>
      </c>
      <c r="AK273" s="1" t="s">
        <v>5843</v>
      </c>
      <c r="AL273" s="1" t="s">
        <v>5844</v>
      </c>
      <c r="AM273" s="1" t="s">
        <v>2387</v>
      </c>
      <c r="AN273" s="1">
        <v>2023.0</v>
      </c>
      <c r="AO273" s="1">
        <v>15.0</v>
      </c>
      <c r="AP273" s="1">
        <v>10.0</v>
      </c>
      <c r="AQ273" s="1" t="s">
        <v>68</v>
      </c>
      <c r="AR273" s="1" t="s">
        <v>68</v>
      </c>
      <c r="AS273" s="1" t="s">
        <v>68</v>
      </c>
      <c r="AT273" s="1" t="s">
        <v>68</v>
      </c>
      <c r="AU273" s="1">
        <v>4613.0</v>
      </c>
      <c r="AV273" s="1">
        <v>4629.0</v>
      </c>
      <c r="AW273" s="1" t="s">
        <v>68</v>
      </c>
      <c r="AX273" s="1" t="s">
        <v>5845</v>
      </c>
      <c r="AY273" s="3" t="str">
        <f>HYPERLINK("http://dx.doi.org/10.5194/essd-15-4613-2023","http://dx.doi.org/10.5194/essd-15-4613-2023")</f>
        <v>http://dx.doi.org/10.5194/essd-15-4613-2023</v>
      </c>
      <c r="AZ273" s="1" t="s">
        <v>68</v>
      </c>
      <c r="BA273" s="1" t="s">
        <v>68</v>
      </c>
      <c r="BB273" s="1">
        <v>17.0</v>
      </c>
      <c r="BC273" s="1" t="s">
        <v>5846</v>
      </c>
      <c r="BD273" s="1" t="s">
        <v>92</v>
      </c>
      <c r="BE273" s="1" t="s">
        <v>5847</v>
      </c>
      <c r="BF273" s="1" t="s">
        <v>5848</v>
      </c>
      <c r="BG273" s="1" t="s">
        <v>68</v>
      </c>
      <c r="BH273" s="1" t="s">
        <v>94</v>
      </c>
      <c r="BI273" s="1" t="s">
        <v>68</v>
      </c>
      <c r="BJ273" s="1" t="s">
        <v>68</v>
      </c>
      <c r="BK273" s="1" t="s">
        <v>95</v>
      </c>
      <c r="BL273" s="1" t="s">
        <v>5849</v>
      </c>
      <c r="BM273" s="1" t="str">
        <f>HYPERLINK("https%3A%2F%2Fwww.webofscience.com%2Fwos%2Fwoscc%2Ffull-record%2FWOS:001162352300001","View Full Record in Web of Science")</f>
        <v>View Full Record in Web of Science</v>
      </c>
    </row>
    <row r="274" ht="12.75" customHeight="1">
      <c r="A274" s="1" t="s">
        <v>65</v>
      </c>
      <c r="B274" s="1" t="s">
        <v>5850</v>
      </c>
      <c r="C274" s="1" t="s">
        <v>5851</v>
      </c>
      <c r="D274" s="1" t="s">
        <v>68</v>
      </c>
      <c r="E274" s="1" t="s">
        <v>5852</v>
      </c>
      <c r="F274" s="1" t="s">
        <v>773</v>
      </c>
      <c r="G274" s="1" t="s">
        <v>68</v>
      </c>
      <c r="H274" s="1" t="s">
        <v>71</v>
      </c>
      <c r="I274" s="1" t="s">
        <v>72</v>
      </c>
      <c r="J274" s="1" t="s">
        <v>68</v>
      </c>
      <c r="K274" s="1" t="s">
        <v>68</v>
      </c>
      <c r="L274" s="1" t="s">
        <v>68</v>
      </c>
      <c r="M274" s="1" t="s">
        <v>68</v>
      </c>
      <c r="N274" s="1" t="s">
        <v>68</v>
      </c>
      <c r="O274" s="1" t="s">
        <v>5853</v>
      </c>
      <c r="P274" s="1" t="s">
        <v>5854</v>
      </c>
      <c r="Q274" s="1" t="s">
        <v>5855</v>
      </c>
      <c r="R274" s="1" t="s">
        <v>5856</v>
      </c>
      <c r="S274" s="1" t="s">
        <v>5857</v>
      </c>
      <c r="T274" s="1" t="s">
        <v>5858</v>
      </c>
      <c r="U274" s="1" t="s">
        <v>5859</v>
      </c>
      <c r="V274" s="1" t="s">
        <v>5860</v>
      </c>
      <c r="W274" s="1" t="s">
        <v>5861</v>
      </c>
      <c r="X274" s="1" t="s">
        <v>5862</v>
      </c>
      <c r="Y274" s="1" t="s">
        <v>5863</v>
      </c>
      <c r="Z274" s="1">
        <v>17.0</v>
      </c>
      <c r="AA274" s="1">
        <v>234.0</v>
      </c>
      <c r="AB274" s="1">
        <v>294.0</v>
      </c>
      <c r="AC274" s="1">
        <v>0.0</v>
      </c>
      <c r="AD274" s="1">
        <v>201.0</v>
      </c>
      <c r="AE274" s="1" t="s">
        <v>503</v>
      </c>
      <c r="AF274" s="1" t="s">
        <v>504</v>
      </c>
      <c r="AG274" s="1" t="s">
        <v>505</v>
      </c>
      <c r="AH274" s="1" t="s">
        <v>787</v>
      </c>
      <c r="AI274" s="1" t="s">
        <v>5864</v>
      </c>
      <c r="AJ274" s="1" t="s">
        <v>68</v>
      </c>
      <c r="AK274" s="1" t="s">
        <v>788</v>
      </c>
      <c r="AL274" s="1" t="s">
        <v>789</v>
      </c>
      <c r="AM274" s="1" t="s">
        <v>1264</v>
      </c>
      <c r="AN274" s="1">
        <v>2012.0</v>
      </c>
      <c r="AO274" s="1">
        <v>10.0</v>
      </c>
      <c r="AP274" s="1">
        <v>9.0</v>
      </c>
      <c r="AQ274" s="1" t="s">
        <v>68</v>
      </c>
      <c r="AR274" s="1" t="s">
        <v>68</v>
      </c>
      <c r="AS274" s="1" t="s">
        <v>68</v>
      </c>
      <c r="AT274" s="1" t="s">
        <v>68</v>
      </c>
      <c r="AU274" s="1">
        <v>471.0</v>
      </c>
      <c r="AV274" s="1">
        <v>476.0</v>
      </c>
      <c r="AW274" s="1" t="s">
        <v>68</v>
      </c>
      <c r="AX274" s="1" t="s">
        <v>5865</v>
      </c>
      <c r="AY274" s="3" t="str">
        <f>HYPERLINK("http://dx.doi.org/10.1890/110185","http://dx.doi.org/10.1890/110185")</f>
        <v>http://dx.doi.org/10.1890/110185</v>
      </c>
      <c r="AZ274" s="1" t="s">
        <v>68</v>
      </c>
      <c r="BA274" s="1" t="s">
        <v>68</v>
      </c>
      <c r="BB274" s="1">
        <v>6.0</v>
      </c>
      <c r="BC274" s="1" t="s">
        <v>792</v>
      </c>
      <c r="BD274" s="1" t="s">
        <v>92</v>
      </c>
      <c r="BE274" s="1" t="s">
        <v>333</v>
      </c>
      <c r="BF274" s="1" t="s">
        <v>5866</v>
      </c>
      <c r="BG274" s="1" t="s">
        <v>68</v>
      </c>
      <c r="BH274" s="1" t="s">
        <v>68</v>
      </c>
      <c r="BI274" s="1" t="s">
        <v>68</v>
      </c>
      <c r="BJ274" s="1" t="s">
        <v>68</v>
      </c>
      <c r="BK274" s="1" t="s">
        <v>95</v>
      </c>
      <c r="BL274" s="1" t="s">
        <v>5867</v>
      </c>
      <c r="BM274" s="1" t="str">
        <f>HYPERLINK("https%3A%2F%2Fwww.webofscience.com%2Fwos%2Fwoscc%2Ffull-record%2FWOS:000310672600016","View Full Record in Web of Science")</f>
        <v>View Full Record in Web of Science</v>
      </c>
    </row>
    <row r="275" ht="12.75" customHeight="1">
      <c r="A275" s="1" t="s">
        <v>65</v>
      </c>
      <c r="B275" s="1" t="s">
        <v>5868</v>
      </c>
      <c r="C275" s="1" t="s">
        <v>5869</v>
      </c>
      <c r="D275" s="1" t="s">
        <v>68</v>
      </c>
      <c r="E275" s="1" t="s">
        <v>5870</v>
      </c>
      <c r="F275" s="1" t="s">
        <v>5871</v>
      </c>
      <c r="G275" s="1" t="s">
        <v>68</v>
      </c>
      <c r="H275" s="1" t="s">
        <v>71</v>
      </c>
      <c r="I275" s="1" t="s">
        <v>72</v>
      </c>
      <c r="J275" s="1" t="s">
        <v>68</v>
      </c>
      <c r="K275" s="1" t="s">
        <v>68</v>
      </c>
      <c r="L275" s="1" t="s">
        <v>68</v>
      </c>
      <c r="M275" s="1" t="s">
        <v>68</v>
      </c>
      <c r="N275" s="1" t="s">
        <v>68</v>
      </c>
      <c r="O275" s="1" t="s">
        <v>5872</v>
      </c>
      <c r="P275" s="1" t="s">
        <v>5873</v>
      </c>
      <c r="Q275" s="1" t="s">
        <v>5874</v>
      </c>
      <c r="R275" s="1" t="s">
        <v>5875</v>
      </c>
      <c r="S275" s="1" t="s">
        <v>5876</v>
      </c>
      <c r="T275" s="1" t="s">
        <v>5877</v>
      </c>
      <c r="U275" s="1" t="s">
        <v>68</v>
      </c>
      <c r="V275" s="1" t="s">
        <v>5878</v>
      </c>
      <c r="W275" s="1" t="s">
        <v>5879</v>
      </c>
      <c r="X275" s="1" t="s">
        <v>5879</v>
      </c>
      <c r="Y275" s="1" t="s">
        <v>5880</v>
      </c>
      <c r="Z275" s="1">
        <v>84.0</v>
      </c>
      <c r="AA275" s="1">
        <v>15.0</v>
      </c>
      <c r="AB275" s="1">
        <v>16.0</v>
      </c>
      <c r="AC275" s="1">
        <v>1.0</v>
      </c>
      <c r="AD275" s="1">
        <v>4.0</v>
      </c>
      <c r="AE275" s="1" t="s">
        <v>1906</v>
      </c>
      <c r="AF275" s="1" t="s">
        <v>1907</v>
      </c>
      <c r="AG275" s="1" t="s">
        <v>1908</v>
      </c>
      <c r="AH275" s="1" t="s">
        <v>68</v>
      </c>
      <c r="AI275" s="1" t="s">
        <v>5881</v>
      </c>
      <c r="AJ275" s="1" t="s">
        <v>68</v>
      </c>
      <c r="AK275" s="1" t="s">
        <v>5882</v>
      </c>
      <c r="AL275" s="1" t="s">
        <v>5883</v>
      </c>
      <c r="AM275" s="1" t="s">
        <v>404</v>
      </c>
      <c r="AN275" s="1">
        <v>2023.0</v>
      </c>
      <c r="AO275" s="1">
        <v>2.0</v>
      </c>
      <c r="AP275" s="1">
        <v>9.0</v>
      </c>
      <c r="AQ275" s="1" t="s">
        <v>68</v>
      </c>
      <c r="AR275" s="1" t="s">
        <v>68</v>
      </c>
      <c r="AS275" s="1" t="s">
        <v>68</v>
      </c>
      <c r="AT275" s="1" t="s">
        <v>68</v>
      </c>
      <c r="AU275" s="1" t="s">
        <v>68</v>
      </c>
      <c r="AV275" s="1" t="s">
        <v>68</v>
      </c>
      <c r="AW275" s="1" t="s">
        <v>5884</v>
      </c>
      <c r="AX275" s="1" t="s">
        <v>5885</v>
      </c>
      <c r="AY275" s="3" t="str">
        <f>HYPERLINK("http://dx.doi.org/10.1371/journal.pdig.0000294","http://dx.doi.org/10.1371/journal.pdig.0000294")</f>
        <v>http://dx.doi.org/10.1371/journal.pdig.0000294</v>
      </c>
      <c r="AZ275" s="1" t="s">
        <v>68</v>
      </c>
      <c r="BA275" s="1" t="s">
        <v>68</v>
      </c>
      <c r="BB275" s="1">
        <v>15.0</v>
      </c>
      <c r="BC275" s="1" t="s">
        <v>5886</v>
      </c>
      <c r="BD275" s="1" t="s">
        <v>197</v>
      </c>
      <c r="BE275" s="1" t="s">
        <v>5886</v>
      </c>
      <c r="BF275" s="1" t="s">
        <v>5887</v>
      </c>
      <c r="BG275" s="1">
        <v>3.7756285E7</v>
      </c>
      <c r="BH275" s="1" t="s">
        <v>94</v>
      </c>
      <c r="BI275" s="1" t="s">
        <v>68</v>
      </c>
      <c r="BJ275" s="1" t="s">
        <v>68</v>
      </c>
      <c r="BK275" s="1" t="s">
        <v>95</v>
      </c>
      <c r="BL275" s="1" t="s">
        <v>5888</v>
      </c>
      <c r="BM275" s="1" t="str">
        <f>HYPERLINK("https%3A%2F%2Fwww.webofscience.com%2Fwos%2Fwoscc%2Ffull-record%2FWOS:001416699000001","View Full Record in Web of Science")</f>
        <v>View Full Record in Web of Science</v>
      </c>
    </row>
    <row r="276" ht="12.75" customHeight="1">
      <c r="A276" s="1" t="s">
        <v>65</v>
      </c>
      <c r="B276" s="1" t="s">
        <v>5889</v>
      </c>
      <c r="C276" s="1" t="s">
        <v>5890</v>
      </c>
      <c r="D276" s="1" t="s">
        <v>68</v>
      </c>
      <c r="E276" s="1" t="s">
        <v>5891</v>
      </c>
      <c r="F276" s="1" t="s">
        <v>1703</v>
      </c>
      <c r="G276" s="1" t="s">
        <v>68</v>
      </c>
      <c r="H276" s="1" t="s">
        <v>71</v>
      </c>
      <c r="I276" s="1" t="s">
        <v>72</v>
      </c>
      <c r="J276" s="1" t="s">
        <v>68</v>
      </c>
      <c r="K276" s="1" t="s">
        <v>68</v>
      </c>
      <c r="L276" s="1" t="s">
        <v>68</v>
      </c>
      <c r="M276" s="1" t="s">
        <v>68</v>
      </c>
      <c r="N276" s="1" t="s">
        <v>5892</v>
      </c>
      <c r="O276" s="1" t="s">
        <v>5893</v>
      </c>
      <c r="P276" s="1" t="s">
        <v>5894</v>
      </c>
      <c r="Q276" s="1" t="s">
        <v>5895</v>
      </c>
      <c r="R276" s="1" t="s">
        <v>68</v>
      </c>
      <c r="S276" s="1" t="s">
        <v>5896</v>
      </c>
      <c r="T276" s="1" t="s">
        <v>5897</v>
      </c>
      <c r="U276" s="1" t="s">
        <v>68</v>
      </c>
      <c r="V276" s="1" t="s">
        <v>5898</v>
      </c>
      <c r="W276" s="1" t="s">
        <v>5899</v>
      </c>
      <c r="X276" s="1" t="s">
        <v>5900</v>
      </c>
      <c r="Y276" s="1" t="s">
        <v>5901</v>
      </c>
      <c r="Z276" s="1">
        <v>64.0</v>
      </c>
      <c r="AA276" s="1">
        <v>0.0</v>
      </c>
      <c r="AB276" s="1">
        <v>0.0</v>
      </c>
      <c r="AC276" s="1">
        <v>4.0</v>
      </c>
      <c r="AD276" s="1">
        <v>5.0</v>
      </c>
      <c r="AE276" s="1" t="s">
        <v>1716</v>
      </c>
      <c r="AF276" s="1" t="s">
        <v>663</v>
      </c>
      <c r="AG276" s="1" t="s">
        <v>1717</v>
      </c>
      <c r="AH276" s="1" t="s">
        <v>1718</v>
      </c>
      <c r="AI276" s="1" t="s">
        <v>1719</v>
      </c>
      <c r="AJ276" s="1" t="s">
        <v>68</v>
      </c>
      <c r="AK276" s="1" t="s">
        <v>1720</v>
      </c>
      <c r="AL276" s="1" t="s">
        <v>1721</v>
      </c>
      <c r="AM276" s="1" t="s">
        <v>5902</v>
      </c>
      <c r="AN276" s="1">
        <v>2025.0</v>
      </c>
      <c r="AO276" s="1">
        <v>380.0</v>
      </c>
      <c r="AP276" s="1">
        <v>1928.0</v>
      </c>
      <c r="AQ276" s="1" t="s">
        <v>68</v>
      </c>
      <c r="AR276" s="1" t="s">
        <v>68</v>
      </c>
      <c r="AS276" s="1" t="s">
        <v>68</v>
      </c>
      <c r="AT276" s="1" t="s">
        <v>68</v>
      </c>
      <c r="AU276" s="1" t="s">
        <v>68</v>
      </c>
      <c r="AV276" s="1" t="s">
        <v>68</v>
      </c>
      <c r="AW276" s="1">
        <v>2.0240057E7</v>
      </c>
      <c r="AX276" s="1" t="s">
        <v>5903</v>
      </c>
      <c r="AY276" s="3" t="str">
        <f>HYPERLINK("http://dx.doi.org/10.1098/rstb.2024.0057","http://dx.doi.org/10.1098/rstb.2024.0057")</f>
        <v>http://dx.doi.org/10.1098/rstb.2024.0057</v>
      </c>
      <c r="AZ276" s="1" t="s">
        <v>68</v>
      </c>
      <c r="BA276" s="1" t="s">
        <v>68</v>
      </c>
      <c r="BB276" s="1">
        <v>14.0</v>
      </c>
      <c r="BC276" s="1" t="s">
        <v>430</v>
      </c>
      <c r="BD276" s="1" t="s">
        <v>92</v>
      </c>
      <c r="BE276" s="1" t="s">
        <v>431</v>
      </c>
      <c r="BF276" s="1" t="s">
        <v>5904</v>
      </c>
      <c r="BG276" s="1">
        <v>4.0501133E7</v>
      </c>
      <c r="BH276" s="1" t="s">
        <v>644</v>
      </c>
      <c r="BI276" s="1" t="s">
        <v>68</v>
      </c>
      <c r="BJ276" s="1" t="s">
        <v>68</v>
      </c>
      <c r="BK276" s="1" t="s">
        <v>95</v>
      </c>
      <c r="BL276" s="1" t="s">
        <v>5905</v>
      </c>
      <c r="BM276" s="1" t="str">
        <f>HYPERLINK("https%3A%2F%2Fwww.webofscience.com%2Fwos%2Fwoscc%2Ffull-record%2FWOS:001508528700002","View Full Record in Web of Science")</f>
        <v>View Full Record in Web of Science</v>
      </c>
    </row>
    <row r="277" ht="12.75" customHeight="1">
      <c r="A277" s="1" t="s">
        <v>65</v>
      </c>
      <c r="B277" s="1" t="s">
        <v>5906</v>
      </c>
      <c r="C277" s="1" t="s">
        <v>5907</v>
      </c>
      <c r="D277" s="1" t="s">
        <v>68</v>
      </c>
      <c r="E277" s="1" t="s">
        <v>5908</v>
      </c>
      <c r="F277" s="1" t="s">
        <v>1996</v>
      </c>
      <c r="G277" s="1" t="s">
        <v>68</v>
      </c>
      <c r="H277" s="1" t="s">
        <v>71</v>
      </c>
      <c r="I277" s="1" t="s">
        <v>72</v>
      </c>
      <c r="J277" s="1" t="s">
        <v>68</v>
      </c>
      <c r="K277" s="1" t="s">
        <v>68</v>
      </c>
      <c r="L277" s="1" t="s">
        <v>68</v>
      </c>
      <c r="M277" s="1" t="s">
        <v>68</v>
      </c>
      <c r="N277" s="1" t="s">
        <v>5909</v>
      </c>
      <c r="O277" s="1" t="s">
        <v>68</v>
      </c>
      <c r="P277" s="1" t="s">
        <v>5910</v>
      </c>
      <c r="Q277" s="1" t="s">
        <v>5911</v>
      </c>
      <c r="R277" s="1" t="s">
        <v>5912</v>
      </c>
      <c r="S277" s="1" t="s">
        <v>5913</v>
      </c>
      <c r="T277" s="1" t="s">
        <v>5914</v>
      </c>
      <c r="U277" s="1" t="s">
        <v>5915</v>
      </c>
      <c r="V277" s="1" t="s">
        <v>5916</v>
      </c>
      <c r="W277" s="1" t="s">
        <v>5917</v>
      </c>
      <c r="X277" s="1" t="s">
        <v>5918</v>
      </c>
      <c r="Y277" s="1" t="s">
        <v>5919</v>
      </c>
      <c r="Z277" s="1">
        <v>47.0</v>
      </c>
      <c r="AA277" s="1">
        <v>8.0</v>
      </c>
      <c r="AB277" s="1">
        <v>8.0</v>
      </c>
      <c r="AC277" s="1">
        <v>6.0</v>
      </c>
      <c r="AD277" s="1">
        <v>21.0</v>
      </c>
      <c r="AE277" s="1" t="s">
        <v>247</v>
      </c>
      <c r="AF277" s="1" t="s">
        <v>248</v>
      </c>
      <c r="AG277" s="1" t="s">
        <v>351</v>
      </c>
      <c r="AH277" s="1" t="s">
        <v>68</v>
      </c>
      <c r="AI277" s="1" t="s">
        <v>2007</v>
      </c>
      <c r="AJ277" s="1" t="s">
        <v>68</v>
      </c>
      <c r="AK277" s="1" t="s">
        <v>2008</v>
      </c>
      <c r="AL277" s="1" t="s">
        <v>2009</v>
      </c>
      <c r="AM277" s="1" t="s">
        <v>3782</v>
      </c>
      <c r="AN277" s="1">
        <v>2024.0</v>
      </c>
      <c r="AO277" s="1">
        <v>16.0</v>
      </c>
      <c r="AP277" s="1">
        <v>12.0</v>
      </c>
      <c r="AQ277" s="1" t="s">
        <v>68</v>
      </c>
      <c r="AR277" s="1" t="s">
        <v>68</v>
      </c>
      <c r="AS277" s="1" t="s">
        <v>68</v>
      </c>
      <c r="AT277" s="1" t="s">
        <v>68</v>
      </c>
      <c r="AU277" s="1" t="s">
        <v>68</v>
      </c>
      <c r="AV277" s="1" t="s">
        <v>68</v>
      </c>
      <c r="AW277" s="1">
        <v>5040.0</v>
      </c>
      <c r="AX277" s="1" t="s">
        <v>5920</v>
      </c>
      <c r="AY277" s="3" t="str">
        <f>HYPERLINK("http://dx.doi.org/10.3390/su16125040","http://dx.doi.org/10.3390/su16125040")</f>
        <v>http://dx.doi.org/10.3390/su16125040</v>
      </c>
      <c r="AZ277" s="1" t="s">
        <v>68</v>
      </c>
      <c r="BA277" s="1" t="s">
        <v>68</v>
      </c>
      <c r="BB277" s="1">
        <v>15.0</v>
      </c>
      <c r="BC277" s="1" t="s">
        <v>1052</v>
      </c>
      <c r="BD277" s="1" t="s">
        <v>279</v>
      </c>
      <c r="BE277" s="1" t="s">
        <v>1053</v>
      </c>
      <c r="BF277" s="1" t="s">
        <v>5921</v>
      </c>
      <c r="BG277" s="1" t="s">
        <v>68</v>
      </c>
      <c r="BH277" s="1" t="s">
        <v>462</v>
      </c>
      <c r="BI277" s="1" t="s">
        <v>68</v>
      </c>
      <c r="BJ277" s="1" t="s">
        <v>68</v>
      </c>
      <c r="BK277" s="1" t="s">
        <v>95</v>
      </c>
      <c r="BL277" s="1" t="s">
        <v>5922</v>
      </c>
      <c r="BM277" s="1" t="str">
        <f>HYPERLINK("https%3A%2F%2Fwww.webofscience.com%2Fwos%2Fwoscc%2Ffull-record%2FWOS:001255788400001","View Full Record in Web of Science")</f>
        <v>View Full Record in Web of Science</v>
      </c>
    </row>
    <row r="278" ht="12.75" customHeight="1">
      <c r="A278" s="1" t="s">
        <v>65</v>
      </c>
      <c r="B278" s="1" t="s">
        <v>5923</v>
      </c>
      <c r="C278" s="1" t="s">
        <v>5924</v>
      </c>
      <c r="D278" s="1" t="s">
        <v>68</v>
      </c>
      <c r="E278" s="1" t="s">
        <v>5925</v>
      </c>
      <c r="F278" s="1" t="s">
        <v>5926</v>
      </c>
      <c r="G278" s="1" t="s">
        <v>68</v>
      </c>
      <c r="H278" s="1" t="s">
        <v>71</v>
      </c>
      <c r="I278" s="1" t="s">
        <v>72</v>
      </c>
      <c r="J278" s="1" t="s">
        <v>68</v>
      </c>
      <c r="K278" s="1" t="s">
        <v>68</v>
      </c>
      <c r="L278" s="1" t="s">
        <v>68</v>
      </c>
      <c r="M278" s="1" t="s">
        <v>68</v>
      </c>
      <c r="N278" s="1" t="s">
        <v>5927</v>
      </c>
      <c r="O278" s="1" t="s">
        <v>5928</v>
      </c>
      <c r="P278" s="1" t="s">
        <v>5929</v>
      </c>
      <c r="Q278" s="1" t="s">
        <v>5930</v>
      </c>
      <c r="R278" s="1" t="s">
        <v>5931</v>
      </c>
      <c r="S278" s="1" t="s">
        <v>5932</v>
      </c>
      <c r="T278" s="1" t="s">
        <v>5933</v>
      </c>
      <c r="U278" s="1" t="s">
        <v>5934</v>
      </c>
      <c r="V278" s="1" t="s">
        <v>68</v>
      </c>
      <c r="W278" s="1" t="s">
        <v>68</v>
      </c>
      <c r="X278" s="1" t="s">
        <v>68</v>
      </c>
      <c r="Y278" s="1" t="s">
        <v>68</v>
      </c>
      <c r="Z278" s="1">
        <v>39.0</v>
      </c>
      <c r="AA278" s="1">
        <v>3.0</v>
      </c>
      <c r="AB278" s="1">
        <v>3.0</v>
      </c>
      <c r="AC278" s="1">
        <v>1.0</v>
      </c>
      <c r="AD278" s="1">
        <v>12.0</v>
      </c>
      <c r="AE278" s="1" t="s">
        <v>503</v>
      </c>
      <c r="AF278" s="1" t="s">
        <v>504</v>
      </c>
      <c r="AG278" s="1" t="s">
        <v>505</v>
      </c>
      <c r="AH278" s="1" t="s">
        <v>5935</v>
      </c>
      <c r="AI278" s="1" t="s">
        <v>5936</v>
      </c>
      <c r="AJ278" s="1" t="s">
        <v>68</v>
      </c>
      <c r="AK278" s="1" t="s">
        <v>5937</v>
      </c>
      <c r="AL278" s="1" t="s">
        <v>5938</v>
      </c>
      <c r="AM278" s="1" t="s">
        <v>1264</v>
      </c>
      <c r="AN278" s="1">
        <v>2020.0</v>
      </c>
      <c r="AO278" s="1">
        <v>35.0</v>
      </c>
      <c r="AP278" s="1">
        <v>6.0</v>
      </c>
      <c r="AQ278" s="1" t="s">
        <v>68</v>
      </c>
      <c r="AR278" s="1" t="s">
        <v>68</v>
      </c>
      <c r="AS278" s="1" t="s">
        <v>563</v>
      </c>
      <c r="AT278" s="1" t="s">
        <v>68</v>
      </c>
      <c r="AU278" s="1">
        <v>1087.0</v>
      </c>
      <c r="AV278" s="1">
        <v>1094.0</v>
      </c>
      <c r="AW278" s="1" t="s">
        <v>68</v>
      </c>
      <c r="AX278" s="1" t="s">
        <v>5939</v>
      </c>
      <c r="AY278" s="3" t="str">
        <f>HYPERLINK("http://dx.doi.org/10.1111/1440-1703.12161","http://dx.doi.org/10.1111/1440-1703.12161")</f>
        <v>http://dx.doi.org/10.1111/1440-1703.12161</v>
      </c>
      <c r="AZ278" s="1" t="s">
        <v>68</v>
      </c>
      <c r="BA278" s="1" t="s">
        <v>5940</v>
      </c>
      <c r="BB278" s="1">
        <v>8.0</v>
      </c>
      <c r="BC278" s="1" t="s">
        <v>332</v>
      </c>
      <c r="BD278" s="1" t="s">
        <v>92</v>
      </c>
      <c r="BE278" s="1" t="s">
        <v>333</v>
      </c>
      <c r="BF278" s="1" t="s">
        <v>5941</v>
      </c>
      <c r="BG278" s="1" t="s">
        <v>68</v>
      </c>
      <c r="BH278" s="1" t="s">
        <v>867</v>
      </c>
      <c r="BI278" s="1" t="s">
        <v>68</v>
      </c>
      <c r="BJ278" s="1" t="s">
        <v>68</v>
      </c>
      <c r="BK278" s="1" t="s">
        <v>95</v>
      </c>
      <c r="BL278" s="1" t="s">
        <v>5942</v>
      </c>
      <c r="BM278" s="1" t="str">
        <f>HYPERLINK("https%3A%2F%2Fwww.webofscience.com%2Fwos%2Fwoscc%2Ffull-record%2FWOS:000564414700001","View Full Record in Web of Science")</f>
        <v>View Full Record in Web of Science</v>
      </c>
    </row>
    <row r="279" ht="12.75" customHeight="1">
      <c r="A279" s="1" t="s">
        <v>65</v>
      </c>
      <c r="B279" s="1" t="s">
        <v>5943</v>
      </c>
      <c r="C279" s="1" t="s">
        <v>5944</v>
      </c>
      <c r="D279" s="1" t="s">
        <v>68</v>
      </c>
      <c r="E279" s="1" t="s">
        <v>5945</v>
      </c>
      <c r="F279" s="1" t="s">
        <v>5946</v>
      </c>
      <c r="G279" s="1" t="s">
        <v>68</v>
      </c>
      <c r="H279" s="1" t="s">
        <v>71</v>
      </c>
      <c r="I279" s="1" t="s">
        <v>72</v>
      </c>
      <c r="J279" s="1" t="s">
        <v>68</v>
      </c>
      <c r="K279" s="1" t="s">
        <v>68</v>
      </c>
      <c r="L279" s="1" t="s">
        <v>68</v>
      </c>
      <c r="M279" s="1" t="s">
        <v>68</v>
      </c>
      <c r="N279" s="1" t="s">
        <v>5947</v>
      </c>
      <c r="O279" s="1" t="s">
        <v>5948</v>
      </c>
      <c r="P279" s="1" t="s">
        <v>5949</v>
      </c>
      <c r="Q279" s="1" t="s">
        <v>5950</v>
      </c>
      <c r="R279" s="1" t="s">
        <v>5951</v>
      </c>
      <c r="S279" s="1" t="s">
        <v>5952</v>
      </c>
      <c r="T279" s="1" t="s">
        <v>5953</v>
      </c>
      <c r="U279" s="1" t="s">
        <v>5954</v>
      </c>
      <c r="V279" s="1" t="s">
        <v>5955</v>
      </c>
      <c r="W279" s="1" t="s">
        <v>5956</v>
      </c>
      <c r="X279" s="1" t="s">
        <v>5957</v>
      </c>
      <c r="Y279" s="1" t="s">
        <v>5958</v>
      </c>
      <c r="Z279" s="1">
        <v>52.0</v>
      </c>
      <c r="AA279" s="1">
        <v>1.0</v>
      </c>
      <c r="AB279" s="1">
        <v>1.0</v>
      </c>
      <c r="AC279" s="1">
        <v>7.0</v>
      </c>
      <c r="AD279" s="1">
        <v>9.0</v>
      </c>
      <c r="AE279" s="1" t="s">
        <v>2239</v>
      </c>
      <c r="AF279" s="1" t="s">
        <v>2240</v>
      </c>
      <c r="AG279" s="1" t="s">
        <v>2241</v>
      </c>
      <c r="AH279" s="1" t="s">
        <v>5959</v>
      </c>
      <c r="AI279" s="1" t="s">
        <v>5960</v>
      </c>
      <c r="AJ279" s="1" t="s">
        <v>68</v>
      </c>
      <c r="AK279" s="1" t="s">
        <v>5961</v>
      </c>
      <c r="AL279" s="1" t="s">
        <v>5962</v>
      </c>
      <c r="AM279" s="1" t="s">
        <v>5902</v>
      </c>
      <c r="AN279" s="1">
        <v>2025.0</v>
      </c>
      <c r="AO279" s="1">
        <v>13.0</v>
      </c>
      <c r="AP279" s="1" t="s">
        <v>68</v>
      </c>
      <c r="AQ279" s="1" t="s">
        <v>68</v>
      </c>
      <c r="AR279" s="1" t="s">
        <v>68</v>
      </c>
      <c r="AS279" s="1" t="s">
        <v>68</v>
      </c>
      <c r="AT279" s="1" t="s">
        <v>68</v>
      </c>
      <c r="AU279" s="1" t="s">
        <v>68</v>
      </c>
      <c r="AV279" s="1" t="s">
        <v>68</v>
      </c>
      <c r="AW279" s="1" t="s">
        <v>5963</v>
      </c>
      <c r="AX279" s="1" t="s">
        <v>5964</v>
      </c>
      <c r="AY279" s="3" t="str">
        <f>HYPERLINK("http://dx.doi.org/10.3897/BDJ.13.e153402","http://dx.doi.org/10.3897/BDJ.13.e153402")</f>
        <v>http://dx.doi.org/10.3897/BDJ.13.e153402</v>
      </c>
      <c r="AZ279" s="1" t="s">
        <v>68</v>
      </c>
      <c r="BA279" s="1" t="s">
        <v>68</v>
      </c>
      <c r="BB279" s="1">
        <v>15.0</v>
      </c>
      <c r="BC279" s="1" t="s">
        <v>1171</v>
      </c>
      <c r="BD279" s="1" t="s">
        <v>92</v>
      </c>
      <c r="BE279" s="1" t="s">
        <v>1172</v>
      </c>
      <c r="BF279" s="1" t="s">
        <v>5965</v>
      </c>
      <c r="BG279" s="1">
        <v>4.0547933E7</v>
      </c>
      <c r="BH279" s="1" t="s">
        <v>1767</v>
      </c>
      <c r="BI279" s="1" t="s">
        <v>68</v>
      </c>
      <c r="BJ279" s="1" t="s">
        <v>68</v>
      </c>
      <c r="BK279" s="1" t="s">
        <v>95</v>
      </c>
      <c r="BL279" s="1" t="s">
        <v>5966</v>
      </c>
      <c r="BM279" s="1" t="str">
        <f>HYPERLINK("https%3A%2F%2Fwww.webofscience.com%2Fwos%2Fwoscc%2Ffull-record%2FWOS:001513195000001","View Full Record in Web of Science")</f>
        <v>View Full Record in Web of Science</v>
      </c>
    </row>
    <row r="280" ht="12.75" customHeight="1">
      <c r="A280" s="1" t="s">
        <v>65</v>
      </c>
      <c r="B280" s="1" t="s">
        <v>5967</v>
      </c>
      <c r="C280" s="1" t="s">
        <v>5968</v>
      </c>
      <c r="D280" s="1" t="s">
        <v>68</v>
      </c>
      <c r="E280" s="1" t="s">
        <v>5969</v>
      </c>
      <c r="F280" s="1" t="s">
        <v>5970</v>
      </c>
      <c r="G280" s="1" t="s">
        <v>68</v>
      </c>
      <c r="H280" s="1" t="s">
        <v>71</v>
      </c>
      <c r="I280" s="1" t="s">
        <v>72</v>
      </c>
      <c r="J280" s="1" t="s">
        <v>68</v>
      </c>
      <c r="K280" s="1" t="s">
        <v>68</v>
      </c>
      <c r="L280" s="1" t="s">
        <v>68</v>
      </c>
      <c r="M280" s="1" t="s">
        <v>68</v>
      </c>
      <c r="N280" s="1" t="s">
        <v>5971</v>
      </c>
      <c r="O280" s="1" t="s">
        <v>5972</v>
      </c>
      <c r="P280" s="1" t="s">
        <v>5973</v>
      </c>
      <c r="Q280" s="1" t="s">
        <v>5974</v>
      </c>
      <c r="R280" s="1" t="s">
        <v>5975</v>
      </c>
      <c r="S280" s="1" t="s">
        <v>5976</v>
      </c>
      <c r="T280" s="1" t="s">
        <v>5977</v>
      </c>
      <c r="U280" s="1" t="s">
        <v>5978</v>
      </c>
      <c r="V280" s="1" t="s">
        <v>5979</v>
      </c>
      <c r="W280" s="1" t="s">
        <v>5980</v>
      </c>
      <c r="X280" s="1" t="s">
        <v>5981</v>
      </c>
      <c r="Y280" s="1" t="s">
        <v>5982</v>
      </c>
      <c r="Z280" s="1">
        <v>63.0</v>
      </c>
      <c r="AA280" s="1">
        <v>1.0</v>
      </c>
      <c r="AB280" s="1">
        <v>1.0</v>
      </c>
      <c r="AC280" s="1">
        <v>1.0</v>
      </c>
      <c r="AD280" s="1">
        <v>1.0</v>
      </c>
      <c r="AE280" s="1" t="s">
        <v>422</v>
      </c>
      <c r="AF280" s="1" t="s">
        <v>423</v>
      </c>
      <c r="AG280" s="1" t="s">
        <v>424</v>
      </c>
      <c r="AH280" s="1" t="s">
        <v>5983</v>
      </c>
      <c r="AI280" s="1" t="s">
        <v>5984</v>
      </c>
      <c r="AJ280" s="1" t="s">
        <v>68</v>
      </c>
      <c r="AK280" s="1" t="s">
        <v>5985</v>
      </c>
      <c r="AL280" s="1" t="s">
        <v>5986</v>
      </c>
      <c r="AM280" s="1" t="s">
        <v>68</v>
      </c>
      <c r="AN280" s="1">
        <v>2025.0</v>
      </c>
      <c r="AO280" s="1">
        <v>372.0</v>
      </c>
      <c r="AP280" s="1" t="s">
        <v>68</v>
      </c>
      <c r="AQ280" s="1" t="s">
        <v>68</v>
      </c>
      <c r="AR280" s="1" t="s">
        <v>68</v>
      </c>
      <c r="AS280" s="1" t="s">
        <v>68</v>
      </c>
      <c r="AT280" s="1" t="s">
        <v>68</v>
      </c>
      <c r="AU280" s="1" t="s">
        <v>68</v>
      </c>
      <c r="AV280" s="1" t="s">
        <v>68</v>
      </c>
      <c r="AW280" s="1" t="s">
        <v>5987</v>
      </c>
      <c r="AX280" s="1" t="s">
        <v>5988</v>
      </c>
      <c r="AY280" s="3" t="str">
        <f>HYPERLINK("http://dx.doi.org/10.1093/femsle/fnaf061","http://dx.doi.org/10.1093/femsle/fnaf061")</f>
        <v>http://dx.doi.org/10.1093/femsle/fnaf061</v>
      </c>
      <c r="AZ280" s="1" t="s">
        <v>68</v>
      </c>
      <c r="BA280" s="1" t="s">
        <v>68</v>
      </c>
      <c r="BB280" s="1">
        <v>8.0</v>
      </c>
      <c r="BC280" s="1" t="s">
        <v>406</v>
      </c>
      <c r="BD280" s="1" t="s">
        <v>92</v>
      </c>
      <c r="BE280" s="1" t="s">
        <v>406</v>
      </c>
      <c r="BF280" s="1" t="s">
        <v>5989</v>
      </c>
      <c r="BG280" s="1">
        <v>4.0512524E7</v>
      </c>
      <c r="BH280" s="1" t="s">
        <v>68</v>
      </c>
      <c r="BI280" s="1" t="s">
        <v>68</v>
      </c>
      <c r="BJ280" s="1" t="s">
        <v>68</v>
      </c>
      <c r="BK280" s="1" t="s">
        <v>95</v>
      </c>
      <c r="BL280" s="1" t="s">
        <v>5990</v>
      </c>
      <c r="BM280" s="1" t="str">
        <f>HYPERLINK("https%3A%2F%2Fwww.webofscience.com%2Fwos%2Fwoscc%2Ffull-record%2FWOS:001516963500001","View Full Record in Web of Science")</f>
        <v>View Full Record in Web of Science</v>
      </c>
    </row>
    <row r="281" ht="12.75" customHeight="1">
      <c r="A281" s="1" t="s">
        <v>65</v>
      </c>
      <c r="B281" s="1" t="s">
        <v>5991</v>
      </c>
      <c r="C281" s="1" t="s">
        <v>5992</v>
      </c>
      <c r="D281" s="1" t="s">
        <v>68</v>
      </c>
      <c r="E281" s="1" t="s">
        <v>5993</v>
      </c>
      <c r="F281" s="1" t="s">
        <v>1518</v>
      </c>
      <c r="G281" s="1" t="s">
        <v>68</v>
      </c>
      <c r="H281" s="1" t="s">
        <v>71</v>
      </c>
      <c r="I281" s="1" t="s">
        <v>72</v>
      </c>
      <c r="J281" s="1" t="s">
        <v>68</v>
      </c>
      <c r="K281" s="1" t="s">
        <v>68</v>
      </c>
      <c r="L281" s="1" t="s">
        <v>68</v>
      </c>
      <c r="M281" s="1" t="s">
        <v>68</v>
      </c>
      <c r="N281" s="1" t="s">
        <v>5994</v>
      </c>
      <c r="O281" s="1" t="s">
        <v>5995</v>
      </c>
      <c r="P281" s="1" t="s">
        <v>5996</v>
      </c>
      <c r="Q281" s="1" t="s">
        <v>5997</v>
      </c>
      <c r="R281" s="1" t="s">
        <v>5998</v>
      </c>
      <c r="S281" s="1" t="s">
        <v>5999</v>
      </c>
      <c r="T281" s="1" t="s">
        <v>6000</v>
      </c>
      <c r="U281" s="1" t="s">
        <v>68</v>
      </c>
      <c r="V281" s="1" t="s">
        <v>6001</v>
      </c>
      <c r="W281" s="1" t="s">
        <v>68</v>
      </c>
      <c r="X281" s="1" t="s">
        <v>68</v>
      </c>
      <c r="Y281" s="1" t="s">
        <v>68</v>
      </c>
      <c r="Z281" s="1">
        <v>39.0</v>
      </c>
      <c r="AA281" s="1">
        <v>5.0</v>
      </c>
      <c r="AB281" s="1">
        <v>5.0</v>
      </c>
      <c r="AC281" s="1">
        <v>3.0</v>
      </c>
      <c r="AD281" s="1">
        <v>3.0</v>
      </c>
      <c r="AE281" s="1" t="s">
        <v>1527</v>
      </c>
      <c r="AF281" s="1" t="s">
        <v>663</v>
      </c>
      <c r="AG281" s="1" t="s">
        <v>1528</v>
      </c>
      <c r="AH281" s="1" t="s">
        <v>1529</v>
      </c>
      <c r="AI281" s="1" t="s">
        <v>68</v>
      </c>
      <c r="AJ281" s="1" t="s">
        <v>68</v>
      </c>
      <c r="AK281" s="1" t="s">
        <v>1530</v>
      </c>
      <c r="AL281" s="1" t="s">
        <v>1531</v>
      </c>
      <c r="AM281" s="1" t="s">
        <v>68</v>
      </c>
      <c r="AN281" s="1">
        <v>2023.0</v>
      </c>
      <c r="AO281" s="1">
        <v>8.0</v>
      </c>
      <c r="AP281" s="1">
        <v>1.0</v>
      </c>
      <c r="AQ281" s="1" t="s">
        <v>68</v>
      </c>
      <c r="AR281" s="1" t="s">
        <v>68</v>
      </c>
      <c r="AS281" s="1" t="s">
        <v>68</v>
      </c>
      <c r="AT281" s="1" t="s">
        <v>68</v>
      </c>
      <c r="AU281" s="1" t="s">
        <v>68</v>
      </c>
      <c r="AV281" s="1" t="s">
        <v>68</v>
      </c>
      <c r="AW281" s="1">
        <v>585.0</v>
      </c>
      <c r="AX281" s="1" t="s">
        <v>6002</v>
      </c>
      <c r="AY281" s="3" t="str">
        <f>HYPERLINK("http://dx.doi.org/10.5334/cstp.585","http://dx.doi.org/10.5334/cstp.585")</f>
        <v>http://dx.doi.org/10.5334/cstp.585</v>
      </c>
      <c r="AZ281" s="1" t="s">
        <v>68</v>
      </c>
      <c r="BA281" s="1" t="s">
        <v>68</v>
      </c>
      <c r="BB281" s="1">
        <v>12.0</v>
      </c>
      <c r="BC281" s="1" t="s">
        <v>1533</v>
      </c>
      <c r="BD281" s="1" t="s">
        <v>197</v>
      </c>
      <c r="BE281" s="1" t="s">
        <v>1534</v>
      </c>
      <c r="BF281" s="1" t="s">
        <v>6003</v>
      </c>
      <c r="BG281" s="1" t="s">
        <v>68</v>
      </c>
      <c r="BH281" s="1" t="s">
        <v>94</v>
      </c>
      <c r="BI281" s="1" t="s">
        <v>68</v>
      </c>
      <c r="BJ281" s="1" t="s">
        <v>68</v>
      </c>
      <c r="BK281" s="1" t="s">
        <v>95</v>
      </c>
      <c r="BL281" s="1" t="s">
        <v>6004</v>
      </c>
      <c r="BM281" s="1" t="str">
        <f>HYPERLINK("https%3A%2F%2Fwww.webofscience.com%2Fwos%2Fwoscc%2Ffull-record%2FWOS:001562171400007","View Full Record in Web of Science")</f>
        <v>View Full Record in Web of Science</v>
      </c>
    </row>
    <row r="282" ht="12.75" customHeight="1">
      <c r="A282" s="1" t="s">
        <v>65</v>
      </c>
      <c r="B282" s="1" t="s">
        <v>6005</v>
      </c>
      <c r="C282" s="1" t="s">
        <v>6006</v>
      </c>
      <c r="D282" s="1" t="s">
        <v>68</v>
      </c>
      <c r="E282" s="1" t="s">
        <v>6007</v>
      </c>
      <c r="F282" s="1" t="s">
        <v>6008</v>
      </c>
      <c r="G282" s="1" t="s">
        <v>68</v>
      </c>
      <c r="H282" s="1" t="s">
        <v>71</v>
      </c>
      <c r="I282" s="1" t="s">
        <v>1609</v>
      </c>
      <c r="J282" s="1" t="s">
        <v>68</v>
      </c>
      <c r="K282" s="1" t="s">
        <v>68</v>
      </c>
      <c r="L282" s="1" t="s">
        <v>68</v>
      </c>
      <c r="M282" s="1" t="s">
        <v>68</v>
      </c>
      <c r="N282" s="1" t="s">
        <v>6009</v>
      </c>
      <c r="O282" s="1" t="s">
        <v>1061</v>
      </c>
      <c r="P282" s="1" t="s">
        <v>6010</v>
      </c>
      <c r="Q282" s="1" t="s">
        <v>6011</v>
      </c>
      <c r="R282" s="1" t="s">
        <v>6012</v>
      </c>
      <c r="S282" s="1" t="s">
        <v>6013</v>
      </c>
      <c r="T282" s="1" t="s">
        <v>6014</v>
      </c>
      <c r="U282" s="1" t="s">
        <v>6015</v>
      </c>
      <c r="V282" s="1" t="s">
        <v>6016</v>
      </c>
      <c r="W282" s="1" t="s">
        <v>6017</v>
      </c>
      <c r="X282" s="1" t="s">
        <v>6017</v>
      </c>
      <c r="Y282" s="1" t="s">
        <v>6018</v>
      </c>
      <c r="Z282" s="1">
        <v>55.0</v>
      </c>
      <c r="AA282" s="1">
        <v>0.0</v>
      </c>
      <c r="AB282" s="1">
        <v>0.0</v>
      </c>
      <c r="AC282" s="1">
        <v>0.0</v>
      </c>
      <c r="AD282" s="1">
        <v>0.0</v>
      </c>
      <c r="AE282" s="1" t="s">
        <v>218</v>
      </c>
      <c r="AF282" s="1" t="s">
        <v>219</v>
      </c>
      <c r="AG282" s="1" t="s">
        <v>220</v>
      </c>
      <c r="AH282" s="1" t="s">
        <v>6019</v>
      </c>
      <c r="AI282" s="1" t="s">
        <v>6020</v>
      </c>
      <c r="AJ282" s="1" t="s">
        <v>68</v>
      </c>
      <c r="AK282" s="1" t="s">
        <v>6021</v>
      </c>
      <c r="AL282" s="1" t="s">
        <v>6022</v>
      </c>
      <c r="AM282" s="1" t="s">
        <v>6023</v>
      </c>
      <c r="AN282" s="1">
        <v>2025.0</v>
      </c>
      <c r="AO282" s="1" t="s">
        <v>68</v>
      </c>
      <c r="AP282" s="1" t="s">
        <v>68</v>
      </c>
      <c r="AQ282" s="1" t="s">
        <v>68</v>
      </c>
      <c r="AR282" s="1" t="s">
        <v>68</v>
      </c>
      <c r="AS282" s="1" t="s">
        <v>68</v>
      </c>
      <c r="AT282" s="1" t="s">
        <v>68</v>
      </c>
      <c r="AU282" s="1" t="s">
        <v>68</v>
      </c>
      <c r="AV282" s="1" t="s">
        <v>68</v>
      </c>
      <c r="AW282" s="1" t="s">
        <v>68</v>
      </c>
      <c r="AX282" s="1" t="s">
        <v>6024</v>
      </c>
      <c r="AY282" s="3" t="str">
        <f>HYPERLINK("http://dx.doi.org/10.1007/s41748-025-00920-8","http://dx.doi.org/10.1007/s41748-025-00920-8")</f>
        <v>http://dx.doi.org/10.1007/s41748-025-00920-8</v>
      </c>
      <c r="AZ282" s="1" t="s">
        <v>68</v>
      </c>
      <c r="BA282" s="1" t="s">
        <v>4461</v>
      </c>
      <c r="BB282" s="1">
        <v>16.0</v>
      </c>
      <c r="BC282" s="1" t="s">
        <v>6025</v>
      </c>
      <c r="BD282" s="1" t="s">
        <v>197</v>
      </c>
      <c r="BE282" s="1" t="s">
        <v>6026</v>
      </c>
      <c r="BF282" s="1" t="s">
        <v>6027</v>
      </c>
      <c r="BG282" s="1" t="s">
        <v>68</v>
      </c>
      <c r="BH282" s="1" t="s">
        <v>68</v>
      </c>
      <c r="BI282" s="1" t="s">
        <v>68</v>
      </c>
      <c r="BJ282" s="1" t="s">
        <v>68</v>
      </c>
      <c r="BK282" s="1" t="s">
        <v>95</v>
      </c>
      <c r="BL282" s="1" t="s">
        <v>6028</v>
      </c>
      <c r="BM282" s="1" t="str">
        <f>HYPERLINK("https%3A%2F%2Fwww.webofscience.com%2Fwos%2Fwoscc%2Ffull-record%2FWOS:001611003000001","View Full Record in Web of Science")</f>
        <v>View Full Record in Web of Science</v>
      </c>
    </row>
    <row r="283" ht="12.75" customHeight="1">
      <c r="A283" s="1" t="s">
        <v>65</v>
      </c>
      <c r="B283" s="1" t="s">
        <v>6029</v>
      </c>
      <c r="C283" s="1" t="s">
        <v>6030</v>
      </c>
      <c r="D283" s="1" t="s">
        <v>68</v>
      </c>
      <c r="E283" s="1" t="s">
        <v>6031</v>
      </c>
      <c r="F283" s="1" t="s">
        <v>6032</v>
      </c>
      <c r="G283" s="1" t="s">
        <v>68</v>
      </c>
      <c r="H283" s="1" t="s">
        <v>71</v>
      </c>
      <c r="I283" s="1" t="s">
        <v>72</v>
      </c>
      <c r="J283" s="1" t="s">
        <v>68</v>
      </c>
      <c r="K283" s="1" t="s">
        <v>68</v>
      </c>
      <c r="L283" s="1" t="s">
        <v>68</v>
      </c>
      <c r="M283" s="1" t="s">
        <v>68</v>
      </c>
      <c r="N283" s="1" t="s">
        <v>6033</v>
      </c>
      <c r="O283" s="1" t="s">
        <v>6034</v>
      </c>
      <c r="P283" s="1" t="s">
        <v>6035</v>
      </c>
      <c r="Q283" s="1" t="s">
        <v>6036</v>
      </c>
      <c r="R283" s="1" t="s">
        <v>6037</v>
      </c>
      <c r="S283" s="1" t="s">
        <v>6038</v>
      </c>
      <c r="T283" s="1" t="s">
        <v>6039</v>
      </c>
      <c r="U283" s="1" t="s">
        <v>6040</v>
      </c>
      <c r="V283" s="1" t="s">
        <v>6041</v>
      </c>
      <c r="W283" s="1" t="s">
        <v>6042</v>
      </c>
      <c r="X283" s="1" t="s">
        <v>6043</v>
      </c>
      <c r="Y283" s="1" t="s">
        <v>6044</v>
      </c>
      <c r="Z283" s="1">
        <v>89.0</v>
      </c>
      <c r="AA283" s="1">
        <v>1.0</v>
      </c>
      <c r="AB283" s="1">
        <v>1.0</v>
      </c>
      <c r="AC283" s="1">
        <v>8.0</v>
      </c>
      <c r="AD283" s="1">
        <v>8.0</v>
      </c>
      <c r="AE283" s="1" t="s">
        <v>114</v>
      </c>
      <c r="AF283" s="1" t="s">
        <v>115</v>
      </c>
      <c r="AG283" s="1" t="s">
        <v>2993</v>
      </c>
      <c r="AH283" s="1" t="s">
        <v>6045</v>
      </c>
      <c r="AI283" s="1" t="s">
        <v>6046</v>
      </c>
      <c r="AJ283" s="1" t="s">
        <v>68</v>
      </c>
      <c r="AK283" s="1" t="s">
        <v>6047</v>
      </c>
      <c r="AL283" s="1" t="s">
        <v>6048</v>
      </c>
      <c r="AM283" s="1" t="s">
        <v>428</v>
      </c>
      <c r="AN283" s="1">
        <v>2025.0</v>
      </c>
      <c r="AO283" s="1">
        <v>75.0</v>
      </c>
      <c r="AP283" s="1">
        <v>10.0</v>
      </c>
      <c r="AQ283" s="1" t="s">
        <v>68</v>
      </c>
      <c r="AR283" s="1" t="s">
        <v>68</v>
      </c>
      <c r="AS283" s="1" t="s">
        <v>68</v>
      </c>
      <c r="AT283" s="1" t="s">
        <v>68</v>
      </c>
      <c r="AU283" s="1">
        <v>2583.0</v>
      </c>
      <c r="AV283" s="1">
        <v>2595.0</v>
      </c>
      <c r="AW283" s="1" t="s">
        <v>68</v>
      </c>
      <c r="AX283" s="1" t="s">
        <v>6049</v>
      </c>
      <c r="AY283" s="3" t="str">
        <f>HYPERLINK("http://dx.doi.org/10.1007/s00267-025-02261-8","http://dx.doi.org/10.1007/s00267-025-02261-8")</f>
        <v>http://dx.doi.org/10.1007/s00267-025-02261-8</v>
      </c>
      <c r="AZ283" s="1" t="s">
        <v>68</v>
      </c>
      <c r="BA283" s="1" t="s">
        <v>5221</v>
      </c>
      <c r="BB283" s="1">
        <v>13.0</v>
      </c>
      <c r="BC283" s="1" t="s">
        <v>484</v>
      </c>
      <c r="BD283" s="1" t="s">
        <v>92</v>
      </c>
      <c r="BE283" s="1" t="s">
        <v>333</v>
      </c>
      <c r="BF283" s="1" t="s">
        <v>6050</v>
      </c>
      <c r="BG283" s="1">
        <v>4.0817973E7</v>
      </c>
      <c r="BH283" s="1" t="s">
        <v>229</v>
      </c>
      <c r="BI283" s="1" t="s">
        <v>68</v>
      </c>
      <c r="BJ283" s="1" t="s">
        <v>68</v>
      </c>
      <c r="BK283" s="1" t="s">
        <v>95</v>
      </c>
      <c r="BL283" s="1" t="s">
        <v>6051</v>
      </c>
      <c r="BM283" s="1" t="str">
        <f>HYPERLINK("https%3A%2F%2Fwww.webofscience.com%2Fwos%2Fwoscc%2Ffull-record%2FWOS:001550548000001","View Full Record in Web of Science")</f>
        <v>View Full Record in Web of Science</v>
      </c>
    </row>
    <row r="284" ht="12.75" customHeight="1">
      <c r="A284" s="1" t="s">
        <v>65</v>
      </c>
      <c r="B284" s="1" t="s">
        <v>6052</v>
      </c>
      <c r="C284" s="1" t="s">
        <v>6053</v>
      </c>
      <c r="D284" s="1" t="s">
        <v>68</v>
      </c>
      <c r="E284" s="1" t="s">
        <v>6054</v>
      </c>
      <c r="F284" s="1" t="s">
        <v>2089</v>
      </c>
      <c r="G284" s="1" t="s">
        <v>68</v>
      </c>
      <c r="H284" s="1" t="s">
        <v>71</v>
      </c>
      <c r="I284" s="1" t="s">
        <v>919</v>
      </c>
      <c r="J284" s="1" t="s">
        <v>6055</v>
      </c>
      <c r="K284" s="1" t="s">
        <v>6056</v>
      </c>
      <c r="L284" s="1" t="s">
        <v>6057</v>
      </c>
      <c r="M284" s="1" t="s">
        <v>68</v>
      </c>
      <c r="N284" s="1" t="s">
        <v>6058</v>
      </c>
      <c r="O284" s="1" t="s">
        <v>6059</v>
      </c>
      <c r="P284" s="1" t="s">
        <v>6060</v>
      </c>
      <c r="Q284" s="1" t="s">
        <v>6061</v>
      </c>
      <c r="R284" s="1" t="s">
        <v>6062</v>
      </c>
      <c r="S284" s="1" t="s">
        <v>6063</v>
      </c>
      <c r="T284" s="1" t="s">
        <v>6064</v>
      </c>
      <c r="U284" s="1" t="s">
        <v>68</v>
      </c>
      <c r="V284" s="1" t="s">
        <v>68</v>
      </c>
      <c r="W284" s="1" t="s">
        <v>68</v>
      </c>
      <c r="X284" s="1" t="s">
        <v>68</v>
      </c>
      <c r="Y284" s="1" t="s">
        <v>68</v>
      </c>
      <c r="Z284" s="1">
        <v>28.0</v>
      </c>
      <c r="AA284" s="1">
        <v>25.0</v>
      </c>
      <c r="AB284" s="1">
        <v>38.0</v>
      </c>
      <c r="AC284" s="1">
        <v>1.0</v>
      </c>
      <c r="AD284" s="1">
        <v>35.0</v>
      </c>
      <c r="AE284" s="1" t="s">
        <v>114</v>
      </c>
      <c r="AF284" s="1" t="s">
        <v>1505</v>
      </c>
      <c r="AG284" s="1" t="s">
        <v>1506</v>
      </c>
      <c r="AH284" s="1" t="s">
        <v>2102</v>
      </c>
      <c r="AI284" s="1" t="s">
        <v>68</v>
      </c>
      <c r="AJ284" s="1" t="s">
        <v>68</v>
      </c>
      <c r="AK284" s="1" t="s">
        <v>2104</v>
      </c>
      <c r="AL284" s="1" t="s">
        <v>2105</v>
      </c>
      <c r="AM284" s="1" t="s">
        <v>1169</v>
      </c>
      <c r="AN284" s="1">
        <v>2011.0</v>
      </c>
      <c r="AO284" s="1">
        <v>174.0</v>
      </c>
      <c r="AP284" s="1" t="s">
        <v>3798</v>
      </c>
      <c r="AQ284" s="1" t="s">
        <v>68</v>
      </c>
      <c r="AR284" s="1" t="s">
        <v>68</v>
      </c>
      <c r="AS284" s="1" t="s">
        <v>68</v>
      </c>
      <c r="AT284" s="1" t="s">
        <v>68</v>
      </c>
      <c r="AU284" s="1">
        <v>625.0</v>
      </c>
      <c r="AV284" s="1">
        <v>633.0</v>
      </c>
      <c r="AW284" s="1" t="s">
        <v>68</v>
      </c>
      <c r="AX284" s="1" t="s">
        <v>6065</v>
      </c>
      <c r="AY284" s="3" t="str">
        <f>HYPERLINK("http://dx.doi.org/10.1007/s10661-010-1483-7","http://dx.doi.org/10.1007/s10661-010-1483-7")</f>
        <v>http://dx.doi.org/10.1007/s10661-010-1483-7</v>
      </c>
      <c r="AZ284" s="1" t="s">
        <v>68</v>
      </c>
      <c r="BA284" s="1" t="s">
        <v>68</v>
      </c>
      <c r="BB284" s="1">
        <v>9.0</v>
      </c>
      <c r="BC284" s="1" t="s">
        <v>484</v>
      </c>
      <c r="BD284" s="1" t="s">
        <v>934</v>
      </c>
      <c r="BE284" s="1" t="s">
        <v>333</v>
      </c>
      <c r="BF284" s="1" t="s">
        <v>6066</v>
      </c>
      <c r="BG284" s="1">
        <v>2.0454848E7</v>
      </c>
      <c r="BH284" s="1" t="s">
        <v>68</v>
      </c>
      <c r="BI284" s="1" t="s">
        <v>68</v>
      </c>
      <c r="BJ284" s="1" t="s">
        <v>68</v>
      </c>
      <c r="BK284" s="1" t="s">
        <v>95</v>
      </c>
      <c r="BL284" s="1" t="s">
        <v>6067</v>
      </c>
      <c r="BM284" s="1" t="str">
        <f>HYPERLINK("https%3A%2F%2Fwww.webofscience.com%2Fwos%2Fwoscc%2Ffull-record%2FWOS:000286830200047","View Full Record in Web of Science")</f>
        <v>View Full Record in Web of Science</v>
      </c>
    </row>
    <row r="285" ht="12.75" customHeight="1">
      <c r="A285" s="1" t="s">
        <v>65</v>
      </c>
      <c r="B285" s="1" t="s">
        <v>6068</v>
      </c>
      <c r="C285" s="1" t="s">
        <v>6069</v>
      </c>
      <c r="D285" s="1" t="s">
        <v>68</v>
      </c>
      <c r="E285" s="1" t="s">
        <v>6070</v>
      </c>
      <c r="F285" s="1" t="s">
        <v>6071</v>
      </c>
      <c r="G285" s="1" t="s">
        <v>68</v>
      </c>
      <c r="H285" s="1" t="s">
        <v>71</v>
      </c>
      <c r="I285" s="1" t="s">
        <v>72</v>
      </c>
      <c r="J285" s="1" t="s">
        <v>68</v>
      </c>
      <c r="K285" s="1" t="s">
        <v>68</v>
      </c>
      <c r="L285" s="1" t="s">
        <v>68</v>
      </c>
      <c r="M285" s="1" t="s">
        <v>68</v>
      </c>
      <c r="N285" s="1" t="s">
        <v>68</v>
      </c>
      <c r="O285" s="1" t="s">
        <v>6072</v>
      </c>
      <c r="P285" s="1" t="s">
        <v>6073</v>
      </c>
      <c r="Q285" s="1" t="s">
        <v>6074</v>
      </c>
      <c r="R285" s="1" t="s">
        <v>6075</v>
      </c>
      <c r="S285" s="1" t="s">
        <v>6076</v>
      </c>
      <c r="T285" s="1" t="s">
        <v>6077</v>
      </c>
      <c r="U285" s="1" t="s">
        <v>6078</v>
      </c>
      <c r="V285" s="1" t="s">
        <v>68</v>
      </c>
      <c r="W285" s="1" t="s">
        <v>68</v>
      </c>
      <c r="X285" s="1" t="s">
        <v>68</v>
      </c>
      <c r="Y285" s="1" t="s">
        <v>68</v>
      </c>
      <c r="Z285" s="1">
        <v>70.0</v>
      </c>
      <c r="AA285" s="1">
        <v>20.0</v>
      </c>
      <c r="AB285" s="1">
        <v>22.0</v>
      </c>
      <c r="AC285" s="1">
        <v>0.0</v>
      </c>
      <c r="AD285" s="1">
        <v>37.0</v>
      </c>
      <c r="AE285" s="1" t="s">
        <v>503</v>
      </c>
      <c r="AF285" s="1" t="s">
        <v>504</v>
      </c>
      <c r="AG285" s="1" t="s">
        <v>505</v>
      </c>
      <c r="AH285" s="1" t="s">
        <v>6079</v>
      </c>
      <c r="AI285" s="1" t="s">
        <v>68</v>
      </c>
      <c r="AJ285" s="1" t="s">
        <v>68</v>
      </c>
      <c r="AK285" s="1" t="s">
        <v>6080</v>
      </c>
      <c r="AL285" s="1" t="s">
        <v>6081</v>
      </c>
      <c r="AM285" s="1" t="s">
        <v>6082</v>
      </c>
      <c r="AN285" s="1">
        <v>2017.0</v>
      </c>
      <c r="AO285" s="1">
        <v>4.0</v>
      </c>
      <c r="AP285" s="1">
        <v>2.0</v>
      </c>
      <c r="AQ285" s="1" t="s">
        <v>68</v>
      </c>
      <c r="AR285" s="1" t="s">
        <v>68</v>
      </c>
      <c r="AS285" s="1" t="s">
        <v>68</v>
      </c>
      <c r="AT285" s="1" t="s">
        <v>68</v>
      </c>
      <c r="AU285" s="1" t="s">
        <v>68</v>
      </c>
      <c r="AV285" s="1" t="s">
        <v>68</v>
      </c>
      <c r="AW285" s="1" t="s">
        <v>6083</v>
      </c>
      <c r="AX285" s="1" t="s">
        <v>6084</v>
      </c>
      <c r="AY285" s="3" t="str">
        <f>HYPERLINK("http://dx.doi.org/10.1002/wat2.1200","http://dx.doi.org/10.1002/wat2.1200")</f>
        <v>http://dx.doi.org/10.1002/wat2.1200</v>
      </c>
      <c r="AZ285" s="1" t="s">
        <v>68</v>
      </c>
      <c r="BA285" s="1" t="s">
        <v>68</v>
      </c>
      <c r="BB285" s="1">
        <v>11.0</v>
      </c>
      <c r="BC285" s="1" t="s">
        <v>2973</v>
      </c>
      <c r="BD285" s="1" t="s">
        <v>92</v>
      </c>
      <c r="BE285" s="1" t="s">
        <v>2974</v>
      </c>
      <c r="BF285" s="1" t="s">
        <v>6085</v>
      </c>
      <c r="BG285" s="1" t="s">
        <v>68</v>
      </c>
      <c r="BH285" s="1" t="s">
        <v>591</v>
      </c>
      <c r="BI285" s="1" t="s">
        <v>68</v>
      </c>
      <c r="BJ285" s="1" t="s">
        <v>68</v>
      </c>
      <c r="BK285" s="1" t="s">
        <v>95</v>
      </c>
      <c r="BL285" s="1" t="s">
        <v>6086</v>
      </c>
      <c r="BM285" s="1" t="str">
        <f>HYPERLINK("https%3A%2F%2Fwww.webofscience.com%2Fwos%2Fwoscc%2Ffull-record%2FWOS:000394904400008","View Full Record in Web of Science")</f>
        <v>View Full Record in Web of Science</v>
      </c>
    </row>
    <row r="286" ht="12.75" customHeight="1">
      <c r="A286" s="1" t="s">
        <v>65</v>
      </c>
      <c r="B286" s="1" t="s">
        <v>6087</v>
      </c>
      <c r="C286" s="1" t="s">
        <v>6088</v>
      </c>
      <c r="D286" s="1" t="s">
        <v>68</v>
      </c>
      <c r="E286" s="1" t="s">
        <v>6089</v>
      </c>
      <c r="F286" s="1" t="s">
        <v>6090</v>
      </c>
      <c r="G286" s="1" t="s">
        <v>68</v>
      </c>
      <c r="H286" s="1" t="s">
        <v>71</v>
      </c>
      <c r="I286" s="1" t="s">
        <v>72</v>
      </c>
      <c r="J286" s="1" t="s">
        <v>68</v>
      </c>
      <c r="K286" s="1" t="s">
        <v>68</v>
      </c>
      <c r="L286" s="1" t="s">
        <v>68</v>
      </c>
      <c r="M286" s="1" t="s">
        <v>68</v>
      </c>
      <c r="N286" s="1" t="s">
        <v>6091</v>
      </c>
      <c r="O286" s="1" t="s">
        <v>6092</v>
      </c>
      <c r="P286" s="1" t="s">
        <v>6093</v>
      </c>
      <c r="Q286" s="1" t="s">
        <v>6094</v>
      </c>
      <c r="R286" s="1" t="s">
        <v>6095</v>
      </c>
      <c r="S286" s="1" t="s">
        <v>6096</v>
      </c>
      <c r="T286" s="1" t="s">
        <v>6097</v>
      </c>
      <c r="U286" s="1" t="s">
        <v>6098</v>
      </c>
      <c r="V286" s="1" t="s">
        <v>6099</v>
      </c>
      <c r="W286" s="1" t="s">
        <v>68</v>
      </c>
      <c r="X286" s="1" t="s">
        <v>68</v>
      </c>
      <c r="Y286" s="1" t="s">
        <v>68</v>
      </c>
      <c r="Z286" s="1">
        <v>30.0</v>
      </c>
      <c r="AA286" s="1">
        <v>16.0</v>
      </c>
      <c r="AB286" s="1">
        <v>22.0</v>
      </c>
      <c r="AC286" s="1">
        <v>5.0</v>
      </c>
      <c r="AD286" s="1">
        <v>25.0</v>
      </c>
      <c r="AE286" s="1" t="s">
        <v>503</v>
      </c>
      <c r="AF286" s="1" t="s">
        <v>504</v>
      </c>
      <c r="AG286" s="1" t="s">
        <v>505</v>
      </c>
      <c r="AH286" s="1" t="s">
        <v>6100</v>
      </c>
      <c r="AI286" s="1" t="s">
        <v>6101</v>
      </c>
      <c r="AJ286" s="1" t="s">
        <v>68</v>
      </c>
      <c r="AK286" s="1" t="s">
        <v>6102</v>
      </c>
      <c r="AL286" s="1" t="s">
        <v>6103</v>
      </c>
      <c r="AM286" s="1" t="s">
        <v>252</v>
      </c>
      <c r="AN286" s="1">
        <v>2021.0</v>
      </c>
      <c r="AO286" s="1">
        <v>41.0</v>
      </c>
      <c r="AP286" s="1">
        <v>7.0</v>
      </c>
      <c r="AQ286" s="1" t="s">
        <v>68</v>
      </c>
      <c r="AR286" s="1" t="s">
        <v>68</v>
      </c>
      <c r="AS286" s="1" t="s">
        <v>563</v>
      </c>
      <c r="AT286" s="1" t="s">
        <v>68</v>
      </c>
      <c r="AU286" s="1">
        <v>1104.0</v>
      </c>
      <c r="AV286" s="1">
        <v>1110.0</v>
      </c>
      <c r="AW286" s="1" t="s">
        <v>68</v>
      </c>
      <c r="AX286" s="1" t="s">
        <v>6104</v>
      </c>
      <c r="AY286" s="3" t="str">
        <f>HYPERLINK("http://dx.doi.org/10.1111/risa.13256","http://dx.doi.org/10.1111/risa.13256")</f>
        <v>http://dx.doi.org/10.1111/risa.13256</v>
      </c>
      <c r="AZ286" s="1" t="s">
        <v>68</v>
      </c>
      <c r="BA286" s="1" t="s">
        <v>68</v>
      </c>
      <c r="BB286" s="1">
        <v>7.0</v>
      </c>
      <c r="BC286" s="1" t="s">
        <v>6105</v>
      </c>
      <c r="BD286" s="1" t="s">
        <v>279</v>
      </c>
      <c r="BE286" s="1" t="s">
        <v>6106</v>
      </c>
      <c r="BF286" s="1" t="s">
        <v>6107</v>
      </c>
      <c r="BG286" s="1">
        <v>3.0609086E7</v>
      </c>
      <c r="BH286" s="1" t="s">
        <v>512</v>
      </c>
      <c r="BI286" s="1" t="s">
        <v>68</v>
      </c>
      <c r="BJ286" s="1" t="s">
        <v>68</v>
      </c>
      <c r="BK286" s="1" t="s">
        <v>95</v>
      </c>
      <c r="BL286" s="1" t="s">
        <v>6108</v>
      </c>
      <c r="BM286" s="1" t="str">
        <f>HYPERLINK("https%3A%2F%2Fwww.webofscience.com%2Fwos%2Fwoscc%2Ffull-record%2FWOS:000678573300009","View Full Record in Web of Science")</f>
        <v>View Full Record in Web of Science</v>
      </c>
    </row>
    <row r="287" ht="12.75" customHeight="1">
      <c r="A287" s="1" t="s">
        <v>65</v>
      </c>
      <c r="B287" s="1" t="s">
        <v>6109</v>
      </c>
      <c r="C287" s="1" t="s">
        <v>6110</v>
      </c>
      <c r="D287" s="1" t="s">
        <v>68</v>
      </c>
      <c r="E287" s="1" t="s">
        <v>6111</v>
      </c>
      <c r="F287" s="1" t="s">
        <v>6112</v>
      </c>
      <c r="G287" s="1" t="s">
        <v>68</v>
      </c>
      <c r="H287" s="1" t="s">
        <v>71</v>
      </c>
      <c r="I287" s="1" t="s">
        <v>72</v>
      </c>
      <c r="J287" s="1" t="s">
        <v>68</v>
      </c>
      <c r="K287" s="1" t="s">
        <v>68</v>
      </c>
      <c r="L287" s="1" t="s">
        <v>68</v>
      </c>
      <c r="M287" s="1" t="s">
        <v>68</v>
      </c>
      <c r="N287" s="1" t="s">
        <v>6113</v>
      </c>
      <c r="O287" s="1" t="s">
        <v>6114</v>
      </c>
      <c r="P287" s="1" t="s">
        <v>6115</v>
      </c>
      <c r="Q287" s="1" t="s">
        <v>6116</v>
      </c>
      <c r="R287" s="1" t="s">
        <v>6117</v>
      </c>
      <c r="S287" s="1" t="s">
        <v>6118</v>
      </c>
      <c r="T287" s="1" t="s">
        <v>6119</v>
      </c>
      <c r="U287" s="1" t="s">
        <v>6120</v>
      </c>
      <c r="V287" s="1" t="s">
        <v>68</v>
      </c>
      <c r="W287" s="1" t="s">
        <v>6121</v>
      </c>
      <c r="X287" s="1" t="s">
        <v>6121</v>
      </c>
      <c r="Y287" s="1" t="s">
        <v>6122</v>
      </c>
      <c r="Z287" s="1">
        <v>96.0</v>
      </c>
      <c r="AA287" s="1">
        <v>6.0</v>
      </c>
      <c r="AB287" s="1">
        <v>6.0</v>
      </c>
      <c r="AC287" s="1">
        <v>0.0</v>
      </c>
      <c r="AD287" s="1">
        <v>13.0</v>
      </c>
      <c r="AE287" s="1" t="s">
        <v>4454</v>
      </c>
      <c r="AF287" s="1" t="s">
        <v>663</v>
      </c>
      <c r="AG287" s="1" t="s">
        <v>4455</v>
      </c>
      <c r="AH287" s="1" t="s">
        <v>6123</v>
      </c>
      <c r="AI287" s="1" t="s">
        <v>6124</v>
      </c>
      <c r="AJ287" s="1" t="s">
        <v>68</v>
      </c>
      <c r="AK287" s="1" t="s">
        <v>6125</v>
      </c>
      <c r="AL287" s="1" t="s">
        <v>6126</v>
      </c>
      <c r="AM287" s="1" t="s">
        <v>457</v>
      </c>
      <c r="AN287" s="1">
        <v>2021.0</v>
      </c>
      <c r="AO287" s="1">
        <v>69.0</v>
      </c>
      <c r="AP287" s="1">
        <v>3.0</v>
      </c>
      <c r="AQ287" s="1" t="s">
        <v>68</v>
      </c>
      <c r="AR287" s="1" t="s">
        <v>68</v>
      </c>
      <c r="AS287" s="1" t="s">
        <v>563</v>
      </c>
      <c r="AT287" s="1" t="s">
        <v>68</v>
      </c>
      <c r="AU287" s="1">
        <v>580.0</v>
      </c>
      <c r="AV287" s="1">
        <v>602.0</v>
      </c>
      <c r="AW287" s="1" t="s">
        <v>68</v>
      </c>
      <c r="AX287" s="1" t="s">
        <v>6127</v>
      </c>
      <c r="AY287" s="3" t="str">
        <f>HYPERLINK("http://dx.doi.org/10.1177/00380261211009790","http://dx.doi.org/10.1177/00380261211009790")</f>
        <v>http://dx.doi.org/10.1177/00380261211009790</v>
      </c>
      <c r="AZ287" s="1" t="s">
        <v>68</v>
      </c>
      <c r="BA287" s="1" t="s">
        <v>68</v>
      </c>
      <c r="BB287" s="1">
        <v>23.0</v>
      </c>
      <c r="BC287" s="1" t="s">
        <v>6128</v>
      </c>
      <c r="BD287" s="1" t="s">
        <v>1438</v>
      </c>
      <c r="BE287" s="1" t="s">
        <v>6128</v>
      </c>
      <c r="BF287" s="1" t="s">
        <v>6129</v>
      </c>
      <c r="BG287" s="1" t="s">
        <v>68</v>
      </c>
      <c r="BH287" s="1" t="s">
        <v>68</v>
      </c>
      <c r="BI287" s="1" t="s">
        <v>68</v>
      </c>
      <c r="BJ287" s="1" t="s">
        <v>68</v>
      </c>
      <c r="BK287" s="1" t="s">
        <v>95</v>
      </c>
      <c r="BL287" s="1" t="s">
        <v>6130</v>
      </c>
      <c r="BM287" s="1" t="str">
        <f>HYPERLINK("https%3A%2F%2Fwww.webofscience.com%2Fwos%2Fwoscc%2Ffull-record%2FWOS:000652618200005","View Full Record in Web of Science")</f>
        <v>View Full Record in Web of Science</v>
      </c>
    </row>
    <row r="288" ht="12.75" customHeight="1">
      <c r="A288" s="1" t="s">
        <v>65</v>
      </c>
      <c r="B288" s="1" t="s">
        <v>6131</v>
      </c>
      <c r="C288" s="1" t="s">
        <v>6132</v>
      </c>
      <c r="D288" s="1" t="s">
        <v>68</v>
      </c>
      <c r="E288" s="1" t="s">
        <v>6133</v>
      </c>
      <c r="F288" s="1" t="s">
        <v>6134</v>
      </c>
      <c r="G288" s="1" t="s">
        <v>68</v>
      </c>
      <c r="H288" s="1" t="s">
        <v>71</v>
      </c>
      <c r="I288" s="1" t="s">
        <v>72</v>
      </c>
      <c r="J288" s="1" t="s">
        <v>68</v>
      </c>
      <c r="K288" s="1" t="s">
        <v>68</v>
      </c>
      <c r="L288" s="1" t="s">
        <v>68</v>
      </c>
      <c r="M288" s="1" t="s">
        <v>68</v>
      </c>
      <c r="N288" s="1" t="s">
        <v>6135</v>
      </c>
      <c r="O288" s="1" t="s">
        <v>6136</v>
      </c>
      <c r="P288" s="1" t="s">
        <v>6137</v>
      </c>
      <c r="Q288" s="1" t="s">
        <v>6138</v>
      </c>
      <c r="R288" s="1" t="s">
        <v>6139</v>
      </c>
      <c r="S288" s="1" t="s">
        <v>6140</v>
      </c>
      <c r="T288" s="1" t="s">
        <v>6141</v>
      </c>
      <c r="U288" s="1" t="s">
        <v>68</v>
      </c>
      <c r="V288" s="1" t="s">
        <v>6142</v>
      </c>
      <c r="W288" s="1" t="s">
        <v>68</v>
      </c>
      <c r="X288" s="1" t="s">
        <v>68</v>
      </c>
      <c r="Y288" s="1" t="s">
        <v>68</v>
      </c>
      <c r="Z288" s="1">
        <v>67.0</v>
      </c>
      <c r="AA288" s="1">
        <v>17.0</v>
      </c>
      <c r="AB288" s="1">
        <v>18.0</v>
      </c>
      <c r="AC288" s="1">
        <v>2.0</v>
      </c>
      <c r="AD288" s="1">
        <v>30.0</v>
      </c>
      <c r="AE288" s="1" t="s">
        <v>503</v>
      </c>
      <c r="AF288" s="1" t="s">
        <v>504</v>
      </c>
      <c r="AG288" s="1" t="s">
        <v>505</v>
      </c>
      <c r="AH288" s="1" t="s">
        <v>6143</v>
      </c>
      <c r="AI288" s="1" t="s">
        <v>6144</v>
      </c>
      <c r="AJ288" s="1" t="s">
        <v>68</v>
      </c>
      <c r="AK288" s="1" t="s">
        <v>6145</v>
      </c>
      <c r="AL288" s="1" t="s">
        <v>6146</v>
      </c>
      <c r="AM288" s="1" t="s">
        <v>1169</v>
      </c>
      <c r="AN288" s="1">
        <v>2019.0</v>
      </c>
      <c r="AO288" s="1">
        <v>44.0</v>
      </c>
      <c r="AP288" s="1">
        <v>1.0</v>
      </c>
      <c r="AQ288" s="1" t="s">
        <v>68</v>
      </c>
      <c r="AR288" s="1" t="s">
        <v>68</v>
      </c>
      <c r="AS288" s="1" t="s">
        <v>68</v>
      </c>
      <c r="AT288" s="1" t="s">
        <v>68</v>
      </c>
      <c r="AU288" s="1">
        <v>16.0</v>
      </c>
      <c r="AV288" s="1">
        <v>31.0</v>
      </c>
      <c r="AW288" s="1" t="s">
        <v>68</v>
      </c>
      <c r="AX288" s="1" t="s">
        <v>6147</v>
      </c>
      <c r="AY288" s="3" t="str">
        <f>HYPERLINK("http://dx.doi.org/10.1111/tran.12258","http://dx.doi.org/10.1111/tran.12258")</f>
        <v>http://dx.doi.org/10.1111/tran.12258</v>
      </c>
      <c r="AZ288" s="1" t="s">
        <v>68</v>
      </c>
      <c r="BA288" s="1" t="s">
        <v>68</v>
      </c>
      <c r="BB288" s="1">
        <v>16.0</v>
      </c>
      <c r="BC288" s="1" t="s">
        <v>4750</v>
      </c>
      <c r="BD288" s="1" t="s">
        <v>1438</v>
      </c>
      <c r="BE288" s="1" t="s">
        <v>4750</v>
      </c>
      <c r="BF288" s="1" t="s">
        <v>6148</v>
      </c>
      <c r="BG288" s="1" t="s">
        <v>68</v>
      </c>
      <c r="BH288" s="1" t="s">
        <v>1378</v>
      </c>
      <c r="BI288" s="1" t="s">
        <v>68</v>
      </c>
      <c r="BJ288" s="1" t="s">
        <v>68</v>
      </c>
      <c r="BK288" s="1" t="s">
        <v>95</v>
      </c>
      <c r="BL288" s="1" t="s">
        <v>6149</v>
      </c>
      <c r="BM288" s="1" t="str">
        <f>HYPERLINK("https%3A%2F%2Fwww.webofscience.com%2Fwos%2Fwoscc%2Ffull-record%2FWOS:000458700100002","View Full Record in Web of Science")</f>
        <v>View Full Record in Web of Science</v>
      </c>
    </row>
    <row r="289" ht="12.75" customHeight="1">
      <c r="A289" s="1" t="s">
        <v>65</v>
      </c>
      <c r="B289" s="1" t="s">
        <v>6150</v>
      </c>
      <c r="C289" s="1" t="s">
        <v>6151</v>
      </c>
      <c r="D289" s="1" t="s">
        <v>68</v>
      </c>
      <c r="E289" s="1" t="s">
        <v>6152</v>
      </c>
      <c r="F289" s="1" t="s">
        <v>1586</v>
      </c>
      <c r="G289" s="1" t="s">
        <v>68</v>
      </c>
      <c r="H289" s="1" t="s">
        <v>71</v>
      </c>
      <c r="I289" s="1" t="s">
        <v>101</v>
      </c>
      <c r="J289" s="1" t="s">
        <v>68</v>
      </c>
      <c r="K289" s="1" t="s">
        <v>68</v>
      </c>
      <c r="L289" s="1" t="s">
        <v>68</v>
      </c>
      <c r="M289" s="1" t="s">
        <v>68</v>
      </c>
      <c r="N289" s="1" t="s">
        <v>6153</v>
      </c>
      <c r="O289" s="1" t="s">
        <v>6154</v>
      </c>
      <c r="P289" s="1" t="s">
        <v>6155</v>
      </c>
      <c r="Q289" s="1" t="s">
        <v>6156</v>
      </c>
      <c r="R289" s="1" t="s">
        <v>2832</v>
      </c>
      <c r="S289" s="1" t="s">
        <v>6157</v>
      </c>
      <c r="T289" s="1" t="s">
        <v>6158</v>
      </c>
      <c r="U289" s="1" t="s">
        <v>6159</v>
      </c>
      <c r="V289" s="1" t="s">
        <v>6160</v>
      </c>
      <c r="W289" s="1" t="s">
        <v>2837</v>
      </c>
      <c r="X289" s="1" t="s">
        <v>2838</v>
      </c>
      <c r="Y289" s="1" t="s">
        <v>6161</v>
      </c>
      <c r="Z289" s="1">
        <v>187.0</v>
      </c>
      <c r="AA289" s="1">
        <v>136.0</v>
      </c>
      <c r="AB289" s="1">
        <v>159.0</v>
      </c>
      <c r="AC289" s="1">
        <v>5.0</v>
      </c>
      <c r="AD289" s="1">
        <v>108.0</v>
      </c>
      <c r="AE289" s="1" t="s">
        <v>1596</v>
      </c>
      <c r="AF289" s="1" t="s">
        <v>1182</v>
      </c>
      <c r="AG289" s="1" t="s">
        <v>1597</v>
      </c>
      <c r="AH289" s="1" t="s">
        <v>1598</v>
      </c>
      <c r="AI289" s="1" t="s">
        <v>1599</v>
      </c>
      <c r="AJ289" s="1" t="s">
        <v>68</v>
      </c>
      <c r="AK289" s="1" t="s">
        <v>1600</v>
      </c>
      <c r="AL289" s="1" t="s">
        <v>1601</v>
      </c>
      <c r="AM289" s="1" t="s">
        <v>6162</v>
      </c>
      <c r="AN289" s="1">
        <v>2019.0</v>
      </c>
      <c r="AO289" s="1">
        <v>693.0</v>
      </c>
      <c r="AP289" s="1" t="s">
        <v>68</v>
      </c>
      <c r="AQ289" s="1" t="s">
        <v>68</v>
      </c>
      <c r="AR289" s="1" t="s">
        <v>68</v>
      </c>
      <c r="AS289" s="1" t="s">
        <v>68</v>
      </c>
      <c r="AT289" s="1" t="s">
        <v>68</v>
      </c>
      <c r="AU289" s="1" t="s">
        <v>68</v>
      </c>
      <c r="AV289" s="1" t="s">
        <v>68</v>
      </c>
      <c r="AW289" s="1">
        <v>133531.0</v>
      </c>
      <c r="AX289" s="1" t="s">
        <v>6163</v>
      </c>
      <c r="AY289" s="3" t="str">
        <f>HYPERLINK("http://dx.doi.org/10.1016/j.scitotenv.2019.07.337","http://dx.doi.org/10.1016/j.scitotenv.2019.07.337")</f>
        <v>http://dx.doi.org/10.1016/j.scitotenv.2019.07.337</v>
      </c>
      <c r="AZ289" s="1" t="s">
        <v>68</v>
      </c>
      <c r="BA289" s="1" t="s">
        <v>68</v>
      </c>
      <c r="BB289" s="1">
        <v>16.0</v>
      </c>
      <c r="BC289" s="1" t="s">
        <v>484</v>
      </c>
      <c r="BD289" s="1" t="s">
        <v>279</v>
      </c>
      <c r="BE289" s="1" t="s">
        <v>333</v>
      </c>
      <c r="BF289" s="1" t="s">
        <v>6164</v>
      </c>
      <c r="BG289" s="1">
        <v>3.1635016E7</v>
      </c>
      <c r="BH289" s="1" t="s">
        <v>644</v>
      </c>
      <c r="BI289" s="1" t="s">
        <v>68</v>
      </c>
      <c r="BJ289" s="1" t="s">
        <v>68</v>
      </c>
      <c r="BK289" s="1" t="s">
        <v>95</v>
      </c>
      <c r="BL289" s="1" t="s">
        <v>6165</v>
      </c>
      <c r="BM289" s="1" t="str">
        <f>HYPERLINK("https%3A%2F%2Fwww.webofscience.com%2Fwos%2Fwoscc%2Ffull-record%2FWOS:000489694700016","View Full Record in Web of Science")</f>
        <v>View Full Record in Web of Science</v>
      </c>
    </row>
    <row r="290" ht="12.75" customHeight="1">
      <c r="A290" s="1" t="s">
        <v>65</v>
      </c>
      <c r="B290" s="1" t="s">
        <v>3046</v>
      </c>
      <c r="C290" s="1" t="s">
        <v>3047</v>
      </c>
      <c r="D290" s="1" t="s">
        <v>68</v>
      </c>
      <c r="E290" s="1" t="s">
        <v>6166</v>
      </c>
      <c r="F290" s="1" t="s">
        <v>826</v>
      </c>
      <c r="G290" s="1" t="s">
        <v>68</v>
      </c>
      <c r="H290" s="1" t="s">
        <v>71</v>
      </c>
      <c r="I290" s="1" t="s">
        <v>4330</v>
      </c>
      <c r="J290" s="1" t="s">
        <v>68</v>
      </c>
      <c r="K290" s="1" t="s">
        <v>68</v>
      </c>
      <c r="L290" s="1" t="s">
        <v>68</v>
      </c>
      <c r="M290" s="1" t="s">
        <v>68</v>
      </c>
      <c r="N290" s="1" t="s">
        <v>68</v>
      </c>
      <c r="O290" s="1" t="s">
        <v>68</v>
      </c>
      <c r="P290" s="1" t="s">
        <v>68</v>
      </c>
      <c r="Q290" s="1" t="s">
        <v>6167</v>
      </c>
      <c r="R290" s="1" t="s">
        <v>3053</v>
      </c>
      <c r="S290" s="1" t="s">
        <v>3054</v>
      </c>
      <c r="T290" s="1" t="s">
        <v>3055</v>
      </c>
      <c r="U290" s="1" t="s">
        <v>6168</v>
      </c>
      <c r="V290" s="1" t="s">
        <v>68</v>
      </c>
      <c r="W290" s="1" t="s">
        <v>6169</v>
      </c>
      <c r="X290" s="1" t="s">
        <v>6170</v>
      </c>
      <c r="Y290" s="1" t="s">
        <v>6171</v>
      </c>
      <c r="Z290" s="1">
        <v>1.0</v>
      </c>
      <c r="AA290" s="1">
        <v>0.0</v>
      </c>
      <c r="AB290" s="1">
        <v>0.0</v>
      </c>
      <c r="AC290" s="1">
        <v>0.0</v>
      </c>
      <c r="AD290" s="1">
        <v>0.0</v>
      </c>
      <c r="AE290" s="1" t="s">
        <v>838</v>
      </c>
      <c r="AF290" s="1" t="s">
        <v>839</v>
      </c>
      <c r="AG290" s="1" t="s">
        <v>840</v>
      </c>
      <c r="AH290" s="1" t="s">
        <v>841</v>
      </c>
      <c r="AI290" s="1" t="s">
        <v>68</v>
      </c>
      <c r="AJ290" s="1" t="s">
        <v>68</v>
      </c>
      <c r="AK290" s="1" t="s">
        <v>842</v>
      </c>
      <c r="AL290" s="1" t="s">
        <v>843</v>
      </c>
      <c r="AM290" s="1" t="s">
        <v>6172</v>
      </c>
      <c r="AN290" s="1">
        <v>2024.0</v>
      </c>
      <c r="AO290" s="1">
        <v>14.0</v>
      </c>
      <c r="AP290" s="1">
        <v>1.0</v>
      </c>
      <c r="AQ290" s="1" t="s">
        <v>68</v>
      </c>
      <c r="AR290" s="1" t="s">
        <v>68</v>
      </c>
      <c r="AS290" s="1" t="s">
        <v>68</v>
      </c>
      <c r="AT290" s="1" t="s">
        <v>68</v>
      </c>
      <c r="AU290" s="1" t="s">
        <v>68</v>
      </c>
      <c r="AV290" s="1" t="s">
        <v>68</v>
      </c>
      <c r="AW290" s="1">
        <v>30468.0</v>
      </c>
      <c r="AX290" s="1" t="s">
        <v>6173</v>
      </c>
      <c r="AY290" s="3" t="str">
        <f>HYPERLINK("http://dx.doi.org/10.1038/s41598-024-82617-y","http://dx.doi.org/10.1038/s41598-024-82617-y")</f>
        <v>http://dx.doi.org/10.1038/s41598-024-82617-y</v>
      </c>
      <c r="AZ290" s="1" t="s">
        <v>68</v>
      </c>
      <c r="BA290" s="1" t="s">
        <v>68</v>
      </c>
      <c r="BB290" s="1">
        <v>1.0</v>
      </c>
      <c r="BC290" s="1" t="s">
        <v>742</v>
      </c>
      <c r="BD290" s="1" t="s">
        <v>92</v>
      </c>
      <c r="BE290" s="1" t="s">
        <v>743</v>
      </c>
      <c r="BF290" s="1" t="s">
        <v>6174</v>
      </c>
      <c r="BG290" s="1">
        <v>3.9681625E7</v>
      </c>
      <c r="BH290" s="1" t="s">
        <v>94</v>
      </c>
      <c r="BI290" s="1" t="s">
        <v>68</v>
      </c>
      <c r="BJ290" s="1" t="s">
        <v>68</v>
      </c>
      <c r="BK290" s="1" t="s">
        <v>95</v>
      </c>
      <c r="BL290" s="1" t="s">
        <v>6175</v>
      </c>
      <c r="BM290" s="1" t="str">
        <f>HYPERLINK("https%3A%2F%2Fwww.webofscience.com%2Fwos%2Fwoscc%2Ffull-record%2FWOS:001379708000022","View Full Record in Web of Science")</f>
        <v>View Full Record in Web of Science</v>
      </c>
    </row>
    <row r="291" ht="12.75" customHeight="1">
      <c r="A291" s="1" t="s">
        <v>65</v>
      </c>
      <c r="B291" s="1" t="s">
        <v>6176</v>
      </c>
      <c r="C291" s="1" t="s">
        <v>6177</v>
      </c>
      <c r="D291" s="1" t="s">
        <v>68</v>
      </c>
      <c r="E291" s="1" t="s">
        <v>6178</v>
      </c>
      <c r="F291" s="1" t="s">
        <v>3546</v>
      </c>
      <c r="G291" s="1" t="s">
        <v>68</v>
      </c>
      <c r="H291" s="1" t="s">
        <v>71</v>
      </c>
      <c r="I291" s="1" t="s">
        <v>72</v>
      </c>
      <c r="J291" s="1" t="s">
        <v>68</v>
      </c>
      <c r="K291" s="1" t="s">
        <v>68</v>
      </c>
      <c r="L291" s="1" t="s">
        <v>68</v>
      </c>
      <c r="M291" s="1" t="s">
        <v>68</v>
      </c>
      <c r="N291" s="1" t="s">
        <v>6179</v>
      </c>
      <c r="O291" s="1" t="s">
        <v>6180</v>
      </c>
      <c r="P291" s="1" t="s">
        <v>6181</v>
      </c>
      <c r="Q291" s="1" t="s">
        <v>6182</v>
      </c>
      <c r="R291" s="1" t="s">
        <v>6183</v>
      </c>
      <c r="S291" s="1" t="s">
        <v>6184</v>
      </c>
      <c r="T291" s="1" t="s">
        <v>6185</v>
      </c>
      <c r="U291" s="1" t="s">
        <v>6186</v>
      </c>
      <c r="V291" s="1" t="s">
        <v>6187</v>
      </c>
      <c r="W291" s="1" t="s">
        <v>6188</v>
      </c>
      <c r="X291" s="1" t="s">
        <v>6189</v>
      </c>
      <c r="Y291" s="1" t="s">
        <v>6190</v>
      </c>
      <c r="Z291" s="1">
        <v>77.0</v>
      </c>
      <c r="AA291" s="1">
        <v>18.0</v>
      </c>
      <c r="AB291" s="1">
        <v>23.0</v>
      </c>
      <c r="AC291" s="1">
        <v>7.0</v>
      </c>
      <c r="AD291" s="1">
        <v>70.0</v>
      </c>
      <c r="AE291" s="1" t="s">
        <v>1596</v>
      </c>
      <c r="AF291" s="1" t="s">
        <v>1182</v>
      </c>
      <c r="AG291" s="1" t="s">
        <v>1597</v>
      </c>
      <c r="AH291" s="1" t="s">
        <v>3558</v>
      </c>
      <c r="AI291" s="1" t="s">
        <v>3559</v>
      </c>
      <c r="AJ291" s="1" t="s">
        <v>68</v>
      </c>
      <c r="AK291" s="1" t="s">
        <v>3560</v>
      </c>
      <c r="AL291" s="1" t="s">
        <v>3561</v>
      </c>
      <c r="AM291" s="1" t="s">
        <v>252</v>
      </c>
      <c r="AN291" s="1">
        <v>2023.0</v>
      </c>
      <c r="AO291" s="1">
        <v>75.0</v>
      </c>
      <c r="AP291" s="1" t="s">
        <v>68</v>
      </c>
      <c r="AQ291" s="1" t="s">
        <v>68</v>
      </c>
      <c r="AR291" s="1" t="s">
        <v>68</v>
      </c>
      <c r="AS291" s="1" t="s">
        <v>68</v>
      </c>
      <c r="AT291" s="1" t="s">
        <v>68</v>
      </c>
      <c r="AU291" s="1" t="s">
        <v>68</v>
      </c>
      <c r="AV291" s="1" t="s">
        <v>68</v>
      </c>
      <c r="AW291" s="1">
        <v>102065.0</v>
      </c>
      <c r="AX291" s="1" t="s">
        <v>6191</v>
      </c>
      <c r="AY291" s="3" t="str">
        <f>HYPERLINK("http://dx.doi.org/10.1016/j.ecoinf.2023.102065","http://dx.doi.org/10.1016/j.ecoinf.2023.102065")</f>
        <v>http://dx.doi.org/10.1016/j.ecoinf.2023.102065</v>
      </c>
      <c r="AZ291" s="1" t="s">
        <v>68</v>
      </c>
      <c r="BA291" s="1" t="s">
        <v>459</v>
      </c>
      <c r="BB291" s="1">
        <v>16.0</v>
      </c>
      <c r="BC291" s="1" t="s">
        <v>332</v>
      </c>
      <c r="BD291" s="1" t="s">
        <v>92</v>
      </c>
      <c r="BE291" s="1" t="s">
        <v>333</v>
      </c>
      <c r="BF291" s="1" t="s">
        <v>6192</v>
      </c>
      <c r="BG291" s="1" t="s">
        <v>68</v>
      </c>
      <c r="BH291" s="1" t="s">
        <v>867</v>
      </c>
      <c r="BI291" s="1" t="s">
        <v>68</v>
      </c>
      <c r="BJ291" s="1" t="s">
        <v>68</v>
      </c>
      <c r="BK291" s="1" t="s">
        <v>95</v>
      </c>
      <c r="BL291" s="1" t="s">
        <v>6193</v>
      </c>
      <c r="BM291" s="1" t="str">
        <f>HYPERLINK("https%3A%2F%2Fwww.webofscience.com%2Fwos%2Fwoscc%2Ffull-record%2FWOS:000959297100001","View Full Record in Web of Science")</f>
        <v>View Full Record in Web of Science</v>
      </c>
    </row>
    <row r="292" ht="12.75" customHeight="1">
      <c r="A292" s="1" t="s">
        <v>65</v>
      </c>
      <c r="B292" s="1" t="s">
        <v>3769</v>
      </c>
      <c r="C292" s="1" t="s">
        <v>3770</v>
      </c>
      <c r="D292" s="1" t="s">
        <v>68</v>
      </c>
      <c r="E292" s="1" t="s">
        <v>6194</v>
      </c>
      <c r="F292" s="1" t="s">
        <v>6195</v>
      </c>
      <c r="G292" s="1" t="s">
        <v>68</v>
      </c>
      <c r="H292" s="1" t="s">
        <v>71</v>
      </c>
      <c r="I292" s="1" t="s">
        <v>72</v>
      </c>
      <c r="J292" s="1" t="s">
        <v>68</v>
      </c>
      <c r="K292" s="1" t="s">
        <v>68</v>
      </c>
      <c r="L292" s="1" t="s">
        <v>68</v>
      </c>
      <c r="M292" s="1" t="s">
        <v>68</v>
      </c>
      <c r="N292" s="1" t="s">
        <v>6196</v>
      </c>
      <c r="O292" s="1" t="s">
        <v>6197</v>
      </c>
      <c r="P292" s="1" t="s">
        <v>6198</v>
      </c>
      <c r="Q292" s="1" t="s">
        <v>6199</v>
      </c>
      <c r="R292" s="1" t="s">
        <v>6200</v>
      </c>
      <c r="S292" s="1" t="s">
        <v>6201</v>
      </c>
      <c r="T292" s="1" t="s">
        <v>6202</v>
      </c>
      <c r="U292" s="1" t="s">
        <v>3779</v>
      </c>
      <c r="V292" s="1" t="s">
        <v>3780</v>
      </c>
      <c r="W292" s="1" t="s">
        <v>6203</v>
      </c>
      <c r="X292" s="1" t="s">
        <v>6203</v>
      </c>
      <c r="Y292" s="1" t="s">
        <v>6204</v>
      </c>
      <c r="Z292" s="1">
        <v>31.0</v>
      </c>
      <c r="AA292" s="1">
        <v>55.0</v>
      </c>
      <c r="AB292" s="1">
        <v>72.0</v>
      </c>
      <c r="AC292" s="1">
        <v>1.0</v>
      </c>
      <c r="AD292" s="1">
        <v>48.0</v>
      </c>
      <c r="AE292" s="1" t="s">
        <v>503</v>
      </c>
      <c r="AF292" s="1" t="s">
        <v>504</v>
      </c>
      <c r="AG292" s="1" t="s">
        <v>505</v>
      </c>
      <c r="AH292" s="1" t="s">
        <v>6205</v>
      </c>
      <c r="AI292" s="1" t="s">
        <v>68</v>
      </c>
      <c r="AJ292" s="1" t="s">
        <v>68</v>
      </c>
      <c r="AK292" s="1" t="s">
        <v>6206</v>
      </c>
      <c r="AL292" s="1" t="s">
        <v>6207</v>
      </c>
      <c r="AM292" s="1" t="s">
        <v>6082</v>
      </c>
      <c r="AN292" s="1">
        <v>2018.0</v>
      </c>
      <c r="AO292" s="1">
        <v>11.0</v>
      </c>
      <c r="AP292" s="1">
        <v>2.0</v>
      </c>
      <c r="AQ292" s="1" t="s">
        <v>68</v>
      </c>
      <c r="AR292" s="1" t="s">
        <v>68</v>
      </c>
      <c r="AS292" s="1" t="s">
        <v>68</v>
      </c>
      <c r="AT292" s="1" t="s">
        <v>68</v>
      </c>
      <c r="AU292" s="1" t="s">
        <v>68</v>
      </c>
      <c r="AV292" s="1" t="s">
        <v>68</v>
      </c>
      <c r="AW292" s="1" t="s">
        <v>6208</v>
      </c>
      <c r="AX292" s="1" t="s">
        <v>6209</v>
      </c>
      <c r="AY292" s="3" t="str">
        <f>HYPERLINK("http://dx.doi.org/10.1111/conl.12382","http://dx.doi.org/10.1111/conl.12382")</f>
        <v>http://dx.doi.org/10.1111/conl.12382</v>
      </c>
      <c r="AZ292" s="1" t="s">
        <v>68</v>
      </c>
      <c r="BA292" s="1" t="s">
        <v>68</v>
      </c>
      <c r="BB292" s="1">
        <v>10.0</v>
      </c>
      <c r="BC292" s="1" t="s">
        <v>1171</v>
      </c>
      <c r="BD292" s="1" t="s">
        <v>279</v>
      </c>
      <c r="BE292" s="1" t="s">
        <v>1172</v>
      </c>
      <c r="BF292" s="1" t="s">
        <v>6210</v>
      </c>
      <c r="BG292" s="1" t="s">
        <v>68</v>
      </c>
      <c r="BH292" s="1" t="s">
        <v>462</v>
      </c>
      <c r="BI292" s="1" t="s">
        <v>68</v>
      </c>
      <c r="BJ292" s="1" t="s">
        <v>68</v>
      </c>
      <c r="BK292" s="1" t="s">
        <v>95</v>
      </c>
      <c r="BL292" s="1" t="s">
        <v>6211</v>
      </c>
      <c r="BM292" s="1" t="str">
        <f>HYPERLINK("https%3A%2F%2Fwww.webofscience.com%2Fwos%2Fwoscc%2Ffull-record%2FWOS:000430118100007","View Full Record in Web of Science")</f>
        <v>View Full Record in Web of Science</v>
      </c>
    </row>
    <row r="293" ht="12.75" customHeight="1">
      <c r="A293" s="1" t="s">
        <v>65</v>
      </c>
      <c r="B293" s="1" t="s">
        <v>6212</v>
      </c>
      <c r="C293" s="1" t="s">
        <v>6213</v>
      </c>
      <c r="D293" s="1" t="s">
        <v>68</v>
      </c>
      <c r="E293" s="1" t="s">
        <v>6214</v>
      </c>
      <c r="F293" s="1" t="s">
        <v>6215</v>
      </c>
      <c r="G293" s="1" t="s">
        <v>68</v>
      </c>
      <c r="H293" s="1" t="s">
        <v>71</v>
      </c>
      <c r="I293" s="1" t="s">
        <v>72</v>
      </c>
      <c r="J293" s="1" t="s">
        <v>68</v>
      </c>
      <c r="K293" s="1" t="s">
        <v>68</v>
      </c>
      <c r="L293" s="1" t="s">
        <v>68</v>
      </c>
      <c r="M293" s="1" t="s">
        <v>68</v>
      </c>
      <c r="N293" s="1" t="s">
        <v>6216</v>
      </c>
      <c r="O293" s="1" t="s">
        <v>6217</v>
      </c>
      <c r="P293" s="1" t="s">
        <v>6218</v>
      </c>
      <c r="Q293" s="1" t="s">
        <v>6219</v>
      </c>
      <c r="R293" s="1" t="s">
        <v>6220</v>
      </c>
      <c r="S293" s="1" t="s">
        <v>6221</v>
      </c>
      <c r="T293" s="1" t="s">
        <v>6222</v>
      </c>
      <c r="U293" s="1" t="s">
        <v>6223</v>
      </c>
      <c r="V293" s="1" t="s">
        <v>6224</v>
      </c>
      <c r="W293" s="1" t="s">
        <v>6225</v>
      </c>
      <c r="X293" s="1" t="s">
        <v>6226</v>
      </c>
      <c r="Y293" s="1" t="s">
        <v>6227</v>
      </c>
      <c r="Z293" s="1">
        <v>39.0</v>
      </c>
      <c r="AA293" s="1">
        <v>1.0</v>
      </c>
      <c r="AB293" s="1">
        <v>1.0</v>
      </c>
      <c r="AC293" s="1">
        <v>2.0</v>
      </c>
      <c r="AD293" s="1">
        <v>13.0</v>
      </c>
      <c r="AE293" s="1" t="s">
        <v>811</v>
      </c>
      <c r="AF293" s="1" t="s">
        <v>1666</v>
      </c>
      <c r="AG293" s="1" t="s">
        <v>1667</v>
      </c>
      <c r="AH293" s="1" t="s">
        <v>6228</v>
      </c>
      <c r="AI293" s="1" t="s">
        <v>6229</v>
      </c>
      <c r="AJ293" s="1" t="s">
        <v>68</v>
      </c>
      <c r="AK293" s="1" t="s">
        <v>6230</v>
      </c>
      <c r="AL293" s="1" t="s">
        <v>6231</v>
      </c>
      <c r="AM293" s="1" t="s">
        <v>1789</v>
      </c>
      <c r="AN293" s="1">
        <v>2024.0</v>
      </c>
      <c r="AO293" s="1">
        <v>172.0</v>
      </c>
      <c r="AP293" s="1" t="s">
        <v>68</v>
      </c>
      <c r="AQ293" s="1" t="s">
        <v>68</v>
      </c>
      <c r="AR293" s="1" t="s">
        <v>68</v>
      </c>
      <c r="AS293" s="1" t="s">
        <v>68</v>
      </c>
      <c r="AT293" s="1" t="s">
        <v>68</v>
      </c>
      <c r="AU293" s="1" t="s">
        <v>68</v>
      </c>
      <c r="AV293" s="1" t="s">
        <v>68</v>
      </c>
      <c r="AW293" s="1">
        <v>105919.0</v>
      </c>
      <c r="AX293" s="1" t="s">
        <v>6232</v>
      </c>
      <c r="AY293" s="3" t="str">
        <f>HYPERLINK("http://dx.doi.org/10.1016/j.envsoft.2023.105919","http://dx.doi.org/10.1016/j.envsoft.2023.105919")</f>
        <v>http://dx.doi.org/10.1016/j.envsoft.2023.105919</v>
      </c>
      <c r="AZ293" s="1" t="s">
        <v>68</v>
      </c>
      <c r="BA293" s="1" t="s">
        <v>6233</v>
      </c>
      <c r="BB293" s="1">
        <v>13.0</v>
      </c>
      <c r="BC293" s="1" t="s">
        <v>6234</v>
      </c>
      <c r="BD293" s="1" t="s">
        <v>92</v>
      </c>
      <c r="BE293" s="1" t="s">
        <v>6235</v>
      </c>
      <c r="BF293" s="1" t="s">
        <v>6236</v>
      </c>
      <c r="BG293" s="1" t="s">
        <v>68</v>
      </c>
      <c r="BH293" s="1" t="s">
        <v>68</v>
      </c>
      <c r="BI293" s="1" t="s">
        <v>68</v>
      </c>
      <c r="BJ293" s="1" t="s">
        <v>68</v>
      </c>
      <c r="BK293" s="1" t="s">
        <v>95</v>
      </c>
      <c r="BL293" s="1" t="s">
        <v>6237</v>
      </c>
      <c r="BM293" s="1" t="str">
        <f>HYPERLINK("https%3A%2F%2Fwww.webofscience.com%2Fwos%2Fwoscc%2Ffull-record%2FWOS:001139110400001","View Full Record in Web of Science")</f>
        <v>View Full Record in Web of Science</v>
      </c>
    </row>
    <row r="294" ht="12.75" customHeight="1">
      <c r="A294" s="1" t="s">
        <v>65</v>
      </c>
      <c r="B294" s="1" t="s">
        <v>6238</v>
      </c>
      <c r="C294" s="1" t="s">
        <v>6239</v>
      </c>
      <c r="D294" s="1" t="s">
        <v>68</v>
      </c>
      <c r="E294" s="1" t="s">
        <v>6240</v>
      </c>
      <c r="F294" s="1" t="s">
        <v>6241</v>
      </c>
      <c r="G294" s="1" t="s">
        <v>68</v>
      </c>
      <c r="H294" s="1" t="s">
        <v>71</v>
      </c>
      <c r="I294" s="1" t="s">
        <v>72</v>
      </c>
      <c r="J294" s="1" t="s">
        <v>68</v>
      </c>
      <c r="K294" s="1" t="s">
        <v>68</v>
      </c>
      <c r="L294" s="1" t="s">
        <v>68</v>
      </c>
      <c r="M294" s="1" t="s">
        <v>68</v>
      </c>
      <c r="N294" s="1" t="s">
        <v>6242</v>
      </c>
      <c r="O294" s="1" t="s">
        <v>6243</v>
      </c>
      <c r="P294" s="1" t="s">
        <v>6244</v>
      </c>
      <c r="Q294" s="1" t="s">
        <v>6245</v>
      </c>
      <c r="R294" s="1" t="s">
        <v>6246</v>
      </c>
      <c r="S294" s="1" t="s">
        <v>6247</v>
      </c>
      <c r="T294" s="1" t="s">
        <v>6248</v>
      </c>
      <c r="U294" s="1" t="s">
        <v>6249</v>
      </c>
      <c r="V294" s="1" t="s">
        <v>68</v>
      </c>
      <c r="W294" s="1" t="s">
        <v>6250</v>
      </c>
      <c r="X294" s="1" t="s">
        <v>6250</v>
      </c>
      <c r="Y294" s="1" t="s">
        <v>6251</v>
      </c>
      <c r="Z294" s="1">
        <v>50.0</v>
      </c>
      <c r="AA294" s="1">
        <v>1.0</v>
      </c>
      <c r="AB294" s="1">
        <v>2.0</v>
      </c>
      <c r="AC294" s="1">
        <v>1.0</v>
      </c>
      <c r="AD294" s="1">
        <v>4.0</v>
      </c>
      <c r="AE294" s="1" t="s">
        <v>6252</v>
      </c>
      <c r="AF294" s="1" t="s">
        <v>6253</v>
      </c>
      <c r="AG294" s="1" t="s">
        <v>6254</v>
      </c>
      <c r="AH294" s="1" t="s">
        <v>6255</v>
      </c>
      <c r="AI294" s="1" t="s">
        <v>6256</v>
      </c>
      <c r="AJ294" s="1" t="s">
        <v>68</v>
      </c>
      <c r="AK294" s="1" t="s">
        <v>6257</v>
      </c>
      <c r="AL294" s="1" t="s">
        <v>6258</v>
      </c>
      <c r="AM294" s="1" t="s">
        <v>68</v>
      </c>
      <c r="AN294" s="1">
        <v>2024.0</v>
      </c>
      <c r="AO294" s="1">
        <v>65.0</v>
      </c>
      <c r="AP294" s="1">
        <v>1.0</v>
      </c>
      <c r="AQ294" s="1" t="s">
        <v>68</v>
      </c>
      <c r="AR294" s="1" t="s">
        <v>68</v>
      </c>
      <c r="AS294" s="1" t="s">
        <v>68</v>
      </c>
      <c r="AT294" s="1" t="s">
        <v>68</v>
      </c>
      <c r="AU294" s="1" t="s">
        <v>68</v>
      </c>
      <c r="AV294" s="1" t="s">
        <v>68</v>
      </c>
      <c r="AW294" s="1">
        <v>4.0</v>
      </c>
      <c r="AX294" s="1" t="s">
        <v>6259</v>
      </c>
      <c r="AY294" s="3" t="str">
        <f>HYPERLINK("http://dx.doi.org/10.32582/aa.65.1.4","http://dx.doi.org/10.32582/aa.65.1.4")</f>
        <v>http://dx.doi.org/10.32582/aa.65.1.4</v>
      </c>
      <c r="AZ294" s="1" t="s">
        <v>68</v>
      </c>
      <c r="BA294" s="1" t="s">
        <v>68</v>
      </c>
      <c r="BB294" s="1">
        <v>11.0</v>
      </c>
      <c r="BC294" s="1" t="s">
        <v>2657</v>
      </c>
      <c r="BD294" s="1" t="s">
        <v>92</v>
      </c>
      <c r="BE294" s="1" t="s">
        <v>2657</v>
      </c>
      <c r="BF294" s="1" t="s">
        <v>6260</v>
      </c>
      <c r="BG294" s="1" t="s">
        <v>68</v>
      </c>
      <c r="BH294" s="1" t="s">
        <v>94</v>
      </c>
      <c r="BI294" s="1" t="s">
        <v>68</v>
      </c>
      <c r="BJ294" s="1" t="s">
        <v>68</v>
      </c>
      <c r="BK294" s="1" t="s">
        <v>95</v>
      </c>
      <c r="BL294" s="1" t="s">
        <v>6261</v>
      </c>
      <c r="BM294" s="1" t="str">
        <f>HYPERLINK("https%3A%2F%2Fwww.webofscience.com%2Fwos%2Fwoscc%2Ffull-record%2FWOS:001180573400001","View Full Record in Web of Science")</f>
        <v>View Full Record in Web of Science</v>
      </c>
    </row>
    <row r="295" ht="12.75" customHeight="1">
      <c r="A295" s="1" t="s">
        <v>65</v>
      </c>
      <c r="B295" s="1" t="s">
        <v>6262</v>
      </c>
      <c r="C295" s="1" t="s">
        <v>6263</v>
      </c>
      <c r="D295" s="1" t="s">
        <v>68</v>
      </c>
      <c r="E295" s="1" t="s">
        <v>6264</v>
      </c>
      <c r="F295" s="1" t="s">
        <v>749</v>
      </c>
      <c r="G295" s="1" t="s">
        <v>68</v>
      </c>
      <c r="H295" s="1" t="s">
        <v>71</v>
      </c>
      <c r="I295" s="1" t="s">
        <v>72</v>
      </c>
      <c r="J295" s="1" t="s">
        <v>68</v>
      </c>
      <c r="K295" s="1" t="s">
        <v>68</v>
      </c>
      <c r="L295" s="1" t="s">
        <v>68</v>
      </c>
      <c r="M295" s="1" t="s">
        <v>68</v>
      </c>
      <c r="N295" s="1" t="s">
        <v>6265</v>
      </c>
      <c r="O295" s="1" t="s">
        <v>6266</v>
      </c>
      <c r="P295" s="1" t="s">
        <v>6267</v>
      </c>
      <c r="Q295" s="1" t="s">
        <v>6268</v>
      </c>
      <c r="R295" s="1" t="s">
        <v>6269</v>
      </c>
      <c r="S295" s="1" t="s">
        <v>6270</v>
      </c>
      <c r="T295" s="1" t="s">
        <v>6271</v>
      </c>
      <c r="U295" s="1" t="s">
        <v>6272</v>
      </c>
      <c r="V295" s="1" t="s">
        <v>6273</v>
      </c>
      <c r="W295" s="1" t="s">
        <v>68</v>
      </c>
      <c r="X295" s="1" t="s">
        <v>68</v>
      </c>
      <c r="Y295" s="1" t="s">
        <v>68</v>
      </c>
      <c r="Z295" s="1">
        <v>57.0</v>
      </c>
      <c r="AA295" s="1">
        <v>3.0</v>
      </c>
      <c r="AB295" s="1">
        <v>3.0</v>
      </c>
      <c r="AC295" s="1">
        <v>1.0</v>
      </c>
      <c r="AD295" s="1">
        <v>10.0</v>
      </c>
      <c r="AE295" s="1" t="s">
        <v>758</v>
      </c>
      <c r="AF295" s="1" t="s">
        <v>862</v>
      </c>
      <c r="AG295" s="1" t="s">
        <v>863</v>
      </c>
      <c r="AH295" s="1" t="s">
        <v>761</v>
      </c>
      <c r="AI295" s="1" t="s">
        <v>762</v>
      </c>
      <c r="AJ295" s="1" t="s">
        <v>68</v>
      </c>
      <c r="AK295" s="1" t="s">
        <v>763</v>
      </c>
      <c r="AL295" s="1" t="s">
        <v>764</v>
      </c>
      <c r="AM295" s="1" t="s">
        <v>68</v>
      </c>
      <c r="AN295" s="1">
        <v>2024.0</v>
      </c>
      <c r="AO295" s="1">
        <v>51.0</v>
      </c>
      <c r="AP295" s="1">
        <v>1.0</v>
      </c>
      <c r="AQ295" s="1" t="s">
        <v>68</v>
      </c>
      <c r="AR295" s="1" t="s">
        <v>68</v>
      </c>
      <c r="AS295" s="1" t="s">
        <v>68</v>
      </c>
      <c r="AT295" s="1" t="s">
        <v>68</v>
      </c>
      <c r="AU295" s="1" t="s">
        <v>68</v>
      </c>
      <c r="AV295" s="1" t="s">
        <v>68</v>
      </c>
      <c r="AW295" s="1" t="s">
        <v>68</v>
      </c>
      <c r="AX295" s="1" t="s">
        <v>6274</v>
      </c>
      <c r="AY295" s="3" t="str">
        <f>HYPERLINK("http://dx.doi.org/10.1071/WR23036","http://dx.doi.org/10.1071/WR23036")</f>
        <v>http://dx.doi.org/10.1071/WR23036</v>
      </c>
      <c r="AZ295" s="1" t="s">
        <v>68</v>
      </c>
      <c r="BA295" s="1" t="s">
        <v>6275</v>
      </c>
      <c r="BB295" s="1">
        <v>12.0</v>
      </c>
      <c r="BC295" s="1" t="s">
        <v>766</v>
      </c>
      <c r="BD295" s="1" t="s">
        <v>92</v>
      </c>
      <c r="BE295" s="1" t="s">
        <v>767</v>
      </c>
      <c r="BF295" s="1" t="s">
        <v>6276</v>
      </c>
      <c r="BG295" s="1" t="s">
        <v>68</v>
      </c>
      <c r="BH295" s="1" t="s">
        <v>867</v>
      </c>
      <c r="BI295" s="1" t="s">
        <v>68</v>
      </c>
      <c r="BJ295" s="1" t="s">
        <v>68</v>
      </c>
      <c r="BK295" s="1" t="s">
        <v>95</v>
      </c>
      <c r="BL295" s="1" t="s">
        <v>6277</v>
      </c>
      <c r="BM295" s="1" t="str">
        <f>HYPERLINK("https%3A%2F%2Fwww.webofscience.com%2Fwos%2Fwoscc%2Ffull-record%2FWOS:001022286300001","View Full Record in Web of Science")</f>
        <v>View Full Record in Web of Science</v>
      </c>
    </row>
    <row r="296" ht="12.75" customHeight="1">
      <c r="A296" s="1" t="s">
        <v>65</v>
      </c>
      <c r="B296" s="1" t="s">
        <v>6278</v>
      </c>
      <c r="C296" s="1" t="s">
        <v>6279</v>
      </c>
      <c r="D296" s="1" t="s">
        <v>68</v>
      </c>
      <c r="E296" s="1" t="s">
        <v>6280</v>
      </c>
      <c r="F296" s="1" t="s">
        <v>6281</v>
      </c>
      <c r="G296" s="1" t="s">
        <v>68</v>
      </c>
      <c r="H296" s="1" t="s">
        <v>71</v>
      </c>
      <c r="I296" s="1" t="s">
        <v>72</v>
      </c>
      <c r="J296" s="1" t="s">
        <v>68</v>
      </c>
      <c r="K296" s="1" t="s">
        <v>68</v>
      </c>
      <c r="L296" s="1" t="s">
        <v>68</v>
      </c>
      <c r="M296" s="1" t="s">
        <v>68</v>
      </c>
      <c r="N296" s="1" t="s">
        <v>6282</v>
      </c>
      <c r="O296" s="1" t="s">
        <v>6283</v>
      </c>
      <c r="P296" s="1" t="s">
        <v>6284</v>
      </c>
      <c r="Q296" s="1" t="s">
        <v>6285</v>
      </c>
      <c r="R296" s="1" t="s">
        <v>6286</v>
      </c>
      <c r="S296" s="1" t="s">
        <v>6287</v>
      </c>
      <c r="T296" s="1" t="s">
        <v>6288</v>
      </c>
      <c r="U296" s="1" t="s">
        <v>6289</v>
      </c>
      <c r="V296" s="1" t="s">
        <v>6290</v>
      </c>
      <c r="W296" s="1" t="s">
        <v>6291</v>
      </c>
      <c r="X296" s="1" t="s">
        <v>6292</v>
      </c>
      <c r="Y296" s="1" t="s">
        <v>6293</v>
      </c>
      <c r="Z296" s="1">
        <v>125.0</v>
      </c>
      <c r="AA296" s="1">
        <v>19.0</v>
      </c>
      <c r="AB296" s="1">
        <v>20.0</v>
      </c>
      <c r="AC296" s="1">
        <v>7.0</v>
      </c>
      <c r="AD296" s="1">
        <v>30.0</v>
      </c>
      <c r="AE296" s="1" t="s">
        <v>422</v>
      </c>
      <c r="AF296" s="1" t="s">
        <v>423</v>
      </c>
      <c r="AG296" s="1" t="s">
        <v>424</v>
      </c>
      <c r="AH296" s="1" t="s">
        <v>6294</v>
      </c>
      <c r="AI296" s="1" t="s">
        <v>6295</v>
      </c>
      <c r="AJ296" s="1" t="s">
        <v>68</v>
      </c>
      <c r="AK296" s="1" t="s">
        <v>6296</v>
      </c>
      <c r="AL296" s="1" t="s">
        <v>6297</v>
      </c>
      <c r="AM296" s="1" t="s">
        <v>6298</v>
      </c>
      <c r="AN296" s="1">
        <v>2022.0</v>
      </c>
      <c r="AO296" s="1">
        <v>44.0</v>
      </c>
      <c r="AP296" s="1">
        <v>6.0</v>
      </c>
      <c r="AQ296" s="1" t="s">
        <v>68</v>
      </c>
      <c r="AR296" s="1" t="s">
        <v>68</v>
      </c>
      <c r="AS296" s="1" t="s">
        <v>68</v>
      </c>
      <c r="AT296" s="1" t="s">
        <v>68</v>
      </c>
      <c r="AU296" s="1">
        <v>827.0</v>
      </c>
      <c r="AV296" s="1">
        <v>845.0</v>
      </c>
      <c r="AW296" s="1" t="s">
        <v>68</v>
      </c>
      <c r="AX296" s="1" t="s">
        <v>6299</v>
      </c>
      <c r="AY296" s="3" t="str">
        <f>HYPERLINK("http://dx.doi.org/10.1093/plankt/fbac057","http://dx.doi.org/10.1093/plankt/fbac057")</f>
        <v>http://dx.doi.org/10.1093/plankt/fbac057</v>
      </c>
      <c r="AZ296" s="1" t="s">
        <v>68</v>
      </c>
      <c r="BA296" s="1" t="s">
        <v>6300</v>
      </c>
      <c r="BB296" s="1">
        <v>19.0</v>
      </c>
      <c r="BC296" s="1" t="s">
        <v>2657</v>
      </c>
      <c r="BD296" s="1" t="s">
        <v>92</v>
      </c>
      <c r="BE296" s="1" t="s">
        <v>2657</v>
      </c>
      <c r="BF296" s="1" t="s">
        <v>6301</v>
      </c>
      <c r="BG296" s="1" t="s">
        <v>68</v>
      </c>
      <c r="BH296" s="1" t="s">
        <v>701</v>
      </c>
      <c r="BI296" s="1" t="s">
        <v>68</v>
      </c>
      <c r="BJ296" s="1" t="s">
        <v>68</v>
      </c>
      <c r="BK296" s="1" t="s">
        <v>95</v>
      </c>
      <c r="BL296" s="1" t="s">
        <v>6302</v>
      </c>
      <c r="BM296" s="1" t="str">
        <f>HYPERLINK("https%3A%2F%2Fwww.webofscience.com%2Fwos%2Fwoscc%2Ffull-record%2FWOS:000869940000001","View Full Record in Web of Science")</f>
        <v>View Full Record in Web of Science</v>
      </c>
    </row>
    <row r="297" ht="12.75" customHeight="1">
      <c r="A297" s="1" t="s">
        <v>65</v>
      </c>
      <c r="B297" s="1" t="s">
        <v>6303</v>
      </c>
      <c r="C297" s="1" t="s">
        <v>6304</v>
      </c>
      <c r="D297" s="1" t="s">
        <v>68</v>
      </c>
      <c r="E297" s="1" t="s">
        <v>6305</v>
      </c>
      <c r="F297" s="1" t="s">
        <v>6306</v>
      </c>
      <c r="G297" s="1" t="s">
        <v>68</v>
      </c>
      <c r="H297" s="1" t="s">
        <v>71</v>
      </c>
      <c r="I297" s="1" t="s">
        <v>101</v>
      </c>
      <c r="J297" s="1" t="s">
        <v>68</v>
      </c>
      <c r="K297" s="1" t="s">
        <v>68</v>
      </c>
      <c r="L297" s="1" t="s">
        <v>68</v>
      </c>
      <c r="M297" s="1" t="s">
        <v>68</v>
      </c>
      <c r="N297" s="1" t="s">
        <v>6307</v>
      </c>
      <c r="O297" s="1" t="s">
        <v>6308</v>
      </c>
      <c r="P297" s="1" t="s">
        <v>6309</v>
      </c>
      <c r="Q297" s="1" t="s">
        <v>6310</v>
      </c>
      <c r="R297" s="1" t="s">
        <v>6311</v>
      </c>
      <c r="S297" s="1" t="s">
        <v>6312</v>
      </c>
      <c r="T297" s="1" t="s">
        <v>6313</v>
      </c>
      <c r="U297" s="1" t="s">
        <v>6314</v>
      </c>
      <c r="V297" s="1" t="s">
        <v>6315</v>
      </c>
      <c r="W297" s="1" t="s">
        <v>6316</v>
      </c>
      <c r="X297" s="1" t="s">
        <v>6316</v>
      </c>
      <c r="Y297" s="1" t="s">
        <v>6317</v>
      </c>
      <c r="Z297" s="1">
        <v>55.0</v>
      </c>
      <c r="AA297" s="1">
        <v>4.0</v>
      </c>
      <c r="AB297" s="1">
        <v>5.0</v>
      </c>
      <c r="AC297" s="1">
        <v>4.0</v>
      </c>
      <c r="AD297" s="1">
        <v>19.0</v>
      </c>
      <c r="AE297" s="1" t="s">
        <v>4371</v>
      </c>
      <c r="AF297" s="1" t="s">
        <v>6318</v>
      </c>
      <c r="AG297" s="1" t="s">
        <v>6319</v>
      </c>
      <c r="AH297" s="1" t="s">
        <v>6320</v>
      </c>
      <c r="AI297" s="1" t="s">
        <v>68</v>
      </c>
      <c r="AJ297" s="1" t="s">
        <v>68</v>
      </c>
      <c r="AK297" s="1" t="s">
        <v>6321</v>
      </c>
      <c r="AL297" s="1" t="s">
        <v>6322</v>
      </c>
      <c r="AM297" s="1" t="s">
        <v>2531</v>
      </c>
      <c r="AN297" s="1">
        <v>2024.0</v>
      </c>
      <c r="AO297" s="1">
        <v>19.0</v>
      </c>
      <c r="AP297" s="1">
        <v>10.0</v>
      </c>
      <c r="AQ297" s="1" t="s">
        <v>68</v>
      </c>
      <c r="AR297" s="1" t="s">
        <v>68</v>
      </c>
      <c r="AS297" s="1" t="s">
        <v>68</v>
      </c>
      <c r="AT297" s="1" t="s">
        <v>68</v>
      </c>
      <c r="AU297" s="1" t="s">
        <v>68</v>
      </c>
      <c r="AV297" s="1" t="s">
        <v>68</v>
      </c>
      <c r="AW297" s="1">
        <v>103006.0</v>
      </c>
      <c r="AX297" s="1" t="s">
        <v>6323</v>
      </c>
      <c r="AY297" s="3" t="str">
        <f>HYPERLINK("http://dx.doi.org/10.1088/1748-9326/ad7305","http://dx.doi.org/10.1088/1748-9326/ad7305")</f>
        <v>http://dx.doi.org/10.1088/1748-9326/ad7305</v>
      </c>
      <c r="AZ297" s="1" t="s">
        <v>68</v>
      </c>
      <c r="BA297" s="1" t="s">
        <v>68</v>
      </c>
      <c r="BB297" s="1">
        <v>13.0</v>
      </c>
      <c r="BC297" s="1" t="s">
        <v>6324</v>
      </c>
      <c r="BD297" s="1" t="s">
        <v>92</v>
      </c>
      <c r="BE297" s="1" t="s">
        <v>3896</v>
      </c>
      <c r="BF297" s="1" t="s">
        <v>6325</v>
      </c>
      <c r="BG297" s="1" t="s">
        <v>68</v>
      </c>
      <c r="BH297" s="1" t="s">
        <v>94</v>
      </c>
      <c r="BI297" s="1" t="s">
        <v>68</v>
      </c>
      <c r="BJ297" s="1" t="s">
        <v>68</v>
      </c>
      <c r="BK297" s="1" t="s">
        <v>95</v>
      </c>
      <c r="BL297" s="1" t="s">
        <v>6326</v>
      </c>
      <c r="BM297" s="1" t="str">
        <f>HYPERLINK("https%3A%2F%2Fwww.webofscience.com%2Fwos%2Fwoscc%2Ffull-record%2FWOS:001313968900001","View Full Record in Web of Science")</f>
        <v>View Full Record in Web of Science</v>
      </c>
    </row>
    <row r="298" ht="12.75" customHeight="1">
      <c r="A298" s="1" t="s">
        <v>65</v>
      </c>
      <c r="B298" s="1" t="s">
        <v>6327</v>
      </c>
      <c r="C298" s="1" t="s">
        <v>6328</v>
      </c>
      <c r="D298" s="1" t="s">
        <v>68</v>
      </c>
      <c r="E298" s="1" t="s">
        <v>6329</v>
      </c>
      <c r="F298" s="1" t="s">
        <v>1895</v>
      </c>
      <c r="G298" s="1" t="s">
        <v>68</v>
      </c>
      <c r="H298" s="1" t="s">
        <v>71</v>
      </c>
      <c r="I298" s="1" t="s">
        <v>72</v>
      </c>
      <c r="J298" s="1" t="s">
        <v>68</v>
      </c>
      <c r="K298" s="1" t="s">
        <v>68</v>
      </c>
      <c r="L298" s="1" t="s">
        <v>68</v>
      </c>
      <c r="M298" s="1" t="s">
        <v>68</v>
      </c>
      <c r="N298" s="1" t="s">
        <v>68</v>
      </c>
      <c r="O298" s="1" t="s">
        <v>6330</v>
      </c>
      <c r="P298" s="1" t="s">
        <v>6331</v>
      </c>
      <c r="Q298" s="1" t="s">
        <v>6332</v>
      </c>
      <c r="R298" s="1" t="s">
        <v>6333</v>
      </c>
      <c r="S298" s="1" t="s">
        <v>6334</v>
      </c>
      <c r="T298" s="1" t="s">
        <v>6335</v>
      </c>
      <c r="U298" s="1" t="s">
        <v>6336</v>
      </c>
      <c r="V298" s="1" t="s">
        <v>6337</v>
      </c>
      <c r="W298" s="1" t="s">
        <v>6338</v>
      </c>
      <c r="X298" s="1" t="s">
        <v>6339</v>
      </c>
      <c r="Y298" s="1" t="s">
        <v>6340</v>
      </c>
      <c r="Z298" s="1">
        <v>89.0</v>
      </c>
      <c r="AA298" s="1">
        <v>10.0</v>
      </c>
      <c r="AB298" s="1">
        <v>11.0</v>
      </c>
      <c r="AC298" s="1">
        <v>0.0</v>
      </c>
      <c r="AD298" s="1">
        <v>8.0</v>
      </c>
      <c r="AE298" s="1" t="s">
        <v>1906</v>
      </c>
      <c r="AF298" s="1" t="s">
        <v>1907</v>
      </c>
      <c r="AG298" s="1" t="s">
        <v>1908</v>
      </c>
      <c r="AH298" s="1" t="s">
        <v>1909</v>
      </c>
      <c r="AI298" s="1" t="s">
        <v>68</v>
      </c>
      <c r="AJ298" s="1" t="s">
        <v>68</v>
      </c>
      <c r="AK298" s="1" t="s">
        <v>1895</v>
      </c>
      <c r="AL298" s="1" t="s">
        <v>1910</v>
      </c>
      <c r="AM298" s="1" t="s">
        <v>2132</v>
      </c>
      <c r="AN298" s="1">
        <v>2022.0</v>
      </c>
      <c r="AO298" s="1">
        <v>17.0</v>
      </c>
      <c r="AP298" s="1">
        <v>2.0</v>
      </c>
      <c r="AQ298" s="1" t="s">
        <v>68</v>
      </c>
      <c r="AR298" s="1" t="s">
        <v>68</v>
      </c>
      <c r="AS298" s="1" t="s">
        <v>68</v>
      </c>
      <c r="AT298" s="1" t="s">
        <v>68</v>
      </c>
      <c r="AU298" s="1" t="s">
        <v>68</v>
      </c>
      <c r="AV298" s="1" t="s">
        <v>68</v>
      </c>
      <c r="AW298" s="1" t="s">
        <v>6341</v>
      </c>
      <c r="AX298" s="1" t="s">
        <v>6342</v>
      </c>
      <c r="AY298" s="3" t="str">
        <f>HYPERLINK("http://dx.doi.org/10.1371/journal.pone.0262850","http://dx.doi.org/10.1371/journal.pone.0262850")</f>
        <v>http://dx.doi.org/10.1371/journal.pone.0262850</v>
      </c>
      <c r="AZ298" s="1" t="s">
        <v>68</v>
      </c>
      <c r="BA298" s="1" t="s">
        <v>68</v>
      </c>
      <c r="BB298" s="1">
        <v>22.0</v>
      </c>
      <c r="BC298" s="1" t="s">
        <v>742</v>
      </c>
      <c r="BD298" s="1" t="s">
        <v>279</v>
      </c>
      <c r="BE298" s="1" t="s">
        <v>743</v>
      </c>
      <c r="BF298" s="1" t="s">
        <v>6343</v>
      </c>
      <c r="BG298" s="1">
        <v>3.5176044E7</v>
      </c>
      <c r="BH298" s="1" t="s">
        <v>94</v>
      </c>
      <c r="BI298" s="1" t="s">
        <v>68</v>
      </c>
      <c r="BJ298" s="1" t="s">
        <v>68</v>
      </c>
      <c r="BK298" s="1" t="s">
        <v>95</v>
      </c>
      <c r="BL298" s="1" t="s">
        <v>6344</v>
      </c>
      <c r="BM298" s="1" t="str">
        <f>HYPERLINK("https%3A%2F%2Fwww.webofscience.com%2Fwos%2Fwoscc%2Ffull-record%2FWOS:000777505200012","View Full Record in Web of Science")</f>
        <v>View Full Record in Web of Science</v>
      </c>
    </row>
    <row r="299" ht="12.75" customHeight="1">
      <c r="A299" s="1" t="s">
        <v>65</v>
      </c>
      <c r="B299" s="1" t="s">
        <v>6345</v>
      </c>
      <c r="C299" s="1" t="s">
        <v>6346</v>
      </c>
      <c r="D299" s="1" t="s">
        <v>68</v>
      </c>
      <c r="E299" s="1" t="s">
        <v>6347</v>
      </c>
      <c r="F299" s="1" t="s">
        <v>1518</v>
      </c>
      <c r="G299" s="1" t="s">
        <v>68</v>
      </c>
      <c r="H299" s="1" t="s">
        <v>71</v>
      </c>
      <c r="I299" s="1" t="s">
        <v>72</v>
      </c>
      <c r="J299" s="1" t="s">
        <v>68</v>
      </c>
      <c r="K299" s="1" t="s">
        <v>68</v>
      </c>
      <c r="L299" s="1" t="s">
        <v>68</v>
      </c>
      <c r="M299" s="1" t="s">
        <v>68</v>
      </c>
      <c r="N299" s="1" t="s">
        <v>6348</v>
      </c>
      <c r="O299" s="1" t="s">
        <v>68</v>
      </c>
      <c r="P299" s="1" t="s">
        <v>6349</v>
      </c>
      <c r="Q299" s="1" t="s">
        <v>6350</v>
      </c>
      <c r="R299" s="1" t="s">
        <v>6351</v>
      </c>
      <c r="S299" s="1" t="s">
        <v>6352</v>
      </c>
      <c r="T299" s="1" t="s">
        <v>6353</v>
      </c>
      <c r="U299" s="1" t="s">
        <v>6354</v>
      </c>
      <c r="V299" s="1" t="s">
        <v>6355</v>
      </c>
      <c r="W299" s="1" t="s">
        <v>6356</v>
      </c>
      <c r="X299" s="1" t="s">
        <v>6356</v>
      </c>
      <c r="Y299" s="1" t="s">
        <v>6357</v>
      </c>
      <c r="Z299" s="1">
        <v>39.0</v>
      </c>
      <c r="AA299" s="1">
        <v>2.0</v>
      </c>
      <c r="AB299" s="1">
        <v>2.0</v>
      </c>
      <c r="AC299" s="1">
        <v>0.0</v>
      </c>
      <c r="AD299" s="1">
        <v>0.0</v>
      </c>
      <c r="AE299" s="1" t="s">
        <v>1527</v>
      </c>
      <c r="AF299" s="1" t="s">
        <v>663</v>
      </c>
      <c r="AG299" s="1" t="s">
        <v>1528</v>
      </c>
      <c r="AH299" s="1" t="s">
        <v>1529</v>
      </c>
      <c r="AI299" s="1" t="s">
        <v>68</v>
      </c>
      <c r="AJ299" s="1" t="s">
        <v>68</v>
      </c>
      <c r="AK299" s="1" t="s">
        <v>1530</v>
      </c>
      <c r="AL299" s="1" t="s">
        <v>1531</v>
      </c>
      <c r="AM299" s="1" t="s">
        <v>68</v>
      </c>
      <c r="AN299" s="1">
        <v>2023.0</v>
      </c>
      <c r="AO299" s="1">
        <v>8.0</v>
      </c>
      <c r="AP299" s="1">
        <v>1.0</v>
      </c>
      <c r="AQ299" s="1" t="s">
        <v>68</v>
      </c>
      <c r="AR299" s="1" t="s">
        <v>68</v>
      </c>
      <c r="AS299" s="1" t="s">
        <v>68</v>
      </c>
      <c r="AT299" s="1" t="s">
        <v>68</v>
      </c>
      <c r="AU299" s="1" t="s">
        <v>68</v>
      </c>
      <c r="AV299" s="1" t="s">
        <v>68</v>
      </c>
      <c r="AW299" s="1">
        <v>44.0</v>
      </c>
      <c r="AX299" s="1" t="s">
        <v>6358</v>
      </c>
      <c r="AY299" s="3" t="str">
        <f>HYPERLINK("http://dx.doi.org/10.5334/cstp.573","http://dx.doi.org/10.5334/cstp.573")</f>
        <v>http://dx.doi.org/10.5334/cstp.573</v>
      </c>
      <c r="AZ299" s="1" t="s">
        <v>68</v>
      </c>
      <c r="BA299" s="1" t="s">
        <v>68</v>
      </c>
      <c r="BB299" s="1">
        <v>13.0</v>
      </c>
      <c r="BC299" s="1" t="s">
        <v>1533</v>
      </c>
      <c r="BD299" s="1" t="s">
        <v>197</v>
      </c>
      <c r="BE299" s="1" t="s">
        <v>1534</v>
      </c>
      <c r="BF299" s="1" t="s">
        <v>6359</v>
      </c>
      <c r="BG299" s="1" t="s">
        <v>68</v>
      </c>
      <c r="BH299" s="1" t="s">
        <v>618</v>
      </c>
      <c r="BI299" s="1" t="s">
        <v>68</v>
      </c>
      <c r="BJ299" s="1" t="s">
        <v>68</v>
      </c>
      <c r="BK299" s="1" t="s">
        <v>95</v>
      </c>
      <c r="BL299" s="1" t="s">
        <v>6360</v>
      </c>
      <c r="BM299" s="1" t="str">
        <f>HYPERLINK("https%3A%2F%2Fwww.webofscience.com%2Fwos%2Fwoscc%2Ffull-record%2FWOS:001552843300006","View Full Record in Web of Science")</f>
        <v>View Full Record in Web of Science</v>
      </c>
    </row>
    <row r="300" ht="12.75" customHeight="1">
      <c r="A300" s="1" t="s">
        <v>65</v>
      </c>
      <c r="B300" s="1" t="s">
        <v>6361</v>
      </c>
      <c r="C300" s="1" t="s">
        <v>6362</v>
      </c>
      <c r="D300" s="1" t="s">
        <v>68</v>
      </c>
      <c r="E300" s="1" t="s">
        <v>6363</v>
      </c>
      <c r="F300" s="1" t="s">
        <v>4651</v>
      </c>
      <c r="G300" s="1" t="s">
        <v>68</v>
      </c>
      <c r="H300" s="1" t="s">
        <v>71</v>
      </c>
      <c r="I300" s="1" t="s">
        <v>72</v>
      </c>
      <c r="J300" s="1" t="s">
        <v>68</v>
      </c>
      <c r="K300" s="1" t="s">
        <v>68</v>
      </c>
      <c r="L300" s="1" t="s">
        <v>68</v>
      </c>
      <c r="M300" s="1" t="s">
        <v>68</v>
      </c>
      <c r="N300" s="1" t="s">
        <v>6364</v>
      </c>
      <c r="O300" s="1" t="s">
        <v>6365</v>
      </c>
      <c r="P300" s="1" t="s">
        <v>6366</v>
      </c>
      <c r="Q300" s="1" t="s">
        <v>6367</v>
      </c>
      <c r="R300" s="1" t="s">
        <v>6368</v>
      </c>
      <c r="S300" s="1" t="s">
        <v>6369</v>
      </c>
      <c r="T300" s="1" t="s">
        <v>6370</v>
      </c>
      <c r="U300" s="1" t="s">
        <v>6371</v>
      </c>
      <c r="V300" s="1" t="s">
        <v>6372</v>
      </c>
      <c r="W300" s="1" t="s">
        <v>6373</v>
      </c>
      <c r="X300" s="1" t="s">
        <v>6374</v>
      </c>
      <c r="Y300" s="1" t="s">
        <v>6375</v>
      </c>
      <c r="Z300" s="1">
        <v>101.0</v>
      </c>
      <c r="AA300" s="1">
        <v>2.0</v>
      </c>
      <c r="AB300" s="1">
        <v>3.0</v>
      </c>
      <c r="AC300" s="1">
        <v>1.0</v>
      </c>
      <c r="AD300" s="1">
        <v>21.0</v>
      </c>
      <c r="AE300" s="1" t="s">
        <v>1596</v>
      </c>
      <c r="AF300" s="1" t="s">
        <v>1182</v>
      </c>
      <c r="AG300" s="1" t="s">
        <v>1597</v>
      </c>
      <c r="AH300" s="1" t="s">
        <v>4663</v>
      </c>
      <c r="AI300" s="1" t="s">
        <v>68</v>
      </c>
      <c r="AJ300" s="1" t="s">
        <v>68</v>
      </c>
      <c r="AK300" s="1" t="s">
        <v>4664</v>
      </c>
      <c r="AL300" s="1" t="s">
        <v>4665</v>
      </c>
      <c r="AM300" s="1" t="s">
        <v>252</v>
      </c>
      <c r="AN300" s="1">
        <v>2021.0</v>
      </c>
      <c r="AO300" s="1">
        <v>46.0</v>
      </c>
      <c r="AP300" s="1" t="s">
        <v>68</v>
      </c>
      <c r="AQ300" s="1" t="s">
        <v>68</v>
      </c>
      <c r="AR300" s="1" t="s">
        <v>68</v>
      </c>
      <c r="AS300" s="1" t="s">
        <v>68</v>
      </c>
      <c r="AT300" s="1" t="s">
        <v>68</v>
      </c>
      <c r="AU300" s="1" t="s">
        <v>68</v>
      </c>
      <c r="AV300" s="1" t="s">
        <v>68</v>
      </c>
      <c r="AW300" s="1">
        <v>101906.0</v>
      </c>
      <c r="AX300" s="1" t="s">
        <v>6376</v>
      </c>
      <c r="AY300" s="3" t="str">
        <f>HYPERLINK("http://dx.doi.org/10.1016/j.rsma.2021.101906","http://dx.doi.org/10.1016/j.rsma.2021.101906")</f>
        <v>http://dx.doi.org/10.1016/j.rsma.2021.101906</v>
      </c>
      <c r="AZ300" s="1" t="s">
        <v>68</v>
      </c>
      <c r="BA300" s="1" t="s">
        <v>961</v>
      </c>
      <c r="BB300" s="1">
        <v>16.0</v>
      </c>
      <c r="BC300" s="1" t="s">
        <v>4593</v>
      </c>
      <c r="BD300" s="1" t="s">
        <v>279</v>
      </c>
      <c r="BE300" s="1" t="s">
        <v>2350</v>
      </c>
      <c r="BF300" s="1" t="s">
        <v>6377</v>
      </c>
      <c r="BG300" s="1" t="s">
        <v>68</v>
      </c>
      <c r="BH300" s="1" t="s">
        <v>867</v>
      </c>
      <c r="BI300" s="1" t="s">
        <v>68</v>
      </c>
      <c r="BJ300" s="1" t="s">
        <v>68</v>
      </c>
      <c r="BK300" s="1" t="s">
        <v>95</v>
      </c>
      <c r="BL300" s="1" t="s">
        <v>6378</v>
      </c>
      <c r="BM300" s="1" t="str">
        <f>HYPERLINK("https%3A%2F%2Fwww.webofscience.com%2Fwos%2Fwoscc%2Ffull-record%2FWOS:000674644400005","View Full Record in Web of Science")</f>
        <v>View Full Record in Web of Science</v>
      </c>
    </row>
    <row r="301" ht="12.75" customHeight="1">
      <c r="A301" s="1" t="s">
        <v>65</v>
      </c>
      <c r="B301" s="1" t="s">
        <v>6379</v>
      </c>
      <c r="C301" s="1" t="s">
        <v>6380</v>
      </c>
      <c r="D301" s="1" t="s">
        <v>68</v>
      </c>
      <c r="E301" s="1" t="s">
        <v>6381</v>
      </c>
      <c r="F301" s="1" t="s">
        <v>826</v>
      </c>
      <c r="G301" s="1" t="s">
        <v>68</v>
      </c>
      <c r="H301" s="1" t="s">
        <v>71</v>
      </c>
      <c r="I301" s="1" t="s">
        <v>72</v>
      </c>
      <c r="J301" s="1" t="s">
        <v>68</v>
      </c>
      <c r="K301" s="1" t="s">
        <v>68</v>
      </c>
      <c r="L301" s="1" t="s">
        <v>68</v>
      </c>
      <c r="M301" s="1" t="s">
        <v>68</v>
      </c>
      <c r="N301" s="1" t="s">
        <v>68</v>
      </c>
      <c r="O301" s="1" t="s">
        <v>6382</v>
      </c>
      <c r="P301" s="1" t="s">
        <v>6383</v>
      </c>
      <c r="Q301" s="1" t="s">
        <v>6384</v>
      </c>
      <c r="R301" s="1" t="s">
        <v>6385</v>
      </c>
      <c r="S301" s="1" t="s">
        <v>6386</v>
      </c>
      <c r="T301" s="1" t="s">
        <v>6387</v>
      </c>
      <c r="U301" s="1" t="s">
        <v>6388</v>
      </c>
      <c r="V301" s="1" t="s">
        <v>6389</v>
      </c>
      <c r="W301" s="1" t="s">
        <v>6390</v>
      </c>
      <c r="X301" s="1" t="s">
        <v>6391</v>
      </c>
      <c r="Y301" s="1" t="s">
        <v>6392</v>
      </c>
      <c r="Z301" s="1">
        <v>81.0</v>
      </c>
      <c r="AA301" s="1">
        <v>4.0</v>
      </c>
      <c r="AB301" s="1">
        <v>5.0</v>
      </c>
      <c r="AC301" s="1">
        <v>4.0</v>
      </c>
      <c r="AD301" s="1">
        <v>22.0</v>
      </c>
      <c r="AE301" s="1" t="s">
        <v>838</v>
      </c>
      <c r="AF301" s="1" t="s">
        <v>839</v>
      </c>
      <c r="AG301" s="1" t="s">
        <v>840</v>
      </c>
      <c r="AH301" s="1" t="s">
        <v>841</v>
      </c>
      <c r="AI301" s="1" t="s">
        <v>68</v>
      </c>
      <c r="AJ301" s="1" t="s">
        <v>68</v>
      </c>
      <c r="AK301" s="1" t="s">
        <v>842</v>
      </c>
      <c r="AL301" s="1" t="s">
        <v>843</v>
      </c>
      <c r="AM301" s="1" t="s">
        <v>6393</v>
      </c>
      <c r="AN301" s="1">
        <v>2022.0</v>
      </c>
      <c r="AO301" s="1">
        <v>12.0</v>
      </c>
      <c r="AP301" s="1">
        <v>1.0</v>
      </c>
      <c r="AQ301" s="1" t="s">
        <v>68</v>
      </c>
      <c r="AR301" s="1" t="s">
        <v>68</v>
      </c>
      <c r="AS301" s="1" t="s">
        <v>68</v>
      </c>
      <c r="AT301" s="1" t="s">
        <v>68</v>
      </c>
      <c r="AU301" s="1" t="s">
        <v>68</v>
      </c>
      <c r="AV301" s="1" t="s">
        <v>68</v>
      </c>
      <c r="AW301" s="1">
        <v>14331.0</v>
      </c>
      <c r="AX301" s="1" t="s">
        <v>6394</v>
      </c>
      <c r="AY301" s="3" t="str">
        <f>HYPERLINK("http://dx.doi.org/10.1038/s41598-022-18672-0","http://dx.doi.org/10.1038/s41598-022-18672-0")</f>
        <v>http://dx.doi.org/10.1038/s41598-022-18672-0</v>
      </c>
      <c r="AZ301" s="1" t="s">
        <v>68</v>
      </c>
      <c r="BA301" s="1" t="s">
        <v>68</v>
      </c>
      <c r="BB301" s="1">
        <v>13.0</v>
      </c>
      <c r="BC301" s="1" t="s">
        <v>742</v>
      </c>
      <c r="BD301" s="1" t="s">
        <v>92</v>
      </c>
      <c r="BE301" s="1" t="s">
        <v>743</v>
      </c>
      <c r="BF301" s="1" t="s">
        <v>6395</v>
      </c>
      <c r="BG301" s="1">
        <v>3.5995928E7</v>
      </c>
      <c r="BH301" s="1" t="s">
        <v>94</v>
      </c>
      <c r="BI301" s="1" t="s">
        <v>68</v>
      </c>
      <c r="BJ301" s="1" t="s">
        <v>68</v>
      </c>
      <c r="BK301" s="1" t="s">
        <v>95</v>
      </c>
      <c r="BL301" s="1" t="s">
        <v>6396</v>
      </c>
      <c r="BM301" s="1" t="str">
        <f>HYPERLINK("https%3A%2F%2Fwww.webofscience.com%2Fwos%2Fwoscc%2Ffull-record%2FWOS:000844144900019","View Full Record in Web of Science")</f>
        <v>View Full Record in Web of Science</v>
      </c>
    </row>
    <row r="302" ht="12.75" customHeight="1">
      <c r="A302" s="1" t="s">
        <v>65</v>
      </c>
      <c r="B302" s="1" t="s">
        <v>6397</v>
      </c>
      <c r="C302" s="1" t="s">
        <v>6398</v>
      </c>
      <c r="D302" s="1" t="s">
        <v>68</v>
      </c>
      <c r="E302" s="1" t="s">
        <v>6399</v>
      </c>
      <c r="F302" s="1" t="s">
        <v>2330</v>
      </c>
      <c r="G302" s="1" t="s">
        <v>68</v>
      </c>
      <c r="H302" s="1" t="s">
        <v>71</v>
      </c>
      <c r="I302" s="1" t="s">
        <v>72</v>
      </c>
      <c r="J302" s="1" t="s">
        <v>68</v>
      </c>
      <c r="K302" s="1" t="s">
        <v>68</v>
      </c>
      <c r="L302" s="1" t="s">
        <v>68</v>
      </c>
      <c r="M302" s="1" t="s">
        <v>68</v>
      </c>
      <c r="N302" s="1" t="s">
        <v>6400</v>
      </c>
      <c r="O302" s="1" t="s">
        <v>6401</v>
      </c>
      <c r="P302" s="1" t="s">
        <v>6402</v>
      </c>
      <c r="Q302" s="1" t="s">
        <v>6403</v>
      </c>
      <c r="R302" s="1" t="s">
        <v>6404</v>
      </c>
      <c r="S302" s="1" t="s">
        <v>6405</v>
      </c>
      <c r="T302" s="1" t="s">
        <v>6406</v>
      </c>
      <c r="U302" s="1" t="s">
        <v>6407</v>
      </c>
      <c r="V302" s="1" t="s">
        <v>6408</v>
      </c>
      <c r="W302" s="1" t="s">
        <v>68</v>
      </c>
      <c r="X302" s="1" t="s">
        <v>68</v>
      </c>
      <c r="Y302" s="1" t="s">
        <v>68</v>
      </c>
      <c r="Z302" s="1">
        <v>21.0</v>
      </c>
      <c r="AA302" s="1">
        <v>53.0</v>
      </c>
      <c r="AB302" s="1">
        <v>54.0</v>
      </c>
      <c r="AC302" s="1">
        <v>0.0</v>
      </c>
      <c r="AD302" s="1">
        <v>39.0</v>
      </c>
      <c r="AE302" s="1" t="s">
        <v>953</v>
      </c>
      <c r="AF302" s="1" t="s">
        <v>423</v>
      </c>
      <c r="AG302" s="1" t="s">
        <v>954</v>
      </c>
      <c r="AH302" s="1" t="s">
        <v>2342</v>
      </c>
      <c r="AI302" s="1" t="s">
        <v>2343</v>
      </c>
      <c r="AJ302" s="1" t="s">
        <v>68</v>
      </c>
      <c r="AK302" s="1" t="s">
        <v>2344</v>
      </c>
      <c r="AL302" s="1" t="s">
        <v>2345</v>
      </c>
      <c r="AM302" s="1" t="s">
        <v>6409</v>
      </c>
      <c r="AN302" s="1">
        <v>2017.0</v>
      </c>
      <c r="AO302" s="1">
        <v>117.0</v>
      </c>
      <c r="AP302" s="1" t="s">
        <v>2347</v>
      </c>
      <c r="AQ302" s="1" t="s">
        <v>68</v>
      </c>
      <c r="AR302" s="1" t="s">
        <v>68</v>
      </c>
      <c r="AS302" s="1" t="s">
        <v>68</v>
      </c>
      <c r="AT302" s="1" t="s">
        <v>68</v>
      </c>
      <c r="AU302" s="1">
        <v>148.0</v>
      </c>
      <c r="AV302" s="1">
        <v>155.0</v>
      </c>
      <c r="AW302" s="1" t="s">
        <v>68</v>
      </c>
      <c r="AX302" s="1" t="s">
        <v>6410</v>
      </c>
      <c r="AY302" s="3" t="str">
        <f>HYPERLINK("http://dx.doi.org/10.1016/j.marpolbul.2017.01.054","http://dx.doi.org/10.1016/j.marpolbul.2017.01.054")</f>
        <v>http://dx.doi.org/10.1016/j.marpolbul.2017.01.054</v>
      </c>
      <c r="AZ302" s="1" t="s">
        <v>68</v>
      </c>
      <c r="BA302" s="1" t="s">
        <v>68</v>
      </c>
      <c r="BB302" s="1">
        <v>8.0</v>
      </c>
      <c r="BC302" s="1" t="s">
        <v>2349</v>
      </c>
      <c r="BD302" s="1" t="s">
        <v>92</v>
      </c>
      <c r="BE302" s="1" t="s">
        <v>2350</v>
      </c>
      <c r="BF302" s="1" t="s">
        <v>6411</v>
      </c>
      <c r="BG302" s="1">
        <v>2.8162251E7</v>
      </c>
      <c r="BH302" s="1" t="s">
        <v>68</v>
      </c>
      <c r="BI302" s="1" t="s">
        <v>68</v>
      </c>
      <c r="BJ302" s="1" t="s">
        <v>68</v>
      </c>
      <c r="BK302" s="1" t="s">
        <v>95</v>
      </c>
      <c r="BL302" s="1" t="s">
        <v>6412</v>
      </c>
      <c r="BM302" s="1" t="str">
        <f>HYPERLINK("https%3A%2F%2Fwww.webofscience.com%2Fwos%2Fwoscc%2Ffull-record%2FWOS:000399258600030","View Full Record in Web of Science")</f>
        <v>View Full Record in Web of Science</v>
      </c>
    </row>
    <row r="303" ht="12.75" customHeight="1">
      <c r="A303" s="1" t="s">
        <v>65</v>
      </c>
      <c r="B303" s="1" t="s">
        <v>5300</v>
      </c>
      <c r="C303" s="1" t="s">
        <v>5301</v>
      </c>
      <c r="D303" s="1" t="s">
        <v>68</v>
      </c>
      <c r="E303" s="1" t="s">
        <v>6413</v>
      </c>
      <c r="F303" s="1" t="s">
        <v>2089</v>
      </c>
      <c r="G303" s="1" t="s">
        <v>68</v>
      </c>
      <c r="H303" s="1" t="s">
        <v>71</v>
      </c>
      <c r="I303" s="1" t="s">
        <v>101</v>
      </c>
      <c r="J303" s="1" t="s">
        <v>68</v>
      </c>
      <c r="K303" s="1" t="s">
        <v>68</v>
      </c>
      <c r="L303" s="1" t="s">
        <v>68</v>
      </c>
      <c r="M303" s="1" t="s">
        <v>68</v>
      </c>
      <c r="N303" s="1" t="s">
        <v>6414</v>
      </c>
      <c r="O303" s="1" t="s">
        <v>6415</v>
      </c>
      <c r="P303" s="1" t="s">
        <v>6416</v>
      </c>
      <c r="Q303" s="1" t="s">
        <v>6417</v>
      </c>
      <c r="R303" s="1" t="s">
        <v>6418</v>
      </c>
      <c r="S303" s="1" t="s">
        <v>6419</v>
      </c>
      <c r="T303" s="1" t="s">
        <v>6420</v>
      </c>
      <c r="U303" s="1" t="s">
        <v>68</v>
      </c>
      <c r="V303" s="1" t="s">
        <v>5310</v>
      </c>
      <c r="W303" s="1" t="s">
        <v>68</v>
      </c>
      <c r="X303" s="1" t="s">
        <v>68</v>
      </c>
      <c r="Y303" s="1" t="s">
        <v>68</v>
      </c>
      <c r="Z303" s="1">
        <v>76.0</v>
      </c>
      <c r="AA303" s="1">
        <v>44.0</v>
      </c>
      <c r="AB303" s="1">
        <v>48.0</v>
      </c>
      <c r="AC303" s="1">
        <v>3.0</v>
      </c>
      <c r="AD303" s="1">
        <v>78.0</v>
      </c>
      <c r="AE303" s="1" t="s">
        <v>114</v>
      </c>
      <c r="AF303" s="1" t="s">
        <v>1505</v>
      </c>
      <c r="AG303" s="1" t="s">
        <v>1506</v>
      </c>
      <c r="AH303" s="1" t="s">
        <v>2102</v>
      </c>
      <c r="AI303" s="1" t="s">
        <v>2103</v>
      </c>
      <c r="AJ303" s="1" t="s">
        <v>68</v>
      </c>
      <c r="AK303" s="1" t="s">
        <v>2104</v>
      </c>
      <c r="AL303" s="1" t="s">
        <v>2105</v>
      </c>
      <c r="AM303" s="1" t="s">
        <v>6421</v>
      </c>
      <c r="AN303" s="1">
        <v>2020.0</v>
      </c>
      <c r="AO303" s="1">
        <v>192.0</v>
      </c>
      <c r="AP303" s="1">
        <v>4.0</v>
      </c>
      <c r="AQ303" s="1" t="s">
        <v>68</v>
      </c>
      <c r="AR303" s="1" t="s">
        <v>68</v>
      </c>
      <c r="AS303" s="1" t="s">
        <v>68</v>
      </c>
      <c r="AT303" s="1" t="s">
        <v>68</v>
      </c>
      <c r="AU303" s="1" t="s">
        <v>68</v>
      </c>
      <c r="AV303" s="1" t="s">
        <v>68</v>
      </c>
      <c r="AW303" s="1">
        <v>218.0</v>
      </c>
      <c r="AX303" s="1" t="s">
        <v>6422</v>
      </c>
      <c r="AY303" s="3" t="str">
        <f>HYPERLINK("http://dx.doi.org/10.1007/s10661-020-8193-6","http://dx.doi.org/10.1007/s10661-020-8193-6")</f>
        <v>http://dx.doi.org/10.1007/s10661-020-8193-6</v>
      </c>
      <c r="AZ303" s="1" t="s">
        <v>68</v>
      </c>
      <c r="BA303" s="1" t="s">
        <v>68</v>
      </c>
      <c r="BB303" s="1">
        <v>11.0</v>
      </c>
      <c r="BC303" s="1" t="s">
        <v>484</v>
      </c>
      <c r="BD303" s="1" t="s">
        <v>92</v>
      </c>
      <c r="BE303" s="1" t="s">
        <v>333</v>
      </c>
      <c r="BF303" s="1" t="s">
        <v>6423</v>
      </c>
      <c r="BG303" s="1">
        <v>3.2144562E7</v>
      </c>
      <c r="BH303" s="1" t="s">
        <v>68</v>
      </c>
      <c r="BI303" s="1" t="s">
        <v>68</v>
      </c>
      <c r="BJ303" s="1" t="s">
        <v>68</v>
      </c>
      <c r="BK303" s="1" t="s">
        <v>95</v>
      </c>
      <c r="BL303" s="1" t="s">
        <v>6424</v>
      </c>
      <c r="BM303" s="1" t="str">
        <f>HYPERLINK("https%3A%2F%2Fwww.webofscience.com%2Fwos%2Fwoscc%2Ffull-record%2FWOS:000518504500001","View Full Record in Web of Science")</f>
        <v>View Full Record in Web of Science</v>
      </c>
    </row>
    <row r="304" ht="12.75" customHeight="1">
      <c r="A304" s="1" t="s">
        <v>65</v>
      </c>
      <c r="B304" s="1" t="s">
        <v>6425</v>
      </c>
      <c r="C304" s="1" t="s">
        <v>6426</v>
      </c>
      <c r="D304" s="1" t="s">
        <v>68</v>
      </c>
      <c r="E304" s="1" t="s">
        <v>6427</v>
      </c>
      <c r="F304" s="1" t="s">
        <v>2203</v>
      </c>
      <c r="G304" s="1" t="s">
        <v>68</v>
      </c>
      <c r="H304" s="1" t="s">
        <v>71</v>
      </c>
      <c r="I304" s="1" t="s">
        <v>72</v>
      </c>
      <c r="J304" s="1" t="s">
        <v>68</v>
      </c>
      <c r="K304" s="1" t="s">
        <v>68</v>
      </c>
      <c r="L304" s="1" t="s">
        <v>68</v>
      </c>
      <c r="M304" s="1" t="s">
        <v>68</v>
      </c>
      <c r="N304" s="1" t="s">
        <v>6428</v>
      </c>
      <c r="O304" s="1" t="s">
        <v>6429</v>
      </c>
      <c r="P304" s="1" t="s">
        <v>6430</v>
      </c>
      <c r="Q304" s="1" t="s">
        <v>6431</v>
      </c>
      <c r="R304" s="1" t="s">
        <v>6432</v>
      </c>
      <c r="S304" s="1" t="s">
        <v>6433</v>
      </c>
      <c r="T304" s="1" t="s">
        <v>6434</v>
      </c>
      <c r="U304" s="1" t="s">
        <v>6435</v>
      </c>
      <c r="V304" s="1" t="s">
        <v>6436</v>
      </c>
      <c r="W304" s="1" t="s">
        <v>68</v>
      </c>
      <c r="X304" s="1" t="s">
        <v>68</v>
      </c>
      <c r="Y304" s="1" t="s">
        <v>68</v>
      </c>
      <c r="Z304" s="1">
        <v>49.0</v>
      </c>
      <c r="AA304" s="1">
        <v>3.0</v>
      </c>
      <c r="AB304" s="1">
        <v>4.0</v>
      </c>
      <c r="AC304" s="1">
        <v>0.0</v>
      </c>
      <c r="AD304" s="1">
        <v>8.0</v>
      </c>
      <c r="AE304" s="1" t="s">
        <v>83</v>
      </c>
      <c r="AF304" s="1" t="s">
        <v>84</v>
      </c>
      <c r="AG304" s="1" t="s">
        <v>85</v>
      </c>
      <c r="AH304" s="1" t="s">
        <v>68</v>
      </c>
      <c r="AI304" s="1" t="s">
        <v>2216</v>
      </c>
      <c r="AJ304" s="1" t="s">
        <v>68</v>
      </c>
      <c r="AK304" s="1" t="s">
        <v>2217</v>
      </c>
      <c r="AL304" s="1" t="s">
        <v>2218</v>
      </c>
      <c r="AM304" s="1" t="s">
        <v>6437</v>
      </c>
      <c r="AN304" s="1">
        <v>2023.0</v>
      </c>
      <c r="AO304" s="1">
        <v>5.0</v>
      </c>
      <c r="AP304" s="1" t="s">
        <v>68</v>
      </c>
      <c r="AQ304" s="1" t="s">
        <v>68</v>
      </c>
      <c r="AR304" s="1" t="s">
        <v>68</v>
      </c>
      <c r="AS304" s="1" t="s">
        <v>68</v>
      </c>
      <c r="AT304" s="1" t="s">
        <v>68</v>
      </c>
      <c r="AU304" s="1" t="s">
        <v>68</v>
      </c>
      <c r="AV304" s="1" t="s">
        <v>68</v>
      </c>
      <c r="AW304" s="1">
        <v>1050378.0</v>
      </c>
      <c r="AX304" s="1" t="s">
        <v>6438</v>
      </c>
      <c r="AY304" s="3" t="str">
        <f>HYPERLINK("http://dx.doi.org/10.3389/frwa.2023.1050378","http://dx.doi.org/10.3389/frwa.2023.1050378")</f>
        <v>http://dx.doi.org/10.3389/frwa.2023.1050378</v>
      </c>
      <c r="AZ304" s="1" t="s">
        <v>68</v>
      </c>
      <c r="BA304" s="1" t="s">
        <v>68</v>
      </c>
      <c r="BB304" s="1">
        <v>13.0</v>
      </c>
      <c r="BC304" s="1" t="s">
        <v>2221</v>
      </c>
      <c r="BD304" s="1" t="s">
        <v>197</v>
      </c>
      <c r="BE304" s="1" t="s">
        <v>2221</v>
      </c>
      <c r="BF304" s="1" t="s">
        <v>6439</v>
      </c>
      <c r="BG304" s="1" t="s">
        <v>68</v>
      </c>
      <c r="BH304" s="1" t="s">
        <v>94</v>
      </c>
      <c r="BI304" s="1" t="s">
        <v>68</v>
      </c>
      <c r="BJ304" s="1" t="s">
        <v>68</v>
      </c>
      <c r="BK304" s="1" t="s">
        <v>95</v>
      </c>
      <c r="BL304" s="1" t="s">
        <v>6440</v>
      </c>
      <c r="BM304" s="1" t="str">
        <f>HYPERLINK("https%3A%2F%2Fwww.webofscience.com%2Fwos%2Fwoscc%2Ffull-record%2FWOS:000931114300001","View Full Record in Web of Science")</f>
        <v>View Full Record in Web of Science</v>
      </c>
    </row>
    <row r="305" ht="12.75" customHeight="1">
      <c r="A305" s="1" t="s">
        <v>65</v>
      </c>
      <c r="B305" s="1" t="s">
        <v>6441</v>
      </c>
      <c r="C305" s="1" t="s">
        <v>6442</v>
      </c>
      <c r="D305" s="1" t="s">
        <v>68</v>
      </c>
      <c r="E305" s="1" t="s">
        <v>6443</v>
      </c>
      <c r="F305" s="1" t="s">
        <v>1948</v>
      </c>
      <c r="G305" s="1" t="s">
        <v>68</v>
      </c>
      <c r="H305" s="1" t="s">
        <v>71</v>
      </c>
      <c r="I305" s="1" t="s">
        <v>72</v>
      </c>
      <c r="J305" s="1" t="s">
        <v>68</v>
      </c>
      <c r="K305" s="1" t="s">
        <v>68</v>
      </c>
      <c r="L305" s="1" t="s">
        <v>68</v>
      </c>
      <c r="M305" s="1" t="s">
        <v>68</v>
      </c>
      <c r="N305" s="1" t="s">
        <v>6444</v>
      </c>
      <c r="O305" s="1" t="s">
        <v>6445</v>
      </c>
      <c r="P305" s="1" t="s">
        <v>6446</v>
      </c>
      <c r="Q305" s="1" t="s">
        <v>6447</v>
      </c>
      <c r="R305" s="1" t="s">
        <v>6448</v>
      </c>
      <c r="S305" s="1" t="s">
        <v>6449</v>
      </c>
      <c r="T305" s="1" t="s">
        <v>6450</v>
      </c>
      <c r="U305" s="1" t="s">
        <v>6451</v>
      </c>
      <c r="V305" s="1" t="s">
        <v>6452</v>
      </c>
      <c r="W305" s="1" t="s">
        <v>6453</v>
      </c>
      <c r="X305" s="1" t="s">
        <v>6453</v>
      </c>
      <c r="Y305" s="1" t="s">
        <v>6454</v>
      </c>
      <c r="Z305" s="1">
        <v>64.0</v>
      </c>
      <c r="AA305" s="1">
        <v>6.0</v>
      </c>
      <c r="AB305" s="1">
        <v>7.0</v>
      </c>
      <c r="AC305" s="1">
        <v>0.0</v>
      </c>
      <c r="AD305" s="1">
        <v>13.0</v>
      </c>
      <c r="AE305" s="1" t="s">
        <v>1960</v>
      </c>
      <c r="AF305" s="1" t="s">
        <v>663</v>
      </c>
      <c r="AG305" s="1" t="s">
        <v>1961</v>
      </c>
      <c r="AH305" s="1" t="s">
        <v>1962</v>
      </c>
      <c r="AI305" s="1" t="s">
        <v>1963</v>
      </c>
      <c r="AJ305" s="1" t="s">
        <v>68</v>
      </c>
      <c r="AK305" s="1" t="s">
        <v>1964</v>
      </c>
      <c r="AL305" s="1" t="s">
        <v>1965</v>
      </c>
      <c r="AM305" s="1" t="s">
        <v>6455</v>
      </c>
      <c r="AN305" s="1">
        <v>2020.0</v>
      </c>
      <c r="AO305" s="1">
        <v>255.0</v>
      </c>
      <c r="AP305" s="1" t="s">
        <v>68</v>
      </c>
      <c r="AQ305" s="1" t="s">
        <v>68</v>
      </c>
      <c r="AR305" s="1" t="s">
        <v>68</v>
      </c>
      <c r="AS305" s="1" t="s">
        <v>68</v>
      </c>
      <c r="AT305" s="1" t="s">
        <v>68</v>
      </c>
      <c r="AU305" s="1" t="s">
        <v>68</v>
      </c>
      <c r="AV305" s="1" t="s">
        <v>68</v>
      </c>
      <c r="AW305" s="1">
        <v>109875.0</v>
      </c>
      <c r="AX305" s="1" t="s">
        <v>6456</v>
      </c>
      <c r="AY305" s="3" t="str">
        <f>HYPERLINK("http://dx.doi.org/10.1016/j.jenvman.2019.109875","http://dx.doi.org/10.1016/j.jenvman.2019.109875")</f>
        <v>http://dx.doi.org/10.1016/j.jenvman.2019.109875</v>
      </c>
      <c r="AZ305" s="1" t="s">
        <v>68</v>
      </c>
      <c r="BA305" s="1" t="s">
        <v>68</v>
      </c>
      <c r="BB305" s="1">
        <v>7.0</v>
      </c>
      <c r="BC305" s="1" t="s">
        <v>484</v>
      </c>
      <c r="BD305" s="1" t="s">
        <v>92</v>
      </c>
      <c r="BE305" s="1" t="s">
        <v>333</v>
      </c>
      <c r="BF305" s="1" t="s">
        <v>6457</v>
      </c>
      <c r="BG305" s="1">
        <v>3.2063321E7</v>
      </c>
      <c r="BH305" s="1" t="s">
        <v>68</v>
      </c>
      <c r="BI305" s="1" t="s">
        <v>68</v>
      </c>
      <c r="BJ305" s="1" t="s">
        <v>68</v>
      </c>
      <c r="BK305" s="1" t="s">
        <v>95</v>
      </c>
      <c r="BL305" s="1" t="s">
        <v>6458</v>
      </c>
      <c r="BM305" s="1" t="str">
        <f>HYPERLINK("https%3A%2F%2Fwww.webofscience.com%2Fwos%2Fwoscc%2Ffull-record%2FWOS:000518708700043","View Full Record in Web of Science")</f>
        <v>View Full Record in Web of Science</v>
      </c>
    </row>
    <row r="306" ht="12.75" customHeight="1">
      <c r="A306" s="1" t="s">
        <v>65</v>
      </c>
      <c r="B306" s="1" t="s">
        <v>6459</v>
      </c>
      <c r="C306" s="1" t="s">
        <v>6460</v>
      </c>
      <c r="D306" s="1" t="s">
        <v>68</v>
      </c>
      <c r="E306" s="1" t="s">
        <v>6461</v>
      </c>
      <c r="F306" s="1" t="s">
        <v>6462</v>
      </c>
      <c r="G306" s="1" t="s">
        <v>68</v>
      </c>
      <c r="H306" s="1" t="s">
        <v>71</v>
      </c>
      <c r="I306" s="1" t="s">
        <v>72</v>
      </c>
      <c r="J306" s="1" t="s">
        <v>68</v>
      </c>
      <c r="K306" s="1" t="s">
        <v>68</v>
      </c>
      <c r="L306" s="1" t="s">
        <v>68</v>
      </c>
      <c r="M306" s="1" t="s">
        <v>68</v>
      </c>
      <c r="N306" s="1" t="s">
        <v>6463</v>
      </c>
      <c r="O306" s="1" t="s">
        <v>68</v>
      </c>
      <c r="P306" s="1" t="s">
        <v>6464</v>
      </c>
      <c r="Q306" s="1" t="s">
        <v>6465</v>
      </c>
      <c r="R306" s="1" t="s">
        <v>68</v>
      </c>
      <c r="S306" s="1" t="s">
        <v>6466</v>
      </c>
      <c r="T306" s="1" t="s">
        <v>6467</v>
      </c>
      <c r="U306" s="1" t="s">
        <v>68</v>
      </c>
      <c r="V306" s="1" t="s">
        <v>68</v>
      </c>
      <c r="W306" s="1" t="s">
        <v>68</v>
      </c>
      <c r="X306" s="1" t="s">
        <v>68</v>
      </c>
      <c r="Y306" s="1" t="s">
        <v>68</v>
      </c>
      <c r="Z306" s="1">
        <v>29.0</v>
      </c>
      <c r="AA306" s="1">
        <v>99.0</v>
      </c>
      <c r="AB306" s="1">
        <v>101.0</v>
      </c>
      <c r="AC306" s="1">
        <v>0.0</v>
      </c>
      <c r="AD306" s="1">
        <v>50.0</v>
      </c>
      <c r="AE306" s="1" t="s">
        <v>6468</v>
      </c>
      <c r="AF306" s="1" t="s">
        <v>6469</v>
      </c>
      <c r="AG306" s="1" t="s">
        <v>6470</v>
      </c>
      <c r="AH306" s="1" t="s">
        <v>6471</v>
      </c>
      <c r="AI306" s="1" t="s">
        <v>68</v>
      </c>
      <c r="AJ306" s="1" t="s">
        <v>68</v>
      </c>
      <c r="AK306" s="1" t="s">
        <v>6472</v>
      </c>
      <c r="AL306" s="1" t="s">
        <v>6473</v>
      </c>
      <c r="AM306" s="1" t="s">
        <v>68</v>
      </c>
      <c r="AN306" s="1">
        <v>2016.0</v>
      </c>
      <c r="AO306" s="1">
        <v>15.0</v>
      </c>
      <c r="AP306" s="1">
        <v>3.0</v>
      </c>
      <c r="AQ306" s="1" t="s">
        <v>68</v>
      </c>
      <c r="AR306" s="1" t="s">
        <v>68</v>
      </c>
      <c r="AS306" s="1" t="s">
        <v>563</v>
      </c>
      <c r="AT306" s="1" t="s">
        <v>68</v>
      </c>
      <c r="AU306" s="1" t="s">
        <v>68</v>
      </c>
      <c r="AV306" s="1" t="s">
        <v>68</v>
      </c>
      <c r="AW306" s="1" t="s">
        <v>6474</v>
      </c>
      <c r="AX306" s="1" t="s">
        <v>68</v>
      </c>
      <c r="AY306" s="1" t="s">
        <v>68</v>
      </c>
      <c r="AZ306" s="1" t="s">
        <v>68</v>
      </c>
      <c r="BA306" s="1" t="s">
        <v>68</v>
      </c>
      <c r="BB306" s="1">
        <v>19.0</v>
      </c>
      <c r="BC306" s="1" t="s">
        <v>6475</v>
      </c>
      <c r="BD306" s="1" t="s">
        <v>197</v>
      </c>
      <c r="BE306" s="1" t="s">
        <v>6475</v>
      </c>
      <c r="BF306" s="1" t="s">
        <v>6476</v>
      </c>
      <c r="BG306" s="1" t="s">
        <v>68</v>
      </c>
      <c r="BH306" s="1" t="s">
        <v>68</v>
      </c>
      <c r="BI306" s="1" t="s">
        <v>68</v>
      </c>
      <c r="BJ306" s="1" t="s">
        <v>68</v>
      </c>
      <c r="BK306" s="1" t="s">
        <v>95</v>
      </c>
      <c r="BL306" s="1" t="s">
        <v>6477</v>
      </c>
      <c r="BM306" s="1" t="str">
        <f>HYPERLINK("https%3A%2F%2Fwww.webofscience.com%2Fwos%2Fwoscc%2Ffull-record%2FWOS:000376124900004","View Full Record in Web of Science")</f>
        <v>View Full Record in Web of Science</v>
      </c>
    </row>
    <row r="307" ht="12.75" customHeight="1">
      <c r="A307" s="1" t="s">
        <v>65</v>
      </c>
      <c r="B307" s="1" t="s">
        <v>6478</v>
      </c>
      <c r="C307" s="1" t="s">
        <v>6479</v>
      </c>
      <c r="D307" s="1" t="s">
        <v>68</v>
      </c>
      <c r="E307" s="1" t="s">
        <v>6480</v>
      </c>
      <c r="F307" s="1" t="s">
        <v>5101</v>
      </c>
      <c r="G307" s="1" t="s">
        <v>68</v>
      </c>
      <c r="H307" s="1" t="s">
        <v>71</v>
      </c>
      <c r="I307" s="1" t="s">
        <v>72</v>
      </c>
      <c r="J307" s="1" t="s">
        <v>68</v>
      </c>
      <c r="K307" s="1" t="s">
        <v>68</v>
      </c>
      <c r="L307" s="1" t="s">
        <v>68</v>
      </c>
      <c r="M307" s="1" t="s">
        <v>68</v>
      </c>
      <c r="N307" s="1" t="s">
        <v>6481</v>
      </c>
      <c r="O307" s="1" t="s">
        <v>6482</v>
      </c>
      <c r="P307" s="1" t="s">
        <v>6483</v>
      </c>
      <c r="Q307" s="1" t="s">
        <v>6484</v>
      </c>
      <c r="R307" s="1" t="s">
        <v>6485</v>
      </c>
      <c r="S307" s="1" t="s">
        <v>6486</v>
      </c>
      <c r="T307" s="1" t="s">
        <v>6487</v>
      </c>
      <c r="U307" s="1" t="s">
        <v>6488</v>
      </c>
      <c r="V307" s="1" t="s">
        <v>6489</v>
      </c>
      <c r="W307" s="1" t="s">
        <v>68</v>
      </c>
      <c r="X307" s="1" t="s">
        <v>68</v>
      </c>
      <c r="Y307" s="1" t="s">
        <v>68</v>
      </c>
      <c r="Z307" s="1">
        <v>48.0</v>
      </c>
      <c r="AA307" s="1">
        <v>23.0</v>
      </c>
      <c r="AB307" s="1">
        <v>24.0</v>
      </c>
      <c r="AC307" s="1">
        <v>0.0</v>
      </c>
      <c r="AD307" s="1">
        <v>7.0</v>
      </c>
      <c r="AE307" s="1" t="s">
        <v>503</v>
      </c>
      <c r="AF307" s="1" t="s">
        <v>504</v>
      </c>
      <c r="AG307" s="1" t="s">
        <v>505</v>
      </c>
      <c r="AH307" s="1" t="s">
        <v>5113</v>
      </c>
      <c r="AI307" s="1" t="s">
        <v>5114</v>
      </c>
      <c r="AJ307" s="1" t="s">
        <v>68</v>
      </c>
      <c r="AK307" s="1" t="s">
        <v>5115</v>
      </c>
      <c r="AL307" s="1" t="s">
        <v>5116</v>
      </c>
      <c r="AM307" s="1" t="s">
        <v>404</v>
      </c>
      <c r="AN307" s="1">
        <v>2022.0</v>
      </c>
      <c r="AO307" s="1">
        <v>69.0</v>
      </c>
      <c r="AP307" s="1">
        <v>5.0</v>
      </c>
      <c r="AQ307" s="1" t="s">
        <v>68</v>
      </c>
      <c r="AR307" s="1" t="s">
        <v>68</v>
      </c>
      <c r="AS307" s="1" t="s">
        <v>68</v>
      </c>
      <c r="AT307" s="1" t="s">
        <v>68</v>
      </c>
      <c r="AU307" s="1" t="s">
        <v>6490</v>
      </c>
      <c r="AV307" s="1" t="s">
        <v>6491</v>
      </c>
      <c r="AW307" s="1" t="s">
        <v>68</v>
      </c>
      <c r="AX307" s="1" t="s">
        <v>6492</v>
      </c>
      <c r="AY307" s="3" t="str">
        <f>HYPERLINK("http://dx.doi.org/10.1111/tbed.14563","http://dx.doi.org/10.1111/tbed.14563")</f>
        <v>http://dx.doi.org/10.1111/tbed.14563</v>
      </c>
      <c r="AZ307" s="1" t="s">
        <v>68</v>
      </c>
      <c r="BA307" s="1" t="s">
        <v>6493</v>
      </c>
      <c r="BB307" s="1">
        <v>9.0</v>
      </c>
      <c r="BC307" s="1" t="s">
        <v>5120</v>
      </c>
      <c r="BD307" s="1" t="s">
        <v>92</v>
      </c>
      <c r="BE307" s="1" t="s">
        <v>5120</v>
      </c>
      <c r="BF307" s="1" t="s">
        <v>6494</v>
      </c>
      <c r="BG307" s="1">
        <v>3.5436033E7</v>
      </c>
      <c r="BH307" s="1" t="s">
        <v>644</v>
      </c>
      <c r="BI307" s="1" t="s">
        <v>68</v>
      </c>
      <c r="BJ307" s="1" t="s">
        <v>68</v>
      </c>
      <c r="BK307" s="1" t="s">
        <v>95</v>
      </c>
      <c r="BL307" s="1" t="s">
        <v>6495</v>
      </c>
      <c r="BM307" s="1" t="str">
        <f>HYPERLINK("https%3A%2F%2Fwww.webofscience.com%2Fwos%2Fwoscc%2Ffull-record%2FWOS:000786702500001","View Full Record in Web of Science")</f>
        <v>View Full Record in Web of Science</v>
      </c>
    </row>
    <row r="308" ht="12.75" customHeight="1">
      <c r="A308" s="1" t="s">
        <v>65</v>
      </c>
      <c r="B308" s="1" t="s">
        <v>6496</v>
      </c>
      <c r="C308" s="1" t="s">
        <v>6497</v>
      </c>
      <c r="D308" s="1" t="s">
        <v>68</v>
      </c>
      <c r="E308" s="1" t="s">
        <v>6498</v>
      </c>
      <c r="F308" s="1" t="s">
        <v>6499</v>
      </c>
      <c r="G308" s="1" t="s">
        <v>68</v>
      </c>
      <c r="H308" s="1" t="s">
        <v>71</v>
      </c>
      <c r="I308" s="1" t="s">
        <v>72</v>
      </c>
      <c r="J308" s="1" t="s">
        <v>68</v>
      </c>
      <c r="K308" s="1" t="s">
        <v>68</v>
      </c>
      <c r="L308" s="1" t="s">
        <v>68</v>
      </c>
      <c r="M308" s="1" t="s">
        <v>68</v>
      </c>
      <c r="N308" s="1" t="s">
        <v>6500</v>
      </c>
      <c r="O308" s="1" t="s">
        <v>6501</v>
      </c>
      <c r="P308" s="1" t="s">
        <v>6502</v>
      </c>
      <c r="Q308" s="1" t="s">
        <v>6503</v>
      </c>
      <c r="R308" s="1" t="s">
        <v>6504</v>
      </c>
      <c r="S308" s="1" t="s">
        <v>6505</v>
      </c>
      <c r="T308" s="1" t="s">
        <v>6506</v>
      </c>
      <c r="U308" s="1" t="s">
        <v>6507</v>
      </c>
      <c r="V308" s="1" t="s">
        <v>6508</v>
      </c>
      <c r="W308" s="1" t="s">
        <v>6509</v>
      </c>
      <c r="X308" s="1" t="s">
        <v>6510</v>
      </c>
      <c r="Y308" s="1" t="s">
        <v>6511</v>
      </c>
      <c r="Z308" s="1">
        <v>70.0</v>
      </c>
      <c r="AA308" s="1">
        <v>24.0</v>
      </c>
      <c r="AB308" s="1">
        <v>28.0</v>
      </c>
      <c r="AC308" s="1">
        <v>1.0</v>
      </c>
      <c r="AD308" s="1">
        <v>11.0</v>
      </c>
      <c r="AE308" s="1" t="s">
        <v>503</v>
      </c>
      <c r="AF308" s="1" t="s">
        <v>504</v>
      </c>
      <c r="AG308" s="1" t="s">
        <v>505</v>
      </c>
      <c r="AH308" s="1" t="s">
        <v>68</v>
      </c>
      <c r="AI308" s="1" t="s">
        <v>6512</v>
      </c>
      <c r="AJ308" s="1" t="s">
        <v>68</v>
      </c>
      <c r="AK308" s="1" t="s">
        <v>6513</v>
      </c>
      <c r="AL308" s="1" t="s">
        <v>6514</v>
      </c>
      <c r="AM308" s="1" t="s">
        <v>252</v>
      </c>
      <c r="AN308" s="1">
        <v>2019.0</v>
      </c>
      <c r="AO308" s="1">
        <v>1.0</v>
      </c>
      <c r="AP308" s="1">
        <v>7.0</v>
      </c>
      <c r="AQ308" s="1" t="s">
        <v>68</v>
      </c>
      <c r="AR308" s="1" t="s">
        <v>68</v>
      </c>
      <c r="AS308" s="1" t="s">
        <v>68</v>
      </c>
      <c r="AT308" s="1" t="s">
        <v>68</v>
      </c>
      <c r="AU308" s="1" t="s">
        <v>68</v>
      </c>
      <c r="AV308" s="1" t="s">
        <v>68</v>
      </c>
      <c r="AW308" s="1" t="s">
        <v>6515</v>
      </c>
      <c r="AX308" s="1" t="s">
        <v>6516</v>
      </c>
      <c r="AY308" s="3" t="str">
        <f>HYPERLINK("http://dx.doi.org/10.1111/csp2.54","http://dx.doi.org/10.1111/csp2.54")</f>
        <v>http://dx.doi.org/10.1111/csp2.54</v>
      </c>
      <c r="AZ308" s="1" t="s">
        <v>68</v>
      </c>
      <c r="BA308" s="1" t="s">
        <v>68</v>
      </c>
      <c r="BB308" s="1">
        <v>14.0</v>
      </c>
      <c r="BC308" s="1" t="s">
        <v>1171</v>
      </c>
      <c r="BD308" s="1" t="s">
        <v>92</v>
      </c>
      <c r="BE308" s="1" t="s">
        <v>1172</v>
      </c>
      <c r="BF308" s="1" t="s">
        <v>6517</v>
      </c>
      <c r="BG308" s="1" t="s">
        <v>68</v>
      </c>
      <c r="BH308" s="1" t="s">
        <v>618</v>
      </c>
      <c r="BI308" s="1" t="s">
        <v>68</v>
      </c>
      <c r="BJ308" s="1" t="s">
        <v>68</v>
      </c>
      <c r="BK308" s="1" t="s">
        <v>95</v>
      </c>
      <c r="BL308" s="1" t="s">
        <v>6518</v>
      </c>
      <c r="BM308" s="1" t="str">
        <f>HYPERLINK("https%3A%2F%2Fwww.webofscience.com%2Fwos%2Fwoscc%2Ffull-record%2FWOS:000577008000010","View Full Record in Web of Science")</f>
        <v>View Full Record in Web of Science</v>
      </c>
    </row>
    <row r="309" ht="12.75" customHeight="1">
      <c r="A309" s="1" t="s">
        <v>65</v>
      </c>
      <c r="B309" s="1" t="s">
        <v>6519</v>
      </c>
      <c r="C309" s="1" t="s">
        <v>6520</v>
      </c>
      <c r="D309" s="1" t="s">
        <v>68</v>
      </c>
      <c r="E309" s="1" t="s">
        <v>6521</v>
      </c>
      <c r="F309" s="1" t="s">
        <v>3294</v>
      </c>
      <c r="G309" s="1" t="s">
        <v>68</v>
      </c>
      <c r="H309" s="1" t="s">
        <v>71</v>
      </c>
      <c r="I309" s="1" t="s">
        <v>72</v>
      </c>
      <c r="J309" s="1" t="s">
        <v>68</v>
      </c>
      <c r="K309" s="1" t="s">
        <v>68</v>
      </c>
      <c r="L309" s="1" t="s">
        <v>68</v>
      </c>
      <c r="M309" s="1" t="s">
        <v>68</v>
      </c>
      <c r="N309" s="1" t="s">
        <v>6522</v>
      </c>
      <c r="O309" s="1" t="s">
        <v>6523</v>
      </c>
      <c r="P309" s="1" t="s">
        <v>6524</v>
      </c>
      <c r="Q309" s="1" t="s">
        <v>6525</v>
      </c>
      <c r="R309" s="1" t="s">
        <v>6526</v>
      </c>
      <c r="S309" s="1" t="s">
        <v>6527</v>
      </c>
      <c r="T309" s="1" t="s">
        <v>6528</v>
      </c>
      <c r="U309" s="1" t="s">
        <v>68</v>
      </c>
      <c r="V309" s="1" t="s">
        <v>6529</v>
      </c>
      <c r="W309" s="1" t="s">
        <v>6530</v>
      </c>
      <c r="X309" s="1" t="s">
        <v>6531</v>
      </c>
      <c r="Y309" s="1" t="s">
        <v>6532</v>
      </c>
      <c r="Z309" s="1">
        <v>66.0</v>
      </c>
      <c r="AA309" s="1">
        <v>6.0</v>
      </c>
      <c r="AB309" s="1">
        <v>10.0</v>
      </c>
      <c r="AC309" s="1">
        <v>0.0</v>
      </c>
      <c r="AD309" s="1">
        <v>6.0</v>
      </c>
      <c r="AE309" s="1" t="s">
        <v>247</v>
      </c>
      <c r="AF309" s="1" t="s">
        <v>248</v>
      </c>
      <c r="AG309" s="1" t="s">
        <v>249</v>
      </c>
      <c r="AH309" s="1" t="s">
        <v>68</v>
      </c>
      <c r="AI309" s="1" t="s">
        <v>3307</v>
      </c>
      <c r="AJ309" s="1" t="s">
        <v>68</v>
      </c>
      <c r="AK309" s="1" t="s">
        <v>3294</v>
      </c>
      <c r="AL309" s="1" t="s">
        <v>3308</v>
      </c>
      <c r="AM309" s="1" t="s">
        <v>2194</v>
      </c>
      <c r="AN309" s="1">
        <v>2022.0</v>
      </c>
      <c r="AO309" s="1">
        <v>13.0</v>
      </c>
      <c r="AP309" s="1">
        <v>4.0</v>
      </c>
      <c r="AQ309" s="1" t="s">
        <v>68</v>
      </c>
      <c r="AR309" s="1" t="s">
        <v>68</v>
      </c>
      <c r="AS309" s="1" t="s">
        <v>68</v>
      </c>
      <c r="AT309" s="1" t="s">
        <v>68</v>
      </c>
      <c r="AU309" s="1" t="s">
        <v>68</v>
      </c>
      <c r="AV309" s="1" t="s">
        <v>68</v>
      </c>
      <c r="AW309" s="1">
        <v>380.0</v>
      </c>
      <c r="AX309" s="1" t="s">
        <v>6533</v>
      </c>
      <c r="AY309" s="3" t="str">
        <f>HYPERLINK("http://dx.doi.org/10.3390/insects13040380","http://dx.doi.org/10.3390/insects13040380")</f>
        <v>http://dx.doi.org/10.3390/insects13040380</v>
      </c>
      <c r="AZ309" s="1" t="s">
        <v>68</v>
      </c>
      <c r="BA309" s="1" t="s">
        <v>68</v>
      </c>
      <c r="BB309" s="1">
        <v>15.0</v>
      </c>
      <c r="BC309" s="1" t="s">
        <v>309</v>
      </c>
      <c r="BD309" s="1" t="s">
        <v>92</v>
      </c>
      <c r="BE309" s="1" t="s">
        <v>309</v>
      </c>
      <c r="BF309" s="1" t="s">
        <v>6534</v>
      </c>
      <c r="BG309" s="1">
        <v>3.5447822E7</v>
      </c>
      <c r="BH309" s="1" t="s">
        <v>94</v>
      </c>
      <c r="BI309" s="1" t="s">
        <v>68</v>
      </c>
      <c r="BJ309" s="1" t="s">
        <v>68</v>
      </c>
      <c r="BK309" s="1" t="s">
        <v>95</v>
      </c>
      <c r="BL309" s="1" t="s">
        <v>6535</v>
      </c>
      <c r="BM309" s="1" t="str">
        <f>HYPERLINK("https%3A%2F%2Fwww.webofscience.com%2Fwos%2Fwoscc%2Ffull-record%2FWOS:000785418500001","View Full Record in Web of Science")</f>
        <v>View Full Record in Web of Science</v>
      </c>
    </row>
    <row r="310" ht="12.75" customHeight="1">
      <c r="A310" s="1" t="s">
        <v>65</v>
      </c>
      <c r="B310" s="1" t="s">
        <v>6536</v>
      </c>
      <c r="C310" s="1" t="s">
        <v>6537</v>
      </c>
      <c r="D310" s="1" t="s">
        <v>68</v>
      </c>
      <c r="E310" s="1" t="s">
        <v>6538</v>
      </c>
      <c r="F310" s="1" t="s">
        <v>1106</v>
      </c>
      <c r="G310" s="1" t="s">
        <v>68</v>
      </c>
      <c r="H310" s="1" t="s">
        <v>71</v>
      </c>
      <c r="I310" s="1" t="s">
        <v>72</v>
      </c>
      <c r="J310" s="1" t="s">
        <v>68</v>
      </c>
      <c r="K310" s="1" t="s">
        <v>68</v>
      </c>
      <c r="L310" s="1" t="s">
        <v>68</v>
      </c>
      <c r="M310" s="1" t="s">
        <v>68</v>
      </c>
      <c r="N310" s="1" t="s">
        <v>6539</v>
      </c>
      <c r="O310" s="1" t="s">
        <v>6540</v>
      </c>
      <c r="P310" s="1" t="s">
        <v>6541</v>
      </c>
      <c r="Q310" s="1" t="s">
        <v>6542</v>
      </c>
      <c r="R310" s="1" t="s">
        <v>6543</v>
      </c>
      <c r="S310" s="1" t="s">
        <v>6544</v>
      </c>
      <c r="T310" s="1" t="s">
        <v>6545</v>
      </c>
      <c r="U310" s="1" t="s">
        <v>6546</v>
      </c>
      <c r="V310" s="1" t="s">
        <v>6547</v>
      </c>
      <c r="W310" s="1" t="s">
        <v>6548</v>
      </c>
      <c r="X310" s="1" t="s">
        <v>6548</v>
      </c>
      <c r="Y310" s="1" t="s">
        <v>6549</v>
      </c>
      <c r="Z310" s="1">
        <v>141.0</v>
      </c>
      <c r="AA310" s="1">
        <v>27.0</v>
      </c>
      <c r="AB310" s="1">
        <v>31.0</v>
      </c>
      <c r="AC310" s="1">
        <v>2.0</v>
      </c>
      <c r="AD310" s="1">
        <v>26.0</v>
      </c>
      <c r="AE310" s="1" t="s">
        <v>83</v>
      </c>
      <c r="AF310" s="1" t="s">
        <v>84</v>
      </c>
      <c r="AG310" s="1" t="s">
        <v>85</v>
      </c>
      <c r="AH310" s="1" t="s">
        <v>68</v>
      </c>
      <c r="AI310" s="1" t="s">
        <v>1119</v>
      </c>
      <c r="AJ310" s="1" t="s">
        <v>68</v>
      </c>
      <c r="AK310" s="1" t="s">
        <v>1120</v>
      </c>
      <c r="AL310" s="1" t="s">
        <v>1121</v>
      </c>
      <c r="AM310" s="1" t="s">
        <v>6550</v>
      </c>
      <c r="AN310" s="1">
        <v>2021.0</v>
      </c>
      <c r="AO310" s="1">
        <v>8.0</v>
      </c>
      <c r="AP310" s="1" t="s">
        <v>68</v>
      </c>
      <c r="AQ310" s="1" t="s">
        <v>68</v>
      </c>
      <c r="AR310" s="1" t="s">
        <v>68</v>
      </c>
      <c r="AS310" s="1" t="s">
        <v>68</v>
      </c>
      <c r="AT310" s="1" t="s">
        <v>68</v>
      </c>
      <c r="AU310" s="1" t="s">
        <v>68</v>
      </c>
      <c r="AV310" s="1" t="s">
        <v>68</v>
      </c>
      <c r="AW310" s="1">
        <v>725092.0</v>
      </c>
      <c r="AX310" s="1" t="s">
        <v>6551</v>
      </c>
      <c r="AY310" s="3" t="str">
        <f>HYPERLINK("http://dx.doi.org/10.3389/fmars.2021.725092","http://dx.doi.org/10.3389/fmars.2021.725092")</f>
        <v>http://dx.doi.org/10.3389/fmars.2021.725092</v>
      </c>
      <c r="AZ310" s="1" t="s">
        <v>68</v>
      </c>
      <c r="BA310" s="1" t="s">
        <v>68</v>
      </c>
      <c r="BB310" s="1">
        <v>23.0</v>
      </c>
      <c r="BC310" s="1" t="s">
        <v>1124</v>
      </c>
      <c r="BD310" s="1" t="s">
        <v>92</v>
      </c>
      <c r="BE310" s="1" t="s">
        <v>1125</v>
      </c>
      <c r="BF310" s="1" t="s">
        <v>6552</v>
      </c>
      <c r="BG310" s="1" t="s">
        <v>68</v>
      </c>
      <c r="BH310" s="1" t="s">
        <v>94</v>
      </c>
      <c r="BI310" s="1" t="s">
        <v>68</v>
      </c>
      <c r="BJ310" s="1" t="s">
        <v>68</v>
      </c>
      <c r="BK310" s="1" t="s">
        <v>95</v>
      </c>
      <c r="BL310" s="1" t="s">
        <v>6553</v>
      </c>
      <c r="BM310" s="1" t="str">
        <f>HYPERLINK("https%3A%2F%2Fwww.webofscience.com%2Fwos%2Fwoscc%2Ffull-record%2FWOS:000698608700001","View Full Record in Web of Science")</f>
        <v>View Full Record in Web of Science</v>
      </c>
    </row>
    <row r="311" ht="12.75" customHeight="1">
      <c r="A311" s="1" t="s">
        <v>65</v>
      </c>
      <c r="B311" s="1" t="s">
        <v>6554</v>
      </c>
      <c r="C311" s="1" t="s">
        <v>6555</v>
      </c>
      <c r="D311" s="1" t="s">
        <v>68</v>
      </c>
      <c r="E311" s="1" t="s">
        <v>6556</v>
      </c>
      <c r="F311" s="1" t="s">
        <v>6557</v>
      </c>
      <c r="G311" s="1" t="s">
        <v>68</v>
      </c>
      <c r="H311" s="1" t="s">
        <v>71</v>
      </c>
      <c r="I311" s="1" t="s">
        <v>72</v>
      </c>
      <c r="J311" s="1" t="s">
        <v>68</v>
      </c>
      <c r="K311" s="1" t="s">
        <v>68</v>
      </c>
      <c r="L311" s="1" t="s">
        <v>68</v>
      </c>
      <c r="M311" s="1" t="s">
        <v>68</v>
      </c>
      <c r="N311" s="1" t="s">
        <v>6558</v>
      </c>
      <c r="O311" s="1" t="s">
        <v>6559</v>
      </c>
      <c r="P311" s="1" t="s">
        <v>6560</v>
      </c>
      <c r="Q311" s="1" t="s">
        <v>6561</v>
      </c>
      <c r="R311" s="1" t="s">
        <v>6562</v>
      </c>
      <c r="S311" s="1" t="s">
        <v>6563</v>
      </c>
      <c r="T311" s="1" t="s">
        <v>6564</v>
      </c>
      <c r="U311" s="1" t="s">
        <v>6565</v>
      </c>
      <c r="V311" s="1" t="s">
        <v>6566</v>
      </c>
      <c r="W311" s="1" t="s">
        <v>6567</v>
      </c>
      <c r="X311" s="1" t="s">
        <v>6568</v>
      </c>
      <c r="Y311" s="1" t="s">
        <v>6569</v>
      </c>
      <c r="Z311" s="1">
        <v>47.0</v>
      </c>
      <c r="AA311" s="1">
        <v>18.0</v>
      </c>
      <c r="AB311" s="1">
        <v>19.0</v>
      </c>
      <c r="AC311" s="1">
        <v>1.0</v>
      </c>
      <c r="AD311" s="1">
        <v>10.0</v>
      </c>
      <c r="AE311" s="1" t="s">
        <v>1596</v>
      </c>
      <c r="AF311" s="1" t="s">
        <v>1182</v>
      </c>
      <c r="AG311" s="1" t="s">
        <v>1597</v>
      </c>
      <c r="AH311" s="1" t="s">
        <v>6570</v>
      </c>
      <c r="AI311" s="1" t="s">
        <v>6571</v>
      </c>
      <c r="AJ311" s="1" t="s">
        <v>68</v>
      </c>
      <c r="AK311" s="1" t="s">
        <v>6572</v>
      </c>
      <c r="AL311" s="1" t="s">
        <v>6573</v>
      </c>
      <c r="AM311" s="1" t="s">
        <v>404</v>
      </c>
      <c r="AN311" s="1">
        <v>2023.0</v>
      </c>
      <c r="AO311" s="1">
        <v>188.0</v>
      </c>
      <c r="AP311" s="1" t="s">
        <v>68</v>
      </c>
      <c r="AQ311" s="1" t="s">
        <v>68</v>
      </c>
      <c r="AR311" s="1" t="s">
        <v>68</v>
      </c>
      <c r="AS311" s="1" t="s">
        <v>68</v>
      </c>
      <c r="AT311" s="1" t="s">
        <v>68</v>
      </c>
      <c r="AU311" s="1" t="s">
        <v>68</v>
      </c>
      <c r="AV311" s="1" t="s">
        <v>68</v>
      </c>
      <c r="AW311" s="1">
        <v>103672.0</v>
      </c>
      <c r="AX311" s="1" t="s">
        <v>6574</v>
      </c>
      <c r="AY311" s="3" t="str">
        <f>HYPERLINK("http://dx.doi.org/10.1016/j.aquabot.2023.103672","http://dx.doi.org/10.1016/j.aquabot.2023.103672")</f>
        <v>http://dx.doi.org/10.1016/j.aquabot.2023.103672</v>
      </c>
      <c r="AZ311" s="1" t="s">
        <v>68</v>
      </c>
      <c r="BA311" s="1" t="s">
        <v>1673</v>
      </c>
      <c r="BB311" s="1">
        <v>10.0</v>
      </c>
      <c r="BC311" s="1" t="s">
        <v>6575</v>
      </c>
      <c r="BD311" s="1" t="s">
        <v>92</v>
      </c>
      <c r="BE311" s="1" t="s">
        <v>6575</v>
      </c>
      <c r="BF311" s="1" t="s">
        <v>6576</v>
      </c>
      <c r="BG311" s="1" t="s">
        <v>68</v>
      </c>
      <c r="BH311" s="1" t="s">
        <v>644</v>
      </c>
      <c r="BI311" s="1" t="s">
        <v>68</v>
      </c>
      <c r="BJ311" s="1" t="s">
        <v>68</v>
      </c>
      <c r="BK311" s="1" t="s">
        <v>95</v>
      </c>
      <c r="BL311" s="1" t="s">
        <v>6577</v>
      </c>
      <c r="BM311" s="1" t="str">
        <f>HYPERLINK("https%3A%2F%2Fwww.webofscience.com%2Fwos%2Fwoscc%2Ffull-record%2FWOS:001027053400001","View Full Record in Web of Science")</f>
        <v>View Full Record in Web of Science</v>
      </c>
    </row>
    <row r="312" ht="12.75" customHeight="1">
      <c r="A312" s="1" t="s">
        <v>65</v>
      </c>
      <c r="B312" s="1" t="s">
        <v>6578</v>
      </c>
      <c r="C312" s="1" t="s">
        <v>6579</v>
      </c>
      <c r="D312" s="1" t="s">
        <v>68</v>
      </c>
      <c r="E312" s="1" t="s">
        <v>6580</v>
      </c>
      <c r="F312" s="1" t="s">
        <v>2330</v>
      </c>
      <c r="G312" s="1" t="s">
        <v>68</v>
      </c>
      <c r="H312" s="1" t="s">
        <v>71</v>
      </c>
      <c r="I312" s="1" t="s">
        <v>72</v>
      </c>
      <c r="J312" s="1" t="s">
        <v>68</v>
      </c>
      <c r="K312" s="1" t="s">
        <v>68</v>
      </c>
      <c r="L312" s="1" t="s">
        <v>68</v>
      </c>
      <c r="M312" s="1" t="s">
        <v>68</v>
      </c>
      <c r="N312" s="1" t="s">
        <v>6581</v>
      </c>
      <c r="O312" s="1" t="s">
        <v>6582</v>
      </c>
      <c r="P312" s="1" t="s">
        <v>6583</v>
      </c>
      <c r="Q312" s="1" t="s">
        <v>6584</v>
      </c>
      <c r="R312" s="1" t="s">
        <v>6585</v>
      </c>
      <c r="S312" s="1" t="s">
        <v>6586</v>
      </c>
      <c r="T312" s="1" t="s">
        <v>6587</v>
      </c>
      <c r="U312" s="1" t="s">
        <v>68</v>
      </c>
      <c r="V312" s="1" t="s">
        <v>68</v>
      </c>
      <c r="W312" s="1" t="s">
        <v>6588</v>
      </c>
      <c r="X312" s="1" t="s">
        <v>6588</v>
      </c>
      <c r="Y312" s="1" t="s">
        <v>6589</v>
      </c>
      <c r="Z312" s="1">
        <v>48.0</v>
      </c>
      <c r="AA312" s="1">
        <v>5.0</v>
      </c>
      <c r="AB312" s="1">
        <v>5.0</v>
      </c>
      <c r="AC312" s="1">
        <v>1.0</v>
      </c>
      <c r="AD312" s="1">
        <v>19.0</v>
      </c>
      <c r="AE312" s="1" t="s">
        <v>953</v>
      </c>
      <c r="AF312" s="1" t="s">
        <v>423</v>
      </c>
      <c r="AG312" s="1" t="s">
        <v>954</v>
      </c>
      <c r="AH312" s="1" t="s">
        <v>2342</v>
      </c>
      <c r="AI312" s="1" t="s">
        <v>2343</v>
      </c>
      <c r="AJ312" s="1" t="s">
        <v>68</v>
      </c>
      <c r="AK312" s="1" t="s">
        <v>2344</v>
      </c>
      <c r="AL312" s="1" t="s">
        <v>2345</v>
      </c>
      <c r="AM312" s="1" t="s">
        <v>120</v>
      </c>
      <c r="AN312" s="1">
        <v>2021.0</v>
      </c>
      <c r="AO312" s="1">
        <v>173.0</v>
      </c>
      <c r="AP312" s="1" t="s">
        <v>68</v>
      </c>
      <c r="AQ312" s="1" t="s">
        <v>6590</v>
      </c>
      <c r="AR312" s="1" t="s">
        <v>68</v>
      </c>
      <c r="AS312" s="1" t="s">
        <v>68</v>
      </c>
      <c r="AT312" s="1" t="s">
        <v>68</v>
      </c>
      <c r="AU312" s="1" t="s">
        <v>68</v>
      </c>
      <c r="AV312" s="1" t="s">
        <v>68</v>
      </c>
      <c r="AW312" s="1">
        <v>112981.0</v>
      </c>
      <c r="AX312" s="1" t="s">
        <v>6591</v>
      </c>
      <c r="AY312" s="3" t="str">
        <f>HYPERLINK("http://dx.doi.org/10.1016/j.marpolbul.2021.112981","http://dx.doi.org/10.1016/j.marpolbul.2021.112981")</f>
        <v>http://dx.doi.org/10.1016/j.marpolbul.2021.112981</v>
      </c>
      <c r="AZ312" s="1" t="s">
        <v>68</v>
      </c>
      <c r="BA312" s="1" t="s">
        <v>3214</v>
      </c>
      <c r="BB312" s="1">
        <v>12.0</v>
      </c>
      <c r="BC312" s="1" t="s">
        <v>2349</v>
      </c>
      <c r="BD312" s="1" t="s">
        <v>92</v>
      </c>
      <c r="BE312" s="1" t="s">
        <v>2350</v>
      </c>
      <c r="BF312" s="1" t="s">
        <v>6592</v>
      </c>
      <c r="BG312" s="1">
        <v>3.4600169E7</v>
      </c>
      <c r="BH312" s="1" t="s">
        <v>68</v>
      </c>
      <c r="BI312" s="1" t="s">
        <v>68</v>
      </c>
      <c r="BJ312" s="1" t="s">
        <v>68</v>
      </c>
      <c r="BK312" s="1" t="s">
        <v>95</v>
      </c>
      <c r="BL312" s="1" t="s">
        <v>6593</v>
      </c>
      <c r="BM312" s="1" t="str">
        <f>HYPERLINK("https%3A%2F%2Fwww.webofscience.com%2Fwos%2Fwoscc%2Ffull-record%2FWOS:000706138300008","View Full Record in Web of Science")</f>
        <v>View Full Record in Web of Science</v>
      </c>
    </row>
    <row r="313" ht="12.75" customHeight="1">
      <c r="A313" s="1" t="s">
        <v>65</v>
      </c>
      <c r="B313" s="1" t="s">
        <v>6594</v>
      </c>
      <c r="C313" s="1" t="s">
        <v>6595</v>
      </c>
      <c r="D313" s="1" t="s">
        <v>68</v>
      </c>
      <c r="E313" s="1" t="s">
        <v>6596</v>
      </c>
      <c r="F313" s="1" t="s">
        <v>826</v>
      </c>
      <c r="G313" s="1" t="s">
        <v>68</v>
      </c>
      <c r="H313" s="1" t="s">
        <v>71</v>
      </c>
      <c r="I313" s="1" t="s">
        <v>72</v>
      </c>
      <c r="J313" s="1" t="s">
        <v>68</v>
      </c>
      <c r="K313" s="1" t="s">
        <v>68</v>
      </c>
      <c r="L313" s="1" t="s">
        <v>68</v>
      </c>
      <c r="M313" s="1" t="s">
        <v>68</v>
      </c>
      <c r="N313" s="1" t="s">
        <v>68</v>
      </c>
      <c r="O313" s="1" t="s">
        <v>6597</v>
      </c>
      <c r="P313" s="1" t="s">
        <v>6598</v>
      </c>
      <c r="Q313" s="1" t="s">
        <v>6599</v>
      </c>
      <c r="R313" s="1" t="s">
        <v>6600</v>
      </c>
      <c r="S313" s="1" t="s">
        <v>6601</v>
      </c>
      <c r="T313" s="1" t="s">
        <v>6602</v>
      </c>
      <c r="U313" s="1" t="s">
        <v>6603</v>
      </c>
      <c r="V313" s="1" t="s">
        <v>6604</v>
      </c>
      <c r="W313" s="1" t="s">
        <v>6605</v>
      </c>
      <c r="X313" s="1" t="s">
        <v>6606</v>
      </c>
      <c r="Y313" s="1" t="s">
        <v>6607</v>
      </c>
      <c r="Z313" s="1">
        <v>71.0</v>
      </c>
      <c r="AA313" s="1">
        <v>9.0</v>
      </c>
      <c r="AB313" s="1">
        <v>9.0</v>
      </c>
      <c r="AC313" s="1">
        <v>1.0</v>
      </c>
      <c r="AD313" s="1">
        <v>4.0</v>
      </c>
      <c r="AE313" s="1" t="s">
        <v>838</v>
      </c>
      <c r="AF313" s="1" t="s">
        <v>839</v>
      </c>
      <c r="AG313" s="1" t="s">
        <v>840</v>
      </c>
      <c r="AH313" s="1" t="s">
        <v>841</v>
      </c>
      <c r="AI313" s="1" t="s">
        <v>68</v>
      </c>
      <c r="AJ313" s="1" t="s">
        <v>68</v>
      </c>
      <c r="AK313" s="1" t="s">
        <v>842</v>
      </c>
      <c r="AL313" s="1" t="s">
        <v>843</v>
      </c>
      <c r="AM313" s="1" t="s">
        <v>6608</v>
      </c>
      <c r="AN313" s="1">
        <v>2023.0</v>
      </c>
      <c r="AO313" s="1">
        <v>13.0</v>
      </c>
      <c r="AP313" s="1">
        <v>1.0</v>
      </c>
      <c r="AQ313" s="1" t="s">
        <v>68</v>
      </c>
      <c r="AR313" s="1" t="s">
        <v>68</v>
      </c>
      <c r="AS313" s="1" t="s">
        <v>68</v>
      </c>
      <c r="AT313" s="1" t="s">
        <v>68</v>
      </c>
      <c r="AU313" s="1" t="s">
        <v>68</v>
      </c>
      <c r="AV313" s="1" t="s">
        <v>68</v>
      </c>
      <c r="AW313" s="1">
        <v>12384.0</v>
      </c>
      <c r="AX313" s="1" t="s">
        <v>6609</v>
      </c>
      <c r="AY313" s="3" t="str">
        <f>HYPERLINK("http://dx.doi.org/10.1038/s41598-023-38656-y","http://dx.doi.org/10.1038/s41598-023-38656-y")</f>
        <v>http://dx.doi.org/10.1038/s41598-023-38656-y</v>
      </c>
      <c r="AZ313" s="1" t="s">
        <v>68</v>
      </c>
      <c r="BA313" s="1" t="s">
        <v>68</v>
      </c>
      <c r="BB313" s="1">
        <v>12.0</v>
      </c>
      <c r="BC313" s="1" t="s">
        <v>742</v>
      </c>
      <c r="BD313" s="1" t="s">
        <v>92</v>
      </c>
      <c r="BE313" s="1" t="s">
        <v>743</v>
      </c>
      <c r="BF313" s="1" t="s">
        <v>6610</v>
      </c>
      <c r="BG313" s="1">
        <v>3.752477E7</v>
      </c>
      <c r="BH313" s="1" t="s">
        <v>618</v>
      </c>
      <c r="BI313" s="1" t="s">
        <v>68</v>
      </c>
      <c r="BJ313" s="1" t="s">
        <v>68</v>
      </c>
      <c r="BK313" s="1" t="s">
        <v>95</v>
      </c>
      <c r="BL313" s="1" t="s">
        <v>6611</v>
      </c>
      <c r="BM313" s="1" t="str">
        <f>HYPERLINK("https%3A%2F%2Fwww.webofscience.com%2Fwos%2Fwoscc%2Ffull-record%2FWOS:001067885000012","View Full Record in Web of Science")</f>
        <v>View Full Record in Web of Science</v>
      </c>
    </row>
    <row r="314" ht="12.75" customHeight="1">
      <c r="A314" s="1" t="s">
        <v>65</v>
      </c>
      <c r="B314" s="1" t="s">
        <v>6612</v>
      </c>
      <c r="C314" s="1" t="s">
        <v>6613</v>
      </c>
      <c r="D314" s="1" t="s">
        <v>68</v>
      </c>
      <c r="E314" s="1" t="s">
        <v>6614</v>
      </c>
      <c r="F314" s="1" t="s">
        <v>2908</v>
      </c>
      <c r="G314" s="1" t="s">
        <v>68</v>
      </c>
      <c r="H314" s="1" t="s">
        <v>71</v>
      </c>
      <c r="I314" s="1" t="s">
        <v>72</v>
      </c>
      <c r="J314" s="1" t="s">
        <v>68</v>
      </c>
      <c r="K314" s="1" t="s">
        <v>68</v>
      </c>
      <c r="L314" s="1" t="s">
        <v>68</v>
      </c>
      <c r="M314" s="1" t="s">
        <v>68</v>
      </c>
      <c r="N314" s="1" t="s">
        <v>6615</v>
      </c>
      <c r="O314" s="1" t="s">
        <v>6616</v>
      </c>
      <c r="P314" s="1" t="s">
        <v>6617</v>
      </c>
      <c r="Q314" s="1" t="s">
        <v>6618</v>
      </c>
      <c r="R314" s="1" t="s">
        <v>6619</v>
      </c>
      <c r="S314" s="1" t="s">
        <v>6620</v>
      </c>
      <c r="T314" s="1" t="s">
        <v>6621</v>
      </c>
      <c r="U314" s="1" t="s">
        <v>6622</v>
      </c>
      <c r="V314" s="1" t="s">
        <v>6623</v>
      </c>
      <c r="W314" s="1" t="s">
        <v>6624</v>
      </c>
      <c r="X314" s="1" t="s">
        <v>6625</v>
      </c>
      <c r="Y314" s="1" t="s">
        <v>6626</v>
      </c>
      <c r="Z314" s="1">
        <v>25.0</v>
      </c>
      <c r="AA314" s="1">
        <v>15.0</v>
      </c>
      <c r="AB314" s="1">
        <v>17.0</v>
      </c>
      <c r="AC314" s="1">
        <v>3.0</v>
      </c>
      <c r="AD314" s="1">
        <v>26.0</v>
      </c>
      <c r="AE314" s="1" t="s">
        <v>503</v>
      </c>
      <c r="AF314" s="1" t="s">
        <v>504</v>
      </c>
      <c r="AG314" s="1" t="s">
        <v>505</v>
      </c>
      <c r="AH314" s="1" t="s">
        <v>68</v>
      </c>
      <c r="AI314" s="1" t="s">
        <v>2921</v>
      </c>
      <c r="AJ314" s="1" t="s">
        <v>68</v>
      </c>
      <c r="AK314" s="1" t="s">
        <v>2922</v>
      </c>
      <c r="AL314" s="1" t="s">
        <v>2923</v>
      </c>
      <c r="AM314" s="1" t="s">
        <v>252</v>
      </c>
      <c r="AN314" s="1">
        <v>2023.0</v>
      </c>
      <c r="AO314" s="1">
        <v>4.0</v>
      </c>
      <c r="AP314" s="1">
        <v>3.0</v>
      </c>
      <c r="AQ314" s="1" t="s">
        <v>68</v>
      </c>
      <c r="AR314" s="1" t="s">
        <v>68</v>
      </c>
      <c r="AS314" s="1" t="s">
        <v>68</v>
      </c>
      <c r="AT314" s="1" t="s">
        <v>68</v>
      </c>
      <c r="AU314" s="1" t="s">
        <v>68</v>
      </c>
      <c r="AV314" s="1" t="s">
        <v>68</v>
      </c>
      <c r="AW314" s="1" t="s">
        <v>6627</v>
      </c>
      <c r="AX314" s="1" t="s">
        <v>6628</v>
      </c>
      <c r="AY314" s="3" t="str">
        <f>HYPERLINK("http://dx.doi.org/10.1002/2688-8319.12273","http://dx.doi.org/10.1002/2688-8319.12273")</f>
        <v>http://dx.doi.org/10.1002/2688-8319.12273</v>
      </c>
      <c r="AZ314" s="1" t="s">
        <v>68</v>
      </c>
      <c r="BA314" s="1" t="s">
        <v>68</v>
      </c>
      <c r="BB314" s="1">
        <v>9.0</v>
      </c>
      <c r="BC314" s="1" t="s">
        <v>332</v>
      </c>
      <c r="BD314" s="1" t="s">
        <v>197</v>
      </c>
      <c r="BE314" s="1" t="s">
        <v>333</v>
      </c>
      <c r="BF314" s="1" t="s">
        <v>6629</v>
      </c>
      <c r="BG314" s="1" t="s">
        <v>68</v>
      </c>
      <c r="BH314" s="1" t="s">
        <v>94</v>
      </c>
      <c r="BI314" s="1" t="s">
        <v>68</v>
      </c>
      <c r="BJ314" s="1" t="s">
        <v>68</v>
      </c>
      <c r="BK314" s="1" t="s">
        <v>95</v>
      </c>
      <c r="BL314" s="1" t="s">
        <v>6630</v>
      </c>
      <c r="BM314" s="1" t="str">
        <f>HYPERLINK("https%3A%2F%2Fwww.webofscience.com%2Fwos%2Fwoscc%2Ffull-record%2FWOS:001080950000001","View Full Record in Web of Science")</f>
        <v>View Full Record in Web of Science</v>
      </c>
    </row>
    <row r="315" ht="12.75" customHeight="1">
      <c r="A315" s="1" t="s">
        <v>65</v>
      </c>
      <c r="B315" s="1" t="s">
        <v>6631</v>
      </c>
      <c r="C315" s="1" t="s">
        <v>6632</v>
      </c>
      <c r="D315" s="1" t="s">
        <v>68</v>
      </c>
      <c r="E315" s="1" t="s">
        <v>6633</v>
      </c>
      <c r="F315" s="1" t="s">
        <v>2330</v>
      </c>
      <c r="G315" s="1" t="s">
        <v>68</v>
      </c>
      <c r="H315" s="1" t="s">
        <v>71</v>
      </c>
      <c r="I315" s="1" t="s">
        <v>72</v>
      </c>
      <c r="J315" s="1" t="s">
        <v>68</v>
      </c>
      <c r="K315" s="1" t="s">
        <v>68</v>
      </c>
      <c r="L315" s="1" t="s">
        <v>68</v>
      </c>
      <c r="M315" s="1" t="s">
        <v>68</v>
      </c>
      <c r="N315" s="1" t="s">
        <v>6634</v>
      </c>
      <c r="O315" s="1" t="s">
        <v>6635</v>
      </c>
      <c r="P315" s="1" t="s">
        <v>6636</v>
      </c>
      <c r="Q315" s="1" t="s">
        <v>6637</v>
      </c>
      <c r="R315" s="1" t="s">
        <v>6638</v>
      </c>
      <c r="S315" s="1" t="s">
        <v>6639</v>
      </c>
      <c r="T315" s="1" t="s">
        <v>6640</v>
      </c>
      <c r="U315" s="1" t="s">
        <v>68</v>
      </c>
      <c r="V315" s="1" t="s">
        <v>6641</v>
      </c>
      <c r="W315" s="1" t="s">
        <v>68</v>
      </c>
      <c r="X315" s="1" t="s">
        <v>68</v>
      </c>
      <c r="Y315" s="1" t="s">
        <v>68</v>
      </c>
      <c r="Z315" s="1">
        <v>29.0</v>
      </c>
      <c r="AA315" s="1">
        <v>15.0</v>
      </c>
      <c r="AB315" s="1">
        <v>18.0</v>
      </c>
      <c r="AC315" s="1">
        <v>4.0</v>
      </c>
      <c r="AD315" s="1">
        <v>16.0</v>
      </c>
      <c r="AE315" s="1" t="s">
        <v>953</v>
      </c>
      <c r="AF315" s="1" t="s">
        <v>423</v>
      </c>
      <c r="AG315" s="1" t="s">
        <v>954</v>
      </c>
      <c r="AH315" s="1" t="s">
        <v>2342</v>
      </c>
      <c r="AI315" s="1" t="s">
        <v>2343</v>
      </c>
      <c r="AJ315" s="1" t="s">
        <v>68</v>
      </c>
      <c r="AK315" s="1" t="s">
        <v>2344</v>
      </c>
      <c r="AL315" s="1" t="s">
        <v>2345</v>
      </c>
      <c r="AM315" s="1" t="s">
        <v>120</v>
      </c>
      <c r="AN315" s="1">
        <v>2021.0</v>
      </c>
      <c r="AO315" s="1">
        <v>173.0</v>
      </c>
      <c r="AP315" s="1" t="s">
        <v>68</v>
      </c>
      <c r="AQ315" s="1" t="s">
        <v>6590</v>
      </c>
      <c r="AR315" s="1" t="s">
        <v>68</v>
      </c>
      <c r="AS315" s="1" t="s">
        <v>68</v>
      </c>
      <c r="AT315" s="1" t="s">
        <v>68</v>
      </c>
      <c r="AU315" s="1" t="s">
        <v>68</v>
      </c>
      <c r="AV315" s="1" t="s">
        <v>68</v>
      </c>
      <c r="AW315" s="1">
        <v>112902.0</v>
      </c>
      <c r="AX315" s="1" t="s">
        <v>6642</v>
      </c>
      <c r="AY315" s="3" t="str">
        <f>HYPERLINK("http://dx.doi.org/10.1016/j.marpolbul.2021.112902","http://dx.doi.org/10.1016/j.marpolbul.2021.112902")</f>
        <v>http://dx.doi.org/10.1016/j.marpolbul.2021.112902</v>
      </c>
      <c r="AZ315" s="1" t="s">
        <v>68</v>
      </c>
      <c r="BA315" s="1" t="s">
        <v>3214</v>
      </c>
      <c r="BB315" s="1">
        <v>6.0</v>
      </c>
      <c r="BC315" s="1" t="s">
        <v>2349</v>
      </c>
      <c r="BD315" s="1" t="s">
        <v>92</v>
      </c>
      <c r="BE315" s="1" t="s">
        <v>2350</v>
      </c>
      <c r="BF315" s="1" t="s">
        <v>6643</v>
      </c>
      <c r="BG315" s="1">
        <v>3.453493E7</v>
      </c>
      <c r="BH315" s="1" t="s">
        <v>68</v>
      </c>
      <c r="BI315" s="1" t="s">
        <v>68</v>
      </c>
      <c r="BJ315" s="1" t="s">
        <v>68</v>
      </c>
      <c r="BK315" s="1" t="s">
        <v>95</v>
      </c>
      <c r="BL315" s="1" t="s">
        <v>6644</v>
      </c>
      <c r="BM315" s="1" t="str">
        <f>HYPERLINK("https%3A%2F%2Fwww.webofscience.com%2Fwos%2Fwoscc%2Ffull-record%2FWOS:000701965500004","View Full Record in Web of Science")</f>
        <v>View Full Record in Web of Science</v>
      </c>
    </row>
    <row r="316" ht="12.75" customHeight="1">
      <c r="A316" s="1" t="s">
        <v>65</v>
      </c>
      <c r="B316" s="1" t="s">
        <v>6645</v>
      </c>
      <c r="C316" s="1" t="s">
        <v>6646</v>
      </c>
      <c r="D316" s="1" t="s">
        <v>68</v>
      </c>
      <c r="E316" s="1" t="s">
        <v>6647</v>
      </c>
      <c r="F316" s="1" t="s">
        <v>6648</v>
      </c>
      <c r="G316" s="1" t="s">
        <v>68</v>
      </c>
      <c r="H316" s="1" t="s">
        <v>71</v>
      </c>
      <c r="I316" s="1" t="s">
        <v>72</v>
      </c>
      <c r="J316" s="1" t="s">
        <v>68</v>
      </c>
      <c r="K316" s="1" t="s">
        <v>68</v>
      </c>
      <c r="L316" s="1" t="s">
        <v>68</v>
      </c>
      <c r="M316" s="1" t="s">
        <v>68</v>
      </c>
      <c r="N316" s="1" t="s">
        <v>6649</v>
      </c>
      <c r="O316" s="1" t="s">
        <v>6650</v>
      </c>
      <c r="P316" s="1" t="s">
        <v>6651</v>
      </c>
      <c r="Q316" s="1" t="s">
        <v>6652</v>
      </c>
      <c r="R316" s="1" t="s">
        <v>6653</v>
      </c>
      <c r="S316" s="1" t="s">
        <v>6654</v>
      </c>
      <c r="T316" s="1" t="s">
        <v>6655</v>
      </c>
      <c r="U316" s="1" t="s">
        <v>6656</v>
      </c>
      <c r="V316" s="1" t="s">
        <v>6657</v>
      </c>
      <c r="W316" s="1" t="s">
        <v>6658</v>
      </c>
      <c r="X316" s="1" t="s">
        <v>6658</v>
      </c>
      <c r="Y316" s="1" t="s">
        <v>6659</v>
      </c>
      <c r="Z316" s="1">
        <v>65.0</v>
      </c>
      <c r="AA316" s="1">
        <v>33.0</v>
      </c>
      <c r="AB316" s="1">
        <v>38.0</v>
      </c>
      <c r="AC316" s="1">
        <v>0.0</v>
      </c>
      <c r="AD316" s="1">
        <v>37.0</v>
      </c>
      <c r="AE316" s="1" t="s">
        <v>503</v>
      </c>
      <c r="AF316" s="1" t="s">
        <v>504</v>
      </c>
      <c r="AG316" s="1" t="s">
        <v>505</v>
      </c>
      <c r="AH316" s="1" t="s">
        <v>6660</v>
      </c>
      <c r="AI316" s="1" t="s">
        <v>6661</v>
      </c>
      <c r="AJ316" s="1" t="s">
        <v>68</v>
      </c>
      <c r="AK316" s="1" t="s">
        <v>6662</v>
      </c>
      <c r="AL316" s="1" t="s">
        <v>6663</v>
      </c>
      <c r="AM316" s="1" t="s">
        <v>2194</v>
      </c>
      <c r="AN316" s="1">
        <v>2020.0</v>
      </c>
      <c r="AO316" s="1">
        <v>36.0</v>
      </c>
      <c r="AP316" s="1">
        <v>2.0</v>
      </c>
      <c r="AQ316" s="1" t="s">
        <v>68</v>
      </c>
      <c r="AR316" s="1" t="s">
        <v>68</v>
      </c>
      <c r="AS316" s="1" t="s">
        <v>68</v>
      </c>
      <c r="AT316" s="1" t="s">
        <v>68</v>
      </c>
      <c r="AU316" s="1">
        <v>472.0</v>
      </c>
      <c r="AV316" s="1">
        <v>485.0</v>
      </c>
      <c r="AW316" s="1" t="s">
        <v>68</v>
      </c>
      <c r="AX316" s="1" t="s">
        <v>6664</v>
      </c>
      <c r="AY316" s="3" t="str">
        <f>HYPERLINK("http://dx.doi.org/10.1111/mms.12651","http://dx.doi.org/10.1111/mms.12651")</f>
        <v>http://dx.doi.org/10.1111/mms.12651</v>
      </c>
      <c r="AZ316" s="1" t="s">
        <v>68</v>
      </c>
      <c r="BA316" s="1" t="s">
        <v>6665</v>
      </c>
      <c r="BB316" s="1">
        <v>14.0</v>
      </c>
      <c r="BC316" s="1" t="s">
        <v>6666</v>
      </c>
      <c r="BD316" s="1" t="s">
        <v>92</v>
      </c>
      <c r="BE316" s="1" t="s">
        <v>6666</v>
      </c>
      <c r="BF316" s="1" t="s">
        <v>6667</v>
      </c>
      <c r="BG316" s="1" t="s">
        <v>68</v>
      </c>
      <c r="BH316" s="1" t="s">
        <v>68</v>
      </c>
      <c r="BI316" s="1" t="s">
        <v>68</v>
      </c>
      <c r="BJ316" s="1" t="s">
        <v>68</v>
      </c>
      <c r="BK316" s="1" t="s">
        <v>95</v>
      </c>
      <c r="BL316" s="1" t="s">
        <v>6668</v>
      </c>
      <c r="BM316" s="1" t="str">
        <f>HYPERLINK("https%3A%2F%2Fwww.webofscience.com%2Fwos%2Fwoscc%2Ffull-record%2FWOS:000491207300001","View Full Record in Web of Science")</f>
        <v>View Full Record in Web of Science</v>
      </c>
    </row>
    <row r="317" ht="12.75" customHeight="1">
      <c r="A317" s="1" t="s">
        <v>65</v>
      </c>
      <c r="B317" s="1" t="s">
        <v>6669</v>
      </c>
      <c r="C317" s="1" t="s">
        <v>6670</v>
      </c>
      <c r="D317" s="1" t="s">
        <v>68</v>
      </c>
      <c r="E317" s="1" t="s">
        <v>6671</v>
      </c>
      <c r="F317" s="1" t="s">
        <v>6499</v>
      </c>
      <c r="G317" s="1" t="s">
        <v>68</v>
      </c>
      <c r="H317" s="1" t="s">
        <v>71</v>
      </c>
      <c r="I317" s="1" t="s">
        <v>72</v>
      </c>
      <c r="J317" s="1" t="s">
        <v>68</v>
      </c>
      <c r="K317" s="1" t="s">
        <v>68</v>
      </c>
      <c r="L317" s="1" t="s">
        <v>68</v>
      </c>
      <c r="M317" s="1" t="s">
        <v>68</v>
      </c>
      <c r="N317" s="1" t="s">
        <v>6672</v>
      </c>
      <c r="O317" s="1" t="s">
        <v>6673</v>
      </c>
      <c r="P317" s="1" t="s">
        <v>6674</v>
      </c>
      <c r="Q317" s="1" t="s">
        <v>6675</v>
      </c>
      <c r="R317" s="1" t="s">
        <v>6676</v>
      </c>
      <c r="S317" s="1" t="s">
        <v>6677</v>
      </c>
      <c r="T317" s="1" t="s">
        <v>6678</v>
      </c>
      <c r="U317" s="1" t="s">
        <v>6679</v>
      </c>
      <c r="V317" s="1" t="s">
        <v>6680</v>
      </c>
      <c r="W317" s="1" t="s">
        <v>6681</v>
      </c>
      <c r="X317" s="1" t="s">
        <v>6682</v>
      </c>
      <c r="Y317" s="1" t="s">
        <v>6683</v>
      </c>
      <c r="Z317" s="1">
        <v>67.0</v>
      </c>
      <c r="AA317" s="1">
        <v>29.0</v>
      </c>
      <c r="AB317" s="1">
        <v>32.0</v>
      </c>
      <c r="AC317" s="1">
        <v>1.0</v>
      </c>
      <c r="AD317" s="1">
        <v>31.0</v>
      </c>
      <c r="AE317" s="1" t="s">
        <v>503</v>
      </c>
      <c r="AF317" s="1" t="s">
        <v>504</v>
      </c>
      <c r="AG317" s="1" t="s">
        <v>505</v>
      </c>
      <c r="AH317" s="1" t="s">
        <v>68</v>
      </c>
      <c r="AI317" s="1" t="s">
        <v>6512</v>
      </c>
      <c r="AJ317" s="1" t="s">
        <v>68</v>
      </c>
      <c r="AK317" s="1" t="s">
        <v>6513</v>
      </c>
      <c r="AL317" s="1" t="s">
        <v>6514</v>
      </c>
      <c r="AM317" s="1" t="s">
        <v>404</v>
      </c>
      <c r="AN317" s="1">
        <v>2022.0</v>
      </c>
      <c r="AO317" s="1">
        <v>4.0</v>
      </c>
      <c r="AP317" s="1">
        <v>9.0</v>
      </c>
      <c r="AQ317" s="1" t="s">
        <v>68</v>
      </c>
      <c r="AR317" s="1" t="s">
        <v>68</v>
      </c>
      <c r="AS317" s="1" t="s">
        <v>68</v>
      </c>
      <c r="AT317" s="1" t="s">
        <v>68</v>
      </c>
      <c r="AU317" s="1" t="s">
        <v>68</v>
      </c>
      <c r="AV317" s="1" t="s">
        <v>68</v>
      </c>
      <c r="AW317" s="1" t="s">
        <v>6684</v>
      </c>
      <c r="AX317" s="1" t="s">
        <v>6685</v>
      </c>
      <c r="AY317" s="3" t="str">
        <f>HYPERLINK("http://dx.doi.org/10.1111/csp2.12788","http://dx.doi.org/10.1111/csp2.12788")</f>
        <v>http://dx.doi.org/10.1111/csp2.12788</v>
      </c>
      <c r="AZ317" s="1" t="s">
        <v>68</v>
      </c>
      <c r="BA317" s="1" t="s">
        <v>565</v>
      </c>
      <c r="BB317" s="1">
        <v>10.0</v>
      </c>
      <c r="BC317" s="1" t="s">
        <v>1171</v>
      </c>
      <c r="BD317" s="1" t="s">
        <v>92</v>
      </c>
      <c r="BE317" s="1" t="s">
        <v>1172</v>
      </c>
      <c r="BF317" s="1" t="s">
        <v>6686</v>
      </c>
      <c r="BG317" s="1" t="s">
        <v>68</v>
      </c>
      <c r="BH317" s="1" t="s">
        <v>94</v>
      </c>
      <c r="BI317" s="1" t="s">
        <v>68</v>
      </c>
      <c r="BJ317" s="1" t="s">
        <v>68</v>
      </c>
      <c r="BK317" s="1" t="s">
        <v>95</v>
      </c>
      <c r="BL317" s="1" t="s">
        <v>6687</v>
      </c>
      <c r="BM317" s="1" t="str">
        <f>HYPERLINK("https%3A%2F%2Fwww.webofscience.com%2Fwos%2Fwoscc%2Ffull-record%2FWOS:000837086800001","View Full Record in Web of Science")</f>
        <v>View Full Record in Web of Science</v>
      </c>
    </row>
    <row r="318" ht="12.75" customHeight="1">
      <c r="A318" s="1" t="s">
        <v>65</v>
      </c>
      <c r="B318" s="1" t="s">
        <v>6688</v>
      </c>
      <c r="C318" s="1" t="s">
        <v>6689</v>
      </c>
      <c r="D318" s="1" t="s">
        <v>68</v>
      </c>
      <c r="E318" s="1" t="s">
        <v>6690</v>
      </c>
      <c r="F318" s="1" t="s">
        <v>6499</v>
      </c>
      <c r="G318" s="1" t="s">
        <v>68</v>
      </c>
      <c r="H318" s="1" t="s">
        <v>71</v>
      </c>
      <c r="I318" s="1" t="s">
        <v>72</v>
      </c>
      <c r="J318" s="1" t="s">
        <v>68</v>
      </c>
      <c r="K318" s="1" t="s">
        <v>68</v>
      </c>
      <c r="L318" s="1" t="s">
        <v>68</v>
      </c>
      <c r="M318" s="1" t="s">
        <v>68</v>
      </c>
      <c r="N318" s="1" t="s">
        <v>6691</v>
      </c>
      <c r="O318" s="1" t="s">
        <v>6692</v>
      </c>
      <c r="P318" s="1" t="s">
        <v>6693</v>
      </c>
      <c r="Q318" s="1" t="s">
        <v>6694</v>
      </c>
      <c r="R318" s="1" t="s">
        <v>6695</v>
      </c>
      <c r="S318" s="1" t="s">
        <v>6696</v>
      </c>
      <c r="T318" s="1" t="s">
        <v>6697</v>
      </c>
      <c r="U318" s="1" t="s">
        <v>6698</v>
      </c>
      <c r="V318" s="1" t="s">
        <v>6699</v>
      </c>
      <c r="W318" s="1" t="s">
        <v>6700</v>
      </c>
      <c r="X318" s="1" t="s">
        <v>6700</v>
      </c>
      <c r="Y318" s="1" t="s">
        <v>6700</v>
      </c>
      <c r="Z318" s="1">
        <v>44.0</v>
      </c>
      <c r="AA318" s="1">
        <v>6.0</v>
      </c>
      <c r="AB318" s="1">
        <v>9.0</v>
      </c>
      <c r="AC318" s="1">
        <v>1.0</v>
      </c>
      <c r="AD318" s="1">
        <v>22.0</v>
      </c>
      <c r="AE318" s="1" t="s">
        <v>503</v>
      </c>
      <c r="AF318" s="1" t="s">
        <v>504</v>
      </c>
      <c r="AG318" s="1" t="s">
        <v>505</v>
      </c>
      <c r="AH318" s="1" t="s">
        <v>68</v>
      </c>
      <c r="AI318" s="1" t="s">
        <v>6512</v>
      </c>
      <c r="AJ318" s="1" t="s">
        <v>68</v>
      </c>
      <c r="AK318" s="1" t="s">
        <v>6513</v>
      </c>
      <c r="AL318" s="1" t="s">
        <v>6514</v>
      </c>
      <c r="AM318" s="1" t="s">
        <v>224</v>
      </c>
      <c r="AN318" s="1">
        <v>2021.0</v>
      </c>
      <c r="AO318" s="1">
        <v>3.0</v>
      </c>
      <c r="AP318" s="1">
        <v>2.0</v>
      </c>
      <c r="AQ318" s="1" t="s">
        <v>68</v>
      </c>
      <c r="AR318" s="1" t="s">
        <v>68</v>
      </c>
      <c r="AS318" s="1" t="s">
        <v>68</v>
      </c>
      <c r="AT318" s="1" t="s">
        <v>68</v>
      </c>
      <c r="AU318" s="1" t="s">
        <v>68</v>
      </c>
      <c r="AV318" s="1" t="s">
        <v>68</v>
      </c>
      <c r="AW318" s="1" t="s">
        <v>6701</v>
      </c>
      <c r="AX318" s="1" t="s">
        <v>6702</v>
      </c>
      <c r="AY318" s="3" t="str">
        <f>HYPERLINK("http://dx.doi.org/10.1111/csp2.338","http://dx.doi.org/10.1111/csp2.338")</f>
        <v>http://dx.doi.org/10.1111/csp2.338</v>
      </c>
      <c r="AZ318" s="1" t="s">
        <v>68</v>
      </c>
      <c r="BA318" s="1" t="s">
        <v>6703</v>
      </c>
      <c r="BB318" s="1">
        <v>13.0</v>
      </c>
      <c r="BC318" s="1" t="s">
        <v>1171</v>
      </c>
      <c r="BD318" s="1" t="s">
        <v>92</v>
      </c>
      <c r="BE318" s="1" t="s">
        <v>1172</v>
      </c>
      <c r="BF318" s="1" t="s">
        <v>6704</v>
      </c>
      <c r="BG318" s="1" t="s">
        <v>68</v>
      </c>
      <c r="BH318" s="1" t="s">
        <v>94</v>
      </c>
      <c r="BI318" s="1" t="s">
        <v>68</v>
      </c>
      <c r="BJ318" s="1" t="s">
        <v>68</v>
      </c>
      <c r="BK318" s="1" t="s">
        <v>95</v>
      </c>
      <c r="BL318" s="1" t="s">
        <v>6705</v>
      </c>
      <c r="BM318" s="1" t="str">
        <f>HYPERLINK("https%3A%2F%2Fwww.webofscience.com%2Fwos%2Fwoscc%2Ffull-record%2FWOS:000607444400001","View Full Record in Web of Science")</f>
        <v>View Full Record in Web of Science</v>
      </c>
    </row>
    <row r="319" ht="12.75" customHeight="1">
      <c r="A319" s="1" t="s">
        <v>65</v>
      </c>
      <c r="B319" s="1" t="s">
        <v>6706</v>
      </c>
      <c r="C319" s="1" t="s">
        <v>6707</v>
      </c>
      <c r="D319" s="1" t="s">
        <v>68</v>
      </c>
      <c r="E319" s="1" t="s">
        <v>6708</v>
      </c>
      <c r="F319" s="1" t="s">
        <v>5563</v>
      </c>
      <c r="G319" s="1" t="s">
        <v>68</v>
      </c>
      <c r="H319" s="1" t="s">
        <v>71</v>
      </c>
      <c r="I319" s="1" t="s">
        <v>72</v>
      </c>
      <c r="J319" s="1" t="s">
        <v>68</v>
      </c>
      <c r="K319" s="1" t="s">
        <v>68</v>
      </c>
      <c r="L319" s="1" t="s">
        <v>68</v>
      </c>
      <c r="M319" s="1" t="s">
        <v>68</v>
      </c>
      <c r="N319" s="1" t="s">
        <v>6709</v>
      </c>
      <c r="O319" s="1" t="s">
        <v>6710</v>
      </c>
      <c r="P319" s="1" t="s">
        <v>6711</v>
      </c>
      <c r="Q319" s="1" t="s">
        <v>6712</v>
      </c>
      <c r="R319" s="1" t="s">
        <v>6713</v>
      </c>
      <c r="S319" s="1" t="s">
        <v>6714</v>
      </c>
      <c r="T319" s="1" t="s">
        <v>6715</v>
      </c>
      <c r="U319" s="1" t="s">
        <v>68</v>
      </c>
      <c r="V319" s="1" t="s">
        <v>6716</v>
      </c>
      <c r="W319" s="1" t="s">
        <v>68</v>
      </c>
      <c r="X319" s="1" t="s">
        <v>68</v>
      </c>
      <c r="Y319" s="1" t="s">
        <v>6717</v>
      </c>
      <c r="Z319" s="1">
        <v>26.0</v>
      </c>
      <c r="AA319" s="1">
        <v>0.0</v>
      </c>
      <c r="AB319" s="1">
        <v>0.0</v>
      </c>
      <c r="AC319" s="1">
        <v>1.0</v>
      </c>
      <c r="AD319" s="1">
        <v>3.0</v>
      </c>
      <c r="AE319" s="1" t="s">
        <v>5573</v>
      </c>
      <c r="AF319" s="1" t="s">
        <v>5574</v>
      </c>
      <c r="AG319" s="1" t="s">
        <v>6718</v>
      </c>
      <c r="AH319" s="1" t="s">
        <v>5576</v>
      </c>
      <c r="AI319" s="1" t="s">
        <v>68</v>
      </c>
      <c r="AJ319" s="1" t="s">
        <v>68</v>
      </c>
      <c r="AK319" s="1" t="s">
        <v>5563</v>
      </c>
      <c r="AL319" s="1" t="s">
        <v>5577</v>
      </c>
      <c r="AM319" s="1" t="s">
        <v>6719</v>
      </c>
      <c r="AN319" s="1">
        <v>2024.0</v>
      </c>
      <c r="AO319" s="1">
        <v>9.0</v>
      </c>
      <c r="AP319" s="1" t="s">
        <v>68</v>
      </c>
      <c r="AQ319" s="1" t="s">
        <v>68</v>
      </c>
      <c r="AR319" s="1" t="s">
        <v>68</v>
      </c>
      <c r="AS319" s="1" t="s">
        <v>68</v>
      </c>
      <c r="AT319" s="1" t="s">
        <v>68</v>
      </c>
      <c r="AU319" s="1">
        <v>1.0</v>
      </c>
      <c r="AV319" s="1">
        <v>7.0</v>
      </c>
      <c r="AW319" s="1" t="s">
        <v>68</v>
      </c>
      <c r="AX319" s="1" t="s">
        <v>6720</v>
      </c>
      <c r="AY319" s="3" t="str">
        <f>HYPERLINK("http://dx.doi.org/10.1139/facets-2023-0044","http://dx.doi.org/10.1139/facets-2023-0044")</f>
        <v>http://dx.doi.org/10.1139/facets-2023-0044</v>
      </c>
      <c r="AZ319" s="1" t="s">
        <v>68</v>
      </c>
      <c r="BA319" s="1" t="s">
        <v>68</v>
      </c>
      <c r="BB319" s="1">
        <v>7.0</v>
      </c>
      <c r="BC319" s="1" t="s">
        <v>742</v>
      </c>
      <c r="BD319" s="1" t="s">
        <v>92</v>
      </c>
      <c r="BE319" s="1" t="s">
        <v>743</v>
      </c>
      <c r="BF319" s="1" t="s">
        <v>6721</v>
      </c>
      <c r="BG319" s="1" t="s">
        <v>68</v>
      </c>
      <c r="BH319" s="1" t="s">
        <v>94</v>
      </c>
      <c r="BI319" s="1" t="s">
        <v>68</v>
      </c>
      <c r="BJ319" s="1" t="s">
        <v>68</v>
      </c>
      <c r="BK319" s="1" t="s">
        <v>95</v>
      </c>
      <c r="BL319" s="1" t="s">
        <v>6722</v>
      </c>
      <c r="BM319" s="1" t="str">
        <f>HYPERLINK("https%3A%2F%2Fwww.webofscience.com%2Fwos%2Fwoscc%2Ffull-record%2FWOS:001254236700001","View Full Record in Web of Science")</f>
        <v>View Full Record in Web of Science</v>
      </c>
    </row>
    <row r="320" ht="12.75" customHeight="1">
      <c r="A320" s="1" t="s">
        <v>65</v>
      </c>
      <c r="B320" s="1" t="s">
        <v>6723</v>
      </c>
      <c r="C320" s="1" t="s">
        <v>6724</v>
      </c>
      <c r="D320" s="1" t="s">
        <v>68</v>
      </c>
      <c r="E320" s="1" t="s">
        <v>6725</v>
      </c>
      <c r="F320" s="1" t="s">
        <v>1895</v>
      </c>
      <c r="G320" s="1" t="s">
        <v>68</v>
      </c>
      <c r="H320" s="1" t="s">
        <v>71</v>
      </c>
      <c r="I320" s="1" t="s">
        <v>72</v>
      </c>
      <c r="J320" s="1" t="s">
        <v>68</v>
      </c>
      <c r="K320" s="1" t="s">
        <v>68</v>
      </c>
      <c r="L320" s="1" t="s">
        <v>68</v>
      </c>
      <c r="M320" s="1" t="s">
        <v>68</v>
      </c>
      <c r="N320" s="1" t="s">
        <v>68</v>
      </c>
      <c r="O320" s="1" t="s">
        <v>6726</v>
      </c>
      <c r="P320" s="1" t="s">
        <v>6727</v>
      </c>
      <c r="Q320" s="1" t="s">
        <v>6728</v>
      </c>
      <c r="R320" s="1" t="s">
        <v>6729</v>
      </c>
      <c r="S320" s="1" t="s">
        <v>6730</v>
      </c>
      <c r="T320" s="1" t="s">
        <v>6731</v>
      </c>
      <c r="U320" s="1" t="s">
        <v>6732</v>
      </c>
      <c r="V320" s="1" t="s">
        <v>6733</v>
      </c>
      <c r="W320" s="1" t="s">
        <v>6734</v>
      </c>
      <c r="X320" s="1" t="s">
        <v>6735</v>
      </c>
      <c r="Y320" s="1" t="s">
        <v>6736</v>
      </c>
      <c r="Z320" s="1">
        <v>41.0</v>
      </c>
      <c r="AA320" s="1">
        <v>2.0</v>
      </c>
      <c r="AB320" s="1">
        <v>2.0</v>
      </c>
      <c r="AC320" s="1">
        <v>2.0</v>
      </c>
      <c r="AD320" s="1">
        <v>5.0</v>
      </c>
      <c r="AE320" s="1" t="s">
        <v>1906</v>
      </c>
      <c r="AF320" s="1" t="s">
        <v>1907</v>
      </c>
      <c r="AG320" s="1" t="s">
        <v>1908</v>
      </c>
      <c r="AH320" s="1" t="s">
        <v>1909</v>
      </c>
      <c r="AI320" s="1" t="s">
        <v>68</v>
      </c>
      <c r="AJ320" s="1" t="s">
        <v>68</v>
      </c>
      <c r="AK320" s="1" t="s">
        <v>1895</v>
      </c>
      <c r="AL320" s="1" t="s">
        <v>1910</v>
      </c>
      <c r="AM320" s="1" t="s">
        <v>6737</v>
      </c>
      <c r="AN320" s="1">
        <v>2024.0</v>
      </c>
      <c r="AO320" s="1">
        <v>19.0</v>
      </c>
      <c r="AP320" s="1">
        <v>10.0</v>
      </c>
      <c r="AQ320" s="1" t="s">
        <v>68</v>
      </c>
      <c r="AR320" s="1" t="s">
        <v>68</v>
      </c>
      <c r="AS320" s="1" t="s">
        <v>68</v>
      </c>
      <c r="AT320" s="1" t="s">
        <v>68</v>
      </c>
      <c r="AU320" s="1" t="s">
        <v>68</v>
      </c>
      <c r="AV320" s="1" t="s">
        <v>68</v>
      </c>
      <c r="AW320" s="1" t="s">
        <v>6738</v>
      </c>
      <c r="AX320" s="1" t="s">
        <v>6739</v>
      </c>
      <c r="AY320" s="3" t="str">
        <f>HYPERLINK("http://dx.doi.org/10.1371/journal.pone.0305505","http://dx.doi.org/10.1371/journal.pone.0305505")</f>
        <v>http://dx.doi.org/10.1371/journal.pone.0305505</v>
      </c>
      <c r="AZ320" s="1" t="s">
        <v>68</v>
      </c>
      <c r="BA320" s="1" t="s">
        <v>68</v>
      </c>
      <c r="BB320" s="1">
        <v>22.0</v>
      </c>
      <c r="BC320" s="1" t="s">
        <v>742</v>
      </c>
      <c r="BD320" s="1" t="s">
        <v>92</v>
      </c>
      <c r="BE320" s="1" t="s">
        <v>743</v>
      </c>
      <c r="BF320" s="1" t="s">
        <v>6740</v>
      </c>
      <c r="BG320" s="1">
        <v>3.9480823E7</v>
      </c>
      <c r="BH320" s="1" t="s">
        <v>94</v>
      </c>
      <c r="BI320" s="1" t="s">
        <v>68</v>
      </c>
      <c r="BJ320" s="1" t="s">
        <v>68</v>
      </c>
      <c r="BK320" s="1" t="s">
        <v>95</v>
      </c>
      <c r="BL320" s="1" t="s">
        <v>6741</v>
      </c>
      <c r="BM320" s="1" t="str">
        <f>HYPERLINK("https%3A%2F%2Fwww.webofscience.com%2Fwos%2Fwoscc%2Ffull-record%2FWOS:001348615200063","View Full Record in Web of Science")</f>
        <v>View Full Record in Web of Science</v>
      </c>
    </row>
    <row r="321" ht="12.75" customHeight="1">
      <c r="A321" s="1" t="s">
        <v>65</v>
      </c>
      <c r="B321" s="1" t="s">
        <v>6742</v>
      </c>
      <c r="C321" s="1" t="s">
        <v>6743</v>
      </c>
      <c r="D321" s="1" t="s">
        <v>68</v>
      </c>
      <c r="E321" s="1" t="s">
        <v>6744</v>
      </c>
      <c r="F321" s="1" t="s">
        <v>3197</v>
      </c>
      <c r="G321" s="1" t="s">
        <v>68</v>
      </c>
      <c r="H321" s="1" t="s">
        <v>71</v>
      </c>
      <c r="I321" s="1" t="s">
        <v>72</v>
      </c>
      <c r="J321" s="1" t="s">
        <v>68</v>
      </c>
      <c r="K321" s="1" t="s">
        <v>68</v>
      </c>
      <c r="L321" s="1" t="s">
        <v>68</v>
      </c>
      <c r="M321" s="1" t="s">
        <v>68</v>
      </c>
      <c r="N321" s="1" t="s">
        <v>6745</v>
      </c>
      <c r="O321" s="1" t="s">
        <v>6746</v>
      </c>
      <c r="P321" s="1" t="s">
        <v>6747</v>
      </c>
      <c r="Q321" s="1" t="s">
        <v>6748</v>
      </c>
      <c r="R321" s="1" t="s">
        <v>6749</v>
      </c>
      <c r="S321" s="1" t="s">
        <v>6750</v>
      </c>
      <c r="T321" s="1" t="s">
        <v>6751</v>
      </c>
      <c r="U321" s="1" t="s">
        <v>6752</v>
      </c>
      <c r="V321" s="1" t="s">
        <v>6753</v>
      </c>
      <c r="W321" s="1" t="s">
        <v>6754</v>
      </c>
      <c r="X321" s="1" t="s">
        <v>6755</v>
      </c>
      <c r="Y321" s="1" t="s">
        <v>6756</v>
      </c>
      <c r="Z321" s="1">
        <v>60.0</v>
      </c>
      <c r="AA321" s="1">
        <v>30.0</v>
      </c>
      <c r="AB321" s="1">
        <v>31.0</v>
      </c>
      <c r="AC321" s="1">
        <v>3.0</v>
      </c>
      <c r="AD321" s="1">
        <v>54.0</v>
      </c>
      <c r="AE321" s="1" t="s">
        <v>114</v>
      </c>
      <c r="AF321" s="1" t="s">
        <v>1505</v>
      </c>
      <c r="AG321" s="1" t="s">
        <v>1506</v>
      </c>
      <c r="AH321" s="1" t="s">
        <v>3209</v>
      </c>
      <c r="AI321" s="1" t="s">
        <v>3210</v>
      </c>
      <c r="AJ321" s="1" t="s">
        <v>68</v>
      </c>
      <c r="AK321" s="1" t="s">
        <v>3211</v>
      </c>
      <c r="AL321" s="1" t="s">
        <v>3212</v>
      </c>
      <c r="AM321" s="1" t="s">
        <v>3782</v>
      </c>
      <c r="AN321" s="1">
        <v>2019.0</v>
      </c>
      <c r="AO321" s="1">
        <v>21.0</v>
      </c>
      <c r="AP321" s="1">
        <v>6.0</v>
      </c>
      <c r="AQ321" s="1" t="s">
        <v>68</v>
      </c>
      <c r="AR321" s="1" t="s">
        <v>68</v>
      </c>
      <c r="AS321" s="1" t="s">
        <v>68</v>
      </c>
      <c r="AT321" s="1" t="s">
        <v>68</v>
      </c>
      <c r="AU321" s="1">
        <v>2127.0</v>
      </c>
      <c r="AV321" s="1">
        <v>2141.0</v>
      </c>
      <c r="AW321" s="1" t="s">
        <v>68</v>
      </c>
      <c r="AX321" s="1" t="s">
        <v>6757</v>
      </c>
      <c r="AY321" s="3" t="str">
        <f>HYPERLINK("http://dx.doi.org/10.1007/s10530-019-01962-6","http://dx.doi.org/10.1007/s10530-019-01962-6")</f>
        <v>http://dx.doi.org/10.1007/s10530-019-01962-6</v>
      </c>
      <c r="AZ321" s="1" t="s">
        <v>68</v>
      </c>
      <c r="BA321" s="1" t="s">
        <v>68</v>
      </c>
      <c r="BB321" s="1">
        <v>15.0</v>
      </c>
      <c r="BC321" s="1" t="s">
        <v>1011</v>
      </c>
      <c r="BD321" s="1" t="s">
        <v>92</v>
      </c>
      <c r="BE321" s="1" t="s">
        <v>123</v>
      </c>
      <c r="BF321" s="1" t="s">
        <v>6758</v>
      </c>
      <c r="BG321" s="1" t="s">
        <v>68</v>
      </c>
      <c r="BH321" s="1" t="s">
        <v>68</v>
      </c>
      <c r="BI321" s="1" t="s">
        <v>68</v>
      </c>
      <c r="BJ321" s="1" t="s">
        <v>68</v>
      </c>
      <c r="BK321" s="1" t="s">
        <v>95</v>
      </c>
      <c r="BL321" s="1" t="s">
        <v>6759</v>
      </c>
      <c r="BM321" s="1" t="str">
        <f>HYPERLINK("https%3A%2F%2Fwww.webofscience.com%2Fwos%2Fwoscc%2Ffull-record%2FWOS:000467649500023","View Full Record in Web of Science")</f>
        <v>View Full Record in Web of Science</v>
      </c>
    </row>
    <row r="322" ht="12.75" customHeight="1">
      <c r="A322" s="1" t="s">
        <v>65</v>
      </c>
      <c r="B322" s="1" t="s">
        <v>6760</v>
      </c>
      <c r="C322" s="1" t="s">
        <v>6761</v>
      </c>
      <c r="D322" s="1" t="s">
        <v>68</v>
      </c>
      <c r="E322" s="1" t="s">
        <v>6762</v>
      </c>
      <c r="F322" s="1" t="s">
        <v>6763</v>
      </c>
      <c r="G322" s="1" t="s">
        <v>68</v>
      </c>
      <c r="H322" s="1" t="s">
        <v>71</v>
      </c>
      <c r="I322" s="1" t="s">
        <v>72</v>
      </c>
      <c r="J322" s="1" t="s">
        <v>68</v>
      </c>
      <c r="K322" s="1" t="s">
        <v>68</v>
      </c>
      <c r="L322" s="1" t="s">
        <v>68</v>
      </c>
      <c r="M322" s="1" t="s">
        <v>68</v>
      </c>
      <c r="N322" s="1" t="s">
        <v>6764</v>
      </c>
      <c r="O322" s="1" t="s">
        <v>6765</v>
      </c>
      <c r="P322" s="1" t="s">
        <v>6766</v>
      </c>
      <c r="Q322" s="1" t="s">
        <v>6767</v>
      </c>
      <c r="R322" s="1" t="s">
        <v>6768</v>
      </c>
      <c r="S322" s="1" t="s">
        <v>6769</v>
      </c>
      <c r="T322" s="1" t="s">
        <v>6770</v>
      </c>
      <c r="U322" s="1" t="s">
        <v>6771</v>
      </c>
      <c r="V322" s="1" t="s">
        <v>6772</v>
      </c>
      <c r="W322" s="1" t="s">
        <v>6773</v>
      </c>
      <c r="X322" s="1" t="s">
        <v>6774</v>
      </c>
      <c r="Y322" s="1" t="s">
        <v>6775</v>
      </c>
      <c r="Z322" s="1">
        <v>44.0</v>
      </c>
      <c r="AA322" s="1">
        <v>14.0</v>
      </c>
      <c r="AB322" s="1">
        <v>16.0</v>
      </c>
      <c r="AC322" s="1">
        <v>2.0</v>
      </c>
      <c r="AD322" s="1">
        <v>6.0</v>
      </c>
      <c r="AE322" s="1" t="s">
        <v>1596</v>
      </c>
      <c r="AF322" s="1" t="s">
        <v>1182</v>
      </c>
      <c r="AG322" s="1" t="s">
        <v>1597</v>
      </c>
      <c r="AH322" s="1" t="s">
        <v>6776</v>
      </c>
      <c r="AI322" s="1" t="s">
        <v>68</v>
      </c>
      <c r="AJ322" s="1" t="s">
        <v>68</v>
      </c>
      <c r="AK322" s="1" t="s">
        <v>6777</v>
      </c>
      <c r="AL322" s="1" t="s">
        <v>6778</v>
      </c>
      <c r="AM322" s="1" t="s">
        <v>1264</v>
      </c>
      <c r="AN322" s="1">
        <v>2022.0</v>
      </c>
      <c r="AO322" s="1">
        <v>19.0</v>
      </c>
      <c r="AP322" s="1" t="s">
        <v>68</v>
      </c>
      <c r="AQ322" s="1" t="s">
        <v>68</v>
      </c>
      <c r="AR322" s="1" t="s">
        <v>68</v>
      </c>
      <c r="AS322" s="1" t="s">
        <v>68</v>
      </c>
      <c r="AT322" s="1" t="s">
        <v>68</v>
      </c>
      <c r="AU322" s="1" t="s">
        <v>68</v>
      </c>
      <c r="AV322" s="1" t="s">
        <v>68</v>
      </c>
      <c r="AW322" s="1" t="s">
        <v>6779</v>
      </c>
      <c r="AX322" s="1" t="s">
        <v>6780</v>
      </c>
      <c r="AY322" s="3" t="str">
        <f>HYPERLINK("http://dx.doi.org/10.1016/j.parepi.2022.e00273","http://dx.doi.org/10.1016/j.parepi.2022.e00273")</f>
        <v>http://dx.doi.org/10.1016/j.parepi.2022.e00273</v>
      </c>
      <c r="AZ322" s="1" t="s">
        <v>68</v>
      </c>
      <c r="BA322" s="1" t="s">
        <v>6781</v>
      </c>
      <c r="BB322" s="1">
        <v>9.0</v>
      </c>
      <c r="BC322" s="1" t="s">
        <v>6782</v>
      </c>
      <c r="BD322" s="1" t="s">
        <v>197</v>
      </c>
      <c r="BE322" s="1" t="s">
        <v>6782</v>
      </c>
      <c r="BF322" s="1" t="s">
        <v>6783</v>
      </c>
      <c r="BG322" s="1">
        <v>3.611805E7</v>
      </c>
      <c r="BH322" s="1" t="s">
        <v>672</v>
      </c>
      <c r="BI322" s="1" t="s">
        <v>68</v>
      </c>
      <c r="BJ322" s="1" t="s">
        <v>68</v>
      </c>
      <c r="BK322" s="1" t="s">
        <v>95</v>
      </c>
      <c r="BL322" s="1" t="s">
        <v>6784</v>
      </c>
      <c r="BM322" s="1" t="str">
        <f>HYPERLINK("https%3A%2F%2Fwww.webofscience.com%2Fwos%2Fwoscc%2Ffull-record%2FWOS:000863237000005","View Full Record in Web of Science")</f>
        <v>View Full Record in Web of Science</v>
      </c>
    </row>
    <row r="323" ht="12.75" customHeight="1">
      <c r="A323" s="1" t="s">
        <v>65</v>
      </c>
      <c r="B323" s="1" t="s">
        <v>6785</v>
      </c>
      <c r="C323" s="1" t="s">
        <v>6786</v>
      </c>
      <c r="D323" s="1" t="s">
        <v>68</v>
      </c>
      <c r="E323" s="1" t="s">
        <v>6787</v>
      </c>
      <c r="F323" s="1" t="s">
        <v>5871</v>
      </c>
      <c r="G323" s="1" t="s">
        <v>68</v>
      </c>
      <c r="H323" s="1" t="s">
        <v>71</v>
      </c>
      <c r="I323" s="1" t="s">
        <v>72</v>
      </c>
      <c r="J323" s="1" t="s">
        <v>68</v>
      </c>
      <c r="K323" s="1" t="s">
        <v>68</v>
      </c>
      <c r="L323" s="1" t="s">
        <v>68</v>
      </c>
      <c r="M323" s="1" t="s">
        <v>68</v>
      </c>
      <c r="N323" s="1" t="s">
        <v>68</v>
      </c>
      <c r="O323" s="1" t="s">
        <v>6788</v>
      </c>
      <c r="P323" s="1" t="s">
        <v>6789</v>
      </c>
      <c r="Q323" s="1" t="s">
        <v>6790</v>
      </c>
      <c r="R323" s="1" t="s">
        <v>5875</v>
      </c>
      <c r="S323" s="1" t="s">
        <v>6791</v>
      </c>
      <c r="T323" s="1" t="s">
        <v>5877</v>
      </c>
      <c r="U323" s="1" t="s">
        <v>68</v>
      </c>
      <c r="V323" s="1" t="s">
        <v>6792</v>
      </c>
      <c r="W323" s="1" t="s">
        <v>5879</v>
      </c>
      <c r="X323" s="1" t="s">
        <v>5879</v>
      </c>
      <c r="Y323" s="1" t="s">
        <v>6793</v>
      </c>
      <c r="Z323" s="1">
        <v>58.0</v>
      </c>
      <c r="AA323" s="1">
        <v>2.0</v>
      </c>
      <c r="AB323" s="1">
        <v>2.0</v>
      </c>
      <c r="AC323" s="1">
        <v>3.0</v>
      </c>
      <c r="AD323" s="1">
        <v>3.0</v>
      </c>
      <c r="AE323" s="1" t="s">
        <v>1906</v>
      </c>
      <c r="AF323" s="1" t="s">
        <v>1907</v>
      </c>
      <c r="AG323" s="1" t="s">
        <v>1908</v>
      </c>
      <c r="AH323" s="1" t="s">
        <v>68</v>
      </c>
      <c r="AI323" s="1" t="s">
        <v>5881</v>
      </c>
      <c r="AJ323" s="1" t="s">
        <v>68</v>
      </c>
      <c r="AK323" s="1" t="s">
        <v>5882</v>
      </c>
      <c r="AL323" s="1" t="s">
        <v>5883</v>
      </c>
      <c r="AM323" s="1" t="s">
        <v>1264</v>
      </c>
      <c r="AN323" s="1">
        <v>2024.0</v>
      </c>
      <c r="AO323" s="1">
        <v>3.0</v>
      </c>
      <c r="AP323" s="1">
        <v>11.0</v>
      </c>
      <c r="AQ323" s="1" t="s">
        <v>68</v>
      </c>
      <c r="AR323" s="1" t="s">
        <v>68</v>
      </c>
      <c r="AS323" s="1" t="s">
        <v>68</v>
      </c>
      <c r="AT323" s="1" t="s">
        <v>68</v>
      </c>
      <c r="AU323" s="1" t="s">
        <v>68</v>
      </c>
      <c r="AV323" s="1" t="s">
        <v>68</v>
      </c>
      <c r="AW323" s="1" t="s">
        <v>6794</v>
      </c>
      <c r="AX323" s="1" t="s">
        <v>6795</v>
      </c>
      <c r="AY323" s="3" t="str">
        <f>HYPERLINK("http://dx.doi.org/10.1371/journal.pdig.0000448","http://dx.doi.org/10.1371/journal.pdig.0000448")</f>
        <v>http://dx.doi.org/10.1371/journal.pdig.0000448</v>
      </c>
      <c r="AZ323" s="1" t="s">
        <v>68</v>
      </c>
      <c r="BA323" s="1" t="s">
        <v>68</v>
      </c>
      <c r="BB323" s="1">
        <v>17.0</v>
      </c>
      <c r="BC323" s="1" t="s">
        <v>5886</v>
      </c>
      <c r="BD323" s="1" t="s">
        <v>197</v>
      </c>
      <c r="BE323" s="1" t="s">
        <v>5886</v>
      </c>
      <c r="BF323" s="1" t="s">
        <v>6796</v>
      </c>
      <c r="BG323" s="1">
        <v>3.9527558E7</v>
      </c>
      <c r="BH323" s="1" t="s">
        <v>94</v>
      </c>
      <c r="BI323" s="1" t="s">
        <v>68</v>
      </c>
      <c r="BJ323" s="1" t="s">
        <v>68</v>
      </c>
      <c r="BK323" s="1" t="s">
        <v>95</v>
      </c>
      <c r="BL323" s="1" t="s">
        <v>6797</v>
      </c>
      <c r="BM323" s="1" t="str">
        <f>HYPERLINK("https%3A%2F%2Fwww.webofscience.com%2Fwos%2Fwoscc%2Ffull-record%2FWOS:001417669700001","View Full Record in Web of Science")</f>
        <v>View Full Record in Web of Science</v>
      </c>
    </row>
    <row r="324" ht="12.75" customHeight="1">
      <c r="A324" s="1" t="s">
        <v>65</v>
      </c>
      <c r="B324" s="1" t="s">
        <v>6798</v>
      </c>
      <c r="C324" s="1" t="s">
        <v>6799</v>
      </c>
      <c r="D324" s="1" t="s">
        <v>68</v>
      </c>
      <c r="E324" s="1" t="s">
        <v>6800</v>
      </c>
      <c r="F324" s="1" t="s">
        <v>1895</v>
      </c>
      <c r="G324" s="1" t="s">
        <v>68</v>
      </c>
      <c r="H324" s="1" t="s">
        <v>71</v>
      </c>
      <c r="I324" s="1" t="s">
        <v>72</v>
      </c>
      <c r="J324" s="1" t="s">
        <v>68</v>
      </c>
      <c r="K324" s="1" t="s">
        <v>68</v>
      </c>
      <c r="L324" s="1" t="s">
        <v>68</v>
      </c>
      <c r="M324" s="1" t="s">
        <v>68</v>
      </c>
      <c r="N324" s="1" t="s">
        <v>68</v>
      </c>
      <c r="O324" s="1" t="s">
        <v>6801</v>
      </c>
      <c r="P324" s="1" t="s">
        <v>6802</v>
      </c>
      <c r="Q324" s="1" t="s">
        <v>6803</v>
      </c>
      <c r="R324" s="1" t="s">
        <v>6804</v>
      </c>
      <c r="S324" s="1" t="s">
        <v>6805</v>
      </c>
      <c r="T324" s="1" t="s">
        <v>6806</v>
      </c>
      <c r="U324" s="1" t="s">
        <v>68</v>
      </c>
      <c r="V324" s="1" t="s">
        <v>6807</v>
      </c>
      <c r="W324" s="1" t="s">
        <v>6808</v>
      </c>
      <c r="X324" s="1" t="s">
        <v>6809</v>
      </c>
      <c r="Y324" s="1" t="s">
        <v>6810</v>
      </c>
      <c r="Z324" s="1">
        <v>44.0</v>
      </c>
      <c r="AA324" s="1">
        <v>17.0</v>
      </c>
      <c r="AB324" s="1">
        <v>20.0</v>
      </c>
      <c r="AC324" s="1">
        <v>0.0</v>
      </c>
      <c r="AD324" s="1">
        <v>35.0</v>
      </c>
      <c r="AE324" s="1" t="s">
        <v>1906</v>
      </c>
      <c r="AF324" s="1" t="s">
        <v>1907</v>
      </c>
      <c r="AG324" s="1" t="s">
        <v>1908</v>
      </c>
      <c r="AH324" s="1" t="s">
        <v>1909</v>
      </c>
      <c r="AI324" s="1" t="s">
        <v>68</v>
      </c>
      <c r="AJ324" s="1" t="s">
        <v>68</v>
      </c>
      <c r="AK324" s="1" t="s">
        <v>1895</v>
      </c>
      <c r="AL324" s="1" t="s">
        <v>1910</v>
      </c>
      <c r="AM324" s="1" t="s">
        <v>6811</v>
      </c>
      <c r="AN324" s="1">
        <v>2015.0</v>
      </c>
      <c r="AO324" s="1">
        <v>10.0</v>
      </c>
      <c r="AP324" s="1">
        <v>2.0</v>
      </c>
      <c r="AQ324" s="1" t="s">
        <v>68</v>
      </c>
      <c r="AR324" s="1" t="s">
        <v>68</v>
      </c>
      <c r="AS324" s="1" t="s">
        <v>68</v>
      </c>
      <c r="AT324" s="1" t="s">
        <v>68</v>
      </c>
      <c r="AU324" s="1" t="s">
        <v>68</v>
      </c>
      <c r="AV324" s="1" t="s">
        <v>68</v>
      </c>
      <c r="AW324" s="1" t="s">
        <v>6812</v>
      </c>
      <c r="AX324" s="1" t="s">
        <v>6813</v>
      </c>
      <c r="AY324" s="3" t="str">
        <f>HYPERLINK("http://dx.doi.org/10.1371/journal.pone.0119324","http://dx.doi.org/10.1371/journal.pone.0119324")</f>
        <v>http://dx.doi.org/10.1371/journal.pone.0119324</v>
      </c>
      <c r="AZ324" s="1" t="s">
        <v>68</v>
      </c>
      <c r="BA324" s="1" t="s">
        <v>68</v>
      </c>
      <c r="BB324" s="1">
        <v>16.0</v>
      </c>
      <c r="BC324" s="1" t="s">
        <v>742</v>
      </c>
      <c r="BD324" s="1" t="s">
        <v>92</v>
      </c>
      <c r="BE324" s="1" t="s">
        <v>743</v>
      </c>
      <c r="BF324" s="1" t="s">
        <v>6814</v>
      </c>
      <c r="BG324" s="1">
        <v>2.5723544E7</v>
      </c>
      <c r="BH324" s="1" t="s">
        <v>94</v>
      </c>
      <c r="BI324" s="1" t="s">
        <v>68</v>
      </c>
      <c r="BJ324" s="1" t="s">
        <v>68</v>
      </c>
      <c r="BK324" s="1" t="s">
        <v>95</v>
      </c>
      <c r="BL324" s="1" t="s">
        <v>6815</v>
      </c>
      <c r="BM324" s="1" t="str">
        <f>HYPERLINK("https%3A%2F%2Fwww.webofscience.com%2Fwos%2Fwoscc%2Ffull-record%2FWOS:000350251200070","View Full Record in Web of Science")</f>
        <v>View Full Record in Web of Science</v>
      </c>
    </row>
    <row r="325" ht="12.75" customHeight="1">
      <c r="A325" s="1" t="s">
        <v>65</v>
      </c>
      <c r="B325" s="1" t="s">
        <v>6816</v>
      </c>
      <c r="C325" s="1" t="s">
        <v>6817</v>
      </c>
      <c r="D325" s="1" t="s">
        <v>68</v>
      </c>
      <c r="E325" s="1" t="s">
        <v>6818</v>
      </c>
      <c r="F325" s="1" t="s">
        <v>6819</v>
      </c>
      <c r="G325" s="1" t="s">
        <v>68</v>
      </c>
      <c r="H325" s="1" t="s">
        <v>71</v>
      </c>
      <c r="I325" s="1" t="s">
        <v>1609</v>
      </c>
      <c r="J325" s="1" t="s">
        <v>68</v>
      </c>
      <c r="K325" s="1" t="s">
        <v>68</v>
      </c>
      <c r="L325" s="1" t="s">
        <v>68</v>
      </c>
      <c r="M325" s="1" t="s">
        <v>68</v>
      </c>
      <c r="N325" s="1" t="s">
        <v>6820</v>
      </c>
      <c r="O325" s="1" t="s">
        <v>4221</v>
      </c>
      <c r="P325" s="1" t="s">
        <v>6821</v>
      </c>
      <c r="Q325" s="1" t="s">
        <v>6822</v>
      </c>
      <c r="R325" s="1" t="s">
        <v>6823</v>
      </c>
      <c r="S325" s="1" t="s">
        <v>6824</v>
      </c>
      <c r="T325" s="1" t="s">
        <v>6825</v>
      </c>
      <c r="U325" s="1" t="s">
        <v>6826</v>
      </c>
      <c r="V325" s="1" t="s">
        <v>6827</v>
      </c>
      <c r="W325" s="1" t="s">
        <v>6828</v>
      </c>
      <c r="X325" s="1" t="s">
        <v>6829</v>
      </c>
      <c r="Y325" s="1" t="s">
        <v>6830</v>
      </c>
      <c r="Z325" s="1">
        <v>31.0</v>
      </c>
      <c r="AA325" s="1">
        <v>0.0</v>
      </c>
      <c r="AB325" s="1">
        <v>0.0</v>
      </c>
      <c r="AC325" s="1">
        <v>1.0</v>
      </c>
      <c r="AD325" s="1">
        <v>1.0</v>
      </c>
      <c r="AE325" s="1" t="s">
        <v>218</v>
      </c>
      <c r="AF325" s="1" t="s">
        <v>219</v>
      </c>
      <c r="AG325" s="1" t="s">
        <v>220</v>
      </c>
      <c r="AH325" s="1" t="s">
        <v>6831</v>
      </c>
      <c r="AI325" s="1" t="s">
        <v>6832</v>
      </c>
      <c r="AJ325" s="1" t="s">
        <v>68</v>
      </c>
      <c r="AK325" s="1" t="s">
        <v>6833</v>
      </c>
      <c r="AL325" s="1" t="s">
        <v>6834</v>
      </c>
      <c r="AM325" s="1" t="s">
        <v>6835</v>
      </c>
      <c r="AN325" s="1">
        <v>2025.0</v>
      </c>
      <c r="AO325" s="1" t="s">
        <v>68</v>
      </c>
      <c r="AP325" s="1" t="s">
        <v>68</v>
      </c>
      <c r="AQ325" s="1" t="s">
        <v>68</v>
      </c>
      <c r="AR325" s="1" t="s">
        <v>68</v>
      </c>
      <c r="AS325" s="1" t="s">
        <v>68</v>
      </c>
      <c r="AT325" s="1" t="s">
        <v>68</v>
      </c>
      <c r="AU325" s="1" t="s">
        <v>68</v>
      </c>
      <c r="AV325" s="1" t="s">
        <v>68</v>
      </c>
      <c r="AW325" s="1" t="s">
        <v>68</v>
      </c>
      <c r="AX325" s="1" t="s">
        <v>6836</v>
      </c>
      <c r="AY325" s="3" t="str">
        <f>HYPERLINK("http://dx.doi.org/10.17269/s41997-025-01134-1","http://dx.doi.org/10.17269/s41997-025-01134-1")</f>
        <v>http://dx.doi.org/10.17269/s41997-025-01134-1</v>
      </c>
      <c r="AZ325" s="1" t="s">
        <v>68</v>
      </c>
      <c r="BA325" s="1" t="s">
        <v>4461</v>
      </c>
      <c r="BB325" s="1">
        <v>10.0</v>
      </c>
      <c r="BC325" s="1" t="s">
        <v>3647</v>
      </c>
      <c r="BD325" s="1" t="s">
        <v>1438</v>
      </c>
      <c r="BE325" s="1" t="s">
        <v>3647</v>
      </c>
      <c r="BF325" s="1" t="s">
        <v>6837</v>
      </c>
      <c r="BG325" s="1">
        <v>4.1276754E7</v>
      </c>
      <c r="BH325" s="1" t="s">
        <v>867</v>
      </c>
      <c r="BI325" s="1" t="s">
        <v>68</v>
      </c>
      <c r="BJ325" s="1" t="s">
        <v>68</v>
      </c>
      <c r="BK325" s="1" t="s">
        <v>95</v>
      </c>
      <c r="BL325" s="1" t="s">
        <v>6838</v>
      </c>
      <c r="BM325" s="1" t="str">
        <f>HYPERLINK("https%3A%2F%2Fwww.webofscience.com%2Fwos%2Fwoscc%2Ffull-record%2FWOS:001620334200001","View Full Record in Web of Science")</f>
        <v>View Full Record in Web of Science</v>
      </c>
    </row>
    <row r="326" ht="12.75" customHeight="1">
      <c r="A326" s="1" t="s">
        <v>65</v>
      </c>
      <c r="B326" s="1" t="s">
        <v>6839</v>
      </c>
      <c r="C326" s="1" t="s">
        <v>6840</v>
      </c>
      <c r="D326" s="1" t="s">
        <v>68</v>
      </c>
      <c r="E326" s="1" t="s">
        <v>6841</v>
      </c>
      <c r="F326" s="1" t="s">
        <v>6842</v>
      </c>
      <c r="G326" s="1" t="s">
        <v>68</v>
      </c>
      <c r="H326" s="1" t="s">
        <v>71</v>
      </c>
      <c r="I326" s="1" t="s">
        <v>72</v>
      </c>
      <c r="J326" s="1" t="s">
        <v>68</v>
      </c>
      <c r="K326" s="1" t="s">
        <v>68</v>
      </c>
      <c r="L326" s="1" t="s">
        <v>68</v>
      </c>
      <c r="M326" s="1" t="s">
        <v>68</v>
      </c>
      <c r="N326" s="1" t="s">
        <v>6843</v>
      </c>
      <c r="O326" s="1" t="s">
        <v>6844</v>
      </c>
      <c r="P326" s="1" t="s">
        <v>6845</v>
      </c>
      <c r="Q326" s="1" t="s">
        <v>6846</v>
      </c>
      <c r="R326" s="1" t="s">
        <v>6847</v>
      </c>
      <c r="S326" s="1" t="s">
        <v>6848</v>
      </c>
      <c r="T326" s="1" t="s">
        <v>6849</v>
      </c>
      <c r="U326" s="1" t="s">
        <v>6850</v>
      </c>
      <c r="V326" s="1" t="s">
        <v>6851</v>
      </c>
      <c r="W326" s="1" t="s">
        <v>6852</v>
      </c>
      <c r="X326" s="1" t="s">
        <v>6853</v>
      </c>
      <c r="Y326" s="1" t="s">
        <v>6854</v>
      </c>
      <c r="Z326" s="1">
        <v>55.0</v>
      </c>
      <c r="AA326" s="1">
        <v>45.0</v>
      </c>
      <c r="AB326" s="1">
        <v>60.0</v>
      </c>
      <c r="AC326" s="1">
        <v>0.0</v>
      </c>
      <c r="AD326" s="1">
        <v>30.0</v>
      </c>
      <c r="AE326" s="1" t="s">
        <v>2282</v>
      </c>
      <c r="AF326" s="1" t="s">
        <v>1933</v>
      </c>
      <c r="AG326" s="1" t="s">
        <v>2283</v>
      </c>
      <c r="AH326" s="1" t="s">
        <v>6855</v>
      </c>
      <c r="AI326" s="1" t="s">
        <v>6856</v>
      </c>
      <c r="AJ326" s="1" t="s">
        <v>68</v>
      </c>
      <c r="AK326" s="1" t="s">
        <v>6857</v>
      </c>
      <c r="AL326" s="1" t="s">
        <v>6858</v>
      </c>
      <c r="AM326" s="1" t="s">
        <v>68</v>
      </c>
      <c r="AN326" s="1">
        <v>2016.0</v>
      </c>
      <c r="AO326" s="1">
        <v>21.0</v>
      </c>
      <c r="AP326" s="1">
        <v>1.0</v>
      </c>
      <c r="AQ326" s="1" t="s">
        <v>68</v>
      </c>
      <c r="AR326" s="1" t="s">
        <v>68</v>
      </c>
      <c r="AS326" s="1" t="s">
        <v>68</v>
      </c>
      <c r="AT326" s="1" t="s">
        <v>68</v>
      </c>
      <c r="AU326" s="1">
        <v>18.0</v>
      </c>
      <c r="AV326" s="1">
        <v>33.0</v>
      </c>
      <c r="AW326" s="1" t="s">
        <v>68</v>
      </c>
      <c r="AX326" s="1" t="s">
        <v>6859</v>
      </c>
      <c r="AY326" s="3" t="str">
        <f>HYPERLINK("http://dx.doi.org/10.1080/10871209.2015.1086933","http://dx.doi.org/10.1080/10871209.2015.1086933")</f>
        <v>http://dx.doi.org/10.1080/10871209.2015.1086933</v>
      </c>
      <c r="AZ326" s="1" t="s">
        <v>68</v>
      </c>
      <c r="BA326" s="1" t="s">
        <v>68</v>
      </c>
      <c r="BB326" s="1">
        <v>16.0</v>
      </c>
      <c r="BC326" s="1" t="s">
        <v>3766</v>
      </c>
      <c r="BD326" s="1" t="s">
        <v>92</v>
      </c>
      <c r="BE326" s="1" t="s">
        <v>123</v>
      </c>
      <c r="BF326" s="1" t="s">
        <v>6860</v>
      </c>
      <c r="BG326" s="1" t="s">
        <v>68</v>
      </c>
      <c r="BH326" s="1" t="s">
        <v>68</v>
      </c>
      <c r="BI326" s="1" t="s">
        <v>68</v>
      </c>
      <c r="BJ326" s="1" t="s">
        <v>68</v>
      </c>
      <c r="BK326" s="1" t="s">
        <v>95</v>
      </c>
      <c r="BL326" s="1" t="s">
        <v>6861</v>
      </c>
      <c r="BM326" s="1" t="str">
        <f>HYPERLINK("https%3A%2F%2Fwww.webofscience.com%2Fwos%2Fwoscc%2Ffull-record%2FWOS:000422687800002","View Full Record in Web of Science")</f>
        <v>View Full Record in Web of Science</v>
      </c>
    </row>
    <row r="327" ht="12.75" customHeight="1">
      <c r="A327" s="1" t="s">
        <v>65</v>
      </c>
      <c r="B327" s="1" t="s">
        <v>6862</v>
      </c>
      <c r="C327" s="1" t="s">
        <v>6863</v>
      </c>
      <c r="D327" s="1" t="s">
        <v>68</v>
      </c>
      <c r="E327" s="1" t="s">
        <v>6864</v>
      </c>
      <c r="F327" s="1" t="s">
        <v>6865</v>
      </c>
      <c r="G327" s="1" t="s">
        <v>68</v>
      </c>
      <c r="H327" s="1" t="s">
        <v>71</v>
      </c>
      <c r="I327" s="1" t="s">
        <v>72</v>
      </c>
      <c r="J327" s="1" t="s">
        <v>68</v>
      </c>
      <c r="K327" s="1" t="s">
        <v>68</v>
      </c>
      <c r="L327" s="1" t="s">
        <v>68</v>
      </c>
      <c r="M327" s="1" t="s">
        <v>68</v>
      </c>
      <c r="N327" s="1" t="s">
        <v>6866</v>
      </c>
      <c r="O327" s="1" t="s">
        <v>6867</v>
      </c>
      <c r="P327" s="1" t="s">
        <v>6868</v>
      </c>
      <c r="Q327" s="1" t="s">
        <v>6869</v>
      </c>
      <c r="R327" s="1" t="s">
        <v>6870</v>
      </c>
      <c r="S327" s="1" t="s">
        <v>6871</v>
      </c>
      <c r="T327" s="1" t="s">
        <v>6872</v>
      </c>
      <c r="U327" s="1" t="s">
        <v>6873</v>
      </c>
      <c r="V327" s="1" t="s">
        <v>6874</v>
      </c>
      <c r="W327" s="1" t="s">
        <v>6875</v>
      </c>
      <c r="X327" s="1" t="s">
        <v>6876</v>
      </c>
      <c r="Y327" s="1" t="s">
        <v>6877</v>
      </c>
      <c r="Z327" s="1">
        <v>78.0</v>
      </c>
      <c r="AA327" s="1">
        <v>2.0</v>
      </c>
      <c r="AB327" s="1">
        <v>2.0</v>
      </c>
      <c r="AC327" s="1">
        <v>0.0</v>
      </c>
      <c r="AD327" s="1">
        <v>8.0</v>
      </c>
      <c r="AE327" s="1" t="s">
        <v>503</v>
      </c>
      <c r="AF327" s="1" t="s">
        <v>504</v>
      </c>
      <c r="AG327" s="1" t="s">
        <v>505</v>
      </c>
      <c r="AH327" s="1" t="s">
        <v>6878</v>
      </c>
      <c r="AI327" s="1" t="s">
        <v>6879</v>
      </c>
      <c r="AJ327" s="1" t="s">
        <v>68</v>
      </c>
      <c r="AK327" s="1" t="s">
        <v>6865</v>
      </c>
      <c r="AL327" s="1" t="s">
        <v>6880</v>
      </c>
      <c r="AM327" s="1" t="s">
        <v>6881</v>
      </c>
      <c r="AN327" s="1">
        <v>2025.0</v>
      </c>
      <c r="AO327" s="1">
        <v>53.0</v>
      </c>
      <c r="AP327" s="1">
        <v>1.0</v>
      </c>
      <c r="AQ327" s="1" t="s">
        <v>68</v>
      </c>
      <c r="AR327" s="1" t="s">
        <v>68</v>
      </c>
      <c r="AS327" s="1" t="s">
        <v>68</v>
      </c>
      <c r="AT327" s="1" t="s">
        <v>68</v>
      </c>
      <c r="AU327" s="1" t="s">
        <v>68</v>
      </c>
      <c r="AV327" s="1" t="s">
        <v>68</v>
      </c>
      <c r="AW327" s="1" t="s">
        <v>6882</v>
      </c>
      <c r="AX327" s="1" t="s">
        <v>6883</v>
      </c>
      <c r="AY327" s="3" t="str">
        <f>HYPERLINK("http://dx.doi.org/10.1002/clen.70001","http://dx.doi.org/10.1002/clen.70001")</f>
        <v>http://dx.doi.org/10.1002/clen.70001</v>
      </c>
      <c r="AZ327" s="1" t="s">
        <v>68</v>
      </c>
      <c r="BA327" s="1" t="s">
        <v>68</v>
      </c>
      <c r="BB327" s="1">
        <v>12.0</v>
      </c>
      <c r="BC327" s="1" t="s">
        <v>6884</v>
      </c>
      <c r="BD327" s="1" t="s">
        <v>92</v>
      </c>
      <c r="BE327" s="1" t="s">
        <v>6885</v>
      </c>
      <c r="BF327" s="1" t="s">
        <v>6886</v>
      </c>
      <c r="BG327" s="1" t="s">
        <v>68</v>
      </c>
      <c r="BH327" s="1" t="s">
        <v>4770</v>
      </c>
      <c r="BI327" s="1" t="s">
        <v>68</v>
      </c>
      <c r="BJ327" s="1" t="s">
        <v>68</v>
      </c>
      <c r="BK327" s="1" t="s">
        <v>95</v>
      </c>
      <c r="BL327" s="1" t="s">
        <v>6887</v>
      </c>
      <c r="BM327" s="1" t="str">
        <f>HYPERLINK("https%3A%2F%2Fwww.webofscience.com%2Fwos%2Fwoscc%2Ffull-record%2FWOS:001403365600001","View Full Record in Web of Science")</f>
        <v>View Full Record in Web of Science</v>
      </c>
    </row>
    <row r="328" ht="12.75" customHeight="1">
      <c r="A328" s="1" t="s">
        <v>65</v>
      </c>
      <c r="B328" s="1" t="s">
        <v>6888</v>
      </c>
      <c r="C328" s="1" t="s">
        <v>6889</v>
      </c>
      <c r="D328" s="1" t="s">
        <v>68</v>
      </c>
      <c r="E328" s="1" t="s">
        <v>6890</v>
      </c>
      <c r="F328" s="1" t="s">
        <v>3748</v>
      </c>
      <c r="G328" s="1" t="s">
        <v>68</v>
      </c>
      <c r="H328" s="1" t="s">
        <v>71</v>
      </c>
      <c r="I328" s="1" t="s">
        <v>72</v>
      </c>
      <c r="J328" s="1" t="s">
        <v>68</v>
      </c>
      <c r="K328" s="1" t="s">
        <v>68</v>
      </c>
      <c r="L328" s="1" t="s">
        <v>68</v>
      </c>
      <c r="M328" s="1" t="s">
        <v>68</v>
      </c>
      <c r="N328" s="1" t="s">
        <v>6891</v>
      </c>
      <c r="O328" s="1" t="s">
        <v>6892</v>
      </c>
      <c r="P328" s="1" t="s">
        <v>6893</v>
      </c>
      <c r="Q328" s="1" t="s">
        <v>6894</v>
      </c>
      <c r="R328" s="1" t="s">
        <v>6895</v>
      </c>
      <c r="S328" s="1" t="s">
        <v>6896</v>
      </c>
      <c r="T328" s="1" t="s">
        <v>6897</v>
      </c>
      <c r="U328" s="1" t="s">
        <v>6898</v>
      </c>
      <c r="V328" s="1" t="s">
        <v>6899</v>
      </c>
      <c r="W328" s="1" t="s">
        <v>68</v>
      </c>
      <c r="X328" s="1" t="s">
        <v>68</v>
      </c>
      <c r="Y328" s="1" t="s">
        <v>68</v>
      </c>
      <c r="Z328" s="1">
        <v>50.0</v>
      </c>
      <c r="AA328" s="1">
        <v>1.0</v>
      </c>
      <c r="AB328" s="1">
        <v>3.0</v>
      </c>
      <c r="AC328" s="1">
        <v>0.0</v>
      </c>
      <c r="AD328" s="1">
        <v>8.0</v>
      </c>
      <c r="AE328" s="1" t="s">
        <v>1596</v>
      </c>
      <c r="AF328" s="1" t="s">
        <v>1182</v>
      </c>
      <c r="AG328" s="1" t="s">
        <v>1597</v>
      </c>
      <c r="AH328" s="1" t="s">
        <v>3761</v>
      </c>
      <c r="AI328" s="1" t="s">
        <v>3762</v>
      </c>
      <c r="AJ328" s="1" t="s">
        <v>68</v>
      </c>
      <c r="AK328" s="1" t="s">
        <v>3763</v>
      </c>
      <c r="AL328" s="1" t="s">
        <v>3764</v>
      </c>
      <c r="AM328" s="1" t="s">
        <v>3782</v>
      </c>
      <c r="AN328" s="1">
        <v>2023.0</v>
      </c>
      <c r="AO328" s="1">
        <v>150.0</v>
      </c>
      <c r="AP328" s="1" t="s">
        <v>68</v>
      </c>
      <c r="AQ328" s="1" t="s">
        <v>68</v>
      </c>
      <c r="AR328" s="1" t="s">
        <v>68</v>
      </c>
      <c r="AS328" s="1" t="s">
        <v>68</v>
      </c>
      <c r="AT328" s="1" t="s">
        <v>68</v>
      </c>
      <c r="AU328" s="1" t="s">
        <v>68</v>
      </c>
      <c r="AV328" s="1" t="s">
        <v>68</v>
      </c>
      <c r="AW328" s="1">
        <v>110269.0</v>
      </c>
      <c r="AX328" s="1" t="s">
        <v>6900</v>
      </c>
      <c r="AY328" s="3" t="str">
        <f>HYPERLINK("http://dx.doi.org/10.1016/j.ecolind.2023.110269","http://dx.doi.org/10.1016/j.ecolind.2023.110269")</f>
        <v>http://dx.doi.org/10.1016/j.ecolind.2023.110269</v>
      </c>
      <c r="AZ328" s="1" t="s">
        <v>68</v>
      </c>
      <c r="BA328" s="1" t="s">
        <v>6901</v>
      </c>
      <c r="BB328" s="1">
        <v>11.0</v>
      </c>
      <c r="BC328" s="1" t="s">
        <v>3766</v>
      </c>
      <c r="BD328" s="1" t="s">
        <v>92</v>
      </c>
      <c r="BE328" s="1" t="s">
        <v>123</v>
      </c>
      <c r="BF328" s="1" t="s">
        <v>6902</v>
      </c>
      <c r="BG328" s="1" t="s">
        <v>68</v>
      </c>
      <c r="BH328" s="1" t="s">
        <v>94</v>
      </c>
      <c r="BI328" s="1" t="s">
        <v>68</v>
      </c>
      <c r="BJ328" s="1" t="s">
        <v>68</v>
      </c>
      <c r="BK328" s="1" t="s">
        <v>95</v>
      </c>
      <c r="BL328" s="1" t="s">
        <v>6903</v>
      </c>
      <c r="BM328" s="1" t="str">
        <f>HYPERLINK("https%3A%2F%2Fwww.webofscience.com%2Fwos%2Fwoscc%2Ffull-record%2FWOS:000984089200001","View Full Record in Web of Science")</f>
        <v>View Full Record in Web of Science</v>
      </c>
    </row>
    <row r="329" ht="12.75" customHeight="1">
      <c r="A329" s="1" t="s">
        <v>65</v>
      </c>
      <c r="B329" s="1" t="s">
        <v>6904</v>
      </c>
      <c r="C329" s="1" t="s">
        <v>6905</v>
      </c>
      <c r="D329" s="1" t="s">
        <v>68</v>
      </c>
      <c r="E329" s="1" t="s">
        <v>6906</v>
      </c>
      <c r="F329" s="1" t="s">
        <v>6907</v>
      </c>
      <c r="G329" s="1" t="s">
        <v>68</v>
      </c>
      <c r="H329" s="1" t="s">
        <v>71</v>
      </c>
      <c r="I329" s="1" t="s">
        <v>72</v>
      </c>
      <c r="J329" s="1" t="s">
        <v>68</v>
      </c>
      <c r="K329" s="1" t="s">
        <v>68</v>
      </c>
      <c r="L329" s="1" t="s">
        <v>68</v>
      </c>
      <c r="M329" s="1" t="s">
        <v>68</v>
      </c>
      <c r="N329" s="1" t="s">
        <v>6908</v>
      </c>
      <c r="O329" s="1" t="s">
        <v>6909</v>
      </c>
      <c r="P329" s="1" t="s">
        <v>6910</v>
      </c>
      <c r="Q329" s="1" t="s">
        <v>6911</v>
      </c>
      <c r="R329" s="1" t="s">
        <v>6912</v>
      </c>
      <c r="S329" s="1" t="s">
        <v>6913</v>
      </c>
      <c r="T329" s="1" t="s">
        <v>6914</v>
      </c>
      <c r="U329" s="1" t="s">
        <v>6915</v>
      </c>
      <c r="V329" s="1" t="s">
        <v>6916</v>
      </c>
      <c r="W329" s="1" t="s">
        <v>6917</v>
      </c>
      <c r="X329" s="1" t="s">
        <v>6917</v>
      </c>
      <c r="Y329" s="1" t="s">
        <v>6918</v>
      </c>
      <c r="Z329" s="1">
        <v>45.0</v>
      </c>
      <c r="AA329" s="1">
        <v>1.0</v>
      </c>
      <c r="AB329" s="1">
        <v>2.0</v>
      </c>
      <c r="AC329" s="1">
        <v>1.0</v>
      </c>
      <c r="AD329" s="1">
        <v>9.0</v>
      </c>
      <c r="AE329" s="1" t="s">
        <v>450</v>
      </c>
      <c r="AF329" s="1" t="s">
        <v>451</v>
      </c>
      <c r="AG329" s="1" t="s">
        <v>452</v>
      </c>
      <c r="AH329" s="1" t="s">
        <v>6919</v>
      </c>
      <c r="AI329" s="1" t="s">
        <v>6920</v>
      </c>
      <c r="AJ329" s="1" t="s">
        <v>68</v>
      </c>
      <c r="AK329" s="1" t="s">
        <v>6921</v>
      </c>
      <c r="AL329" s="1" t="s">
        <v>6922</v>
      </c>
      <c r="AM329" s="1" t="s">
        <v>252</v>
      </c>
      <c r="AN329" s="1">
        <v>2024.0</v>
      </c>
      <c r="AO329" s="1">
        <v>97.0</v>
      </c>
      <c r="AP329" s="1" t="s">
        <v>68</v>
      </c>
      <c r="AQ329" s="1" t="s">
        <v>68</v>
      </c>
      <c r="AR329" s="1" t="s">
        <v>68</v>
      </c>
      <c r="AS329" s="1" t="s">
        <v>68</v>
      </c>
      <c r="AT329" s="1" t="s">
        <v>68</v>
      </c>
      <c r="AU329" s="1" t="s">
        <v>68</v>
      </c>
      <c r="AV329" s="1" t="s">
        <v>68</v>
      </c>
      <c r="AW329" s="1">
        <v>128368.0</v>
      </c>
      <c r="AX329" s="1" t="s">
        <v>6923</v>
      </c>
      <c r="AY329" s="3" t="str">
        <f>HYPERLINK("http://dx.doi.org/10.1016/j.ufug.2024.128368","http://dx.doi.org/10.1016/j.ufug.2024.128368")</f>
        <v>http://dx.doi.org/10.1016/j.ufug.2024.128368</v>
      </c>
      <c r="AZ329" s="1" t="s">
        <v>68</v>
      </c>
      <c r="BA329" s="1" t="s">
        <v>4287</v>
      </c>
      <c r="BB329" s="1">
        <v>8.0</v>
      </c>
      <c r="BC329" s="1" t="s">
        <v>6924</v>
      </c>
      <c r="BD329" s="1" t="s">
        <v>279</v>
      </c>
      <c r="BE329" s="1" t="s">
        <v>6925</v>
      </c>
      <c r="BF329" s="1" t="s">
        <v>6926</v>
      </c>
      <c r="BG329" s="1" t="s">
        <v>68</v>
      </c>
      <c r="BH329" s="1" t="s">
        <v>68</v>
      </c>
      <c r="BI329" s="1" t="s">
        <v>68</v>
      </c>
      <c r="BJ329" s="1" t="s">
        <v>68</v>
      </c>
      <c r="BK329" s="1" t="s">
        <v>95</v>
      </c>
      <c r="BL329" s="1" t="s">
        <v>6927</v>
      </c>
      <c r="BM329" s="1" t="str">
        <f>HYPERLINK("https%3A%2F%2Fwww.webofscience.com%2Fwos%2Fwoscc%2Ffull-record%2FWOS:001247860400001","View Full Record in Web of Science")</f>
        <v>View Full Record in Web of Science</v>
      </c>
    </row>
    <row r="330" ht="12.75" customHeight="1">
      <c r="A330" s="1" t="s">
        <v>65</v>
      </c>
      <c r="B330" s="1" t="s">
        <v>6928</v>
      </c>
      <c r="C330" s="1" t="s">
        <v>6929</v>
      </c>
      <c r="D330" s="1" t="s">
        <v>68</v>
      </c>
      <c r="E330" s="1" t="s">
        <v>6930</v>
      </c>
      <c r="F330" s="1" t="s">
        <v>6931</v>
      </c>
      <c r="G330" s="1" t="s">
        <v>68</v>
      </c>
      <c r="H330" s="1" t="s">
        <v>71</v>
      </c>
      <c r="I330" s="1" t="s">
        <v>72</v>
      </c>
      <c r="J330" s="1" t="s">
        <v>68</v>
      </c>
      <c r="K330" s="1" t="s">
        <v>68</v>
      </c>
      <c r="L330" s="1" t="s">
        <v>68</v>
      </c>
      <c r="M330" s="1" t="s">
        <v>68</v>
      </c>
      <c r="N330" s="1" t="s">
        <v>68</v>
      </c>
      <c r="O330" s="1" t="s">
        <v>68</v>
      </c>
      <c r="P330" s="1" t="s">
        <v>6932</v>
      </c>
      <c r="Q330" s="1" t="s">
        <v>6933</v>
      </c>
      <c r="R330" s="1" t="s">
        <v>6934</v>
      </c>
      <c r="S330" s="1" t="s">
        <v>6935</v>
      </c>
      <c r="T330" s="1" t="s">
        <v>6936</v>
      </c>
      <c r="U330" s="1" t="s">
        <v>68</v>
      </c>
      <c r="V330" s="1" t="s">
        <v>68</v>
      </c>
      <c r="W330" s="1" t="s">
        <v>6937</v>
      </c>
      <c r="X330" s="1" t="s">
        <v>6938</v>
      </c>
      <c r="Y330" s="1" t="s">
        <v>6939</v>
      </c>
      <c r="Z330" s="1">
        <v>13.0</v>
      </c>
      <c r="AA330" s="1">
        <v>2.0</v>
      </c>
      <c r="AB330" s="1">
        <v>4.0</v>
      </c>
      <c r="AC330" s="1">
        <v>0.0</v>
      </c>
      <c r="AD330" s="1">
        <v>2.0</v>
      </c>
      <c r="AE330" s="1" t="s">
        <v>1395</v>
      </c>
      <c r="AF330" s="1" t="s">
        <v>785</v>
      </c>
      <c r="AG330" s="1" t="s">
        <v>1396</v>
      </c>
      <c r="AH330" s="1" t="s">
        <v>6940</v>
      </c>
      <c r="AI330" s="1" t="s">
        <v>6941</v>
      </c>
      <c r="AJ330" s="1" t="s">
        <v>68</v>
      </c>
      <c r="AK330" s="1" t="s">
        <v>6942</v>
      </c>
      <c r="AL330" s="1" t="s">
        <v>6943</v>
      </c>
      <c r="AM330" s="1" t="s">
        <v>1169</v>
      </c>
      <c r="AN330" s="1">
        <v>2016.0</v>
      </c>
      <c r="AO330" s="1">
        <v>17.0</v>
      </c>
      <c r="AP330" s="1">
        <v>1.0</v>
      </c>
      <c r="AQ330" s="1" t="s">
        <v>68</v>
      </c>
      <c r="AR330" s="1" t="s">
        <v>68</v>
      </c>
      <c r="AS330" s="1" t="s">
        <v>68</v>
      </c>
      <c r="AT330" s="1" t="s">
        <v>68</v>
      </c>
      <c r="AU330" s="1">
        <v>51.0</v>
      </c>
      <c r="AV330" s="1">
        <v>55.0</v>
      </c>
      <c r="AW330" s="1" t="s">
        <v>68</v>
      </c>
      <c r="AX330" s="1" t="s">
        <v>6944</v>
      </c>
      <c r="AY330" s="3" t="str">
        <f>HYPERLINK("http://dx.doi.org/10.1128/jmbe.v17i1.999","http://dx.doi.org/10.1128/jmbe.v17i1.999")</f>
        <v>http://dx.doi.org/10.1128/jmbe.v17i1.999</v>
      </c>
      <c r="AZ330" s="1" t="s">
        <v>68</v>
      </c>
      <c r="BA330" s="1" t="s">
        <v>68</v>
      </c>
      <c r="BB330" s="1">
        <v>5.0</v>
      </c>
      <c r="BC330" s="1" t="s">
        <v>6945</v>
      </c>
      <c r="BD330" s="1" t="s">
        <v>197</v>
      </c>
      <c r="BE330" s="1" t="s">
        <v>1942</v>
      </c>
      <c r="BF330" s="1" t="s">
        <v>6946</v>
      </c>
      <c r="BG330" s="1">
        <v>2.704759E7</v>
      </c>
      <c r="BH330" s="1" t="s">
        <v>94</v>
      </c>
      <c r="BI330" s="1" t="s">
        <v>68</v>
      </c>
      <c r="BJ330" s="1" t="s">
        <v>68</v>
      </c>
      <c r="BK330" s="1" t="s">
        <v>95</v>
      </c>
      <c r="BL330" s="1" t="s">
        <v>6947</v>
      </c>
      <c r="BM330" s="1" t="str">
        <f>HYPERLINK("https%3A%2F%2Fwww.webofscience.com%2Fwos%2Fwoscc%2Ffull-record%2FWOS:000449712200013","View Full Record in Web of Science")</f>
        <v>View Full Record in Web of Science</v>
      </c>
    </row>
    <row r="331" ht="12.75" customHeight="1">
      <c r="A331" s="1" t="s">
        <v>65</v>
      </c>
      <c r="B331" s="1" t="s">
        <v>6948</v>
      </c>
      <c r="C331" s="1" t="s">
        <v>6949</v>
      </c>
      <c r="D331" s="1" t="s">
        <v>68</v>
      </c>
      <c r="E331" s="1" t="s">
        <v>6950</v>
      </c>
      <c r="F331" s="1" t="s">
        <v>1194</v>
      </c>
      <c r="G331" s="1" t="s">
        <v>68</v>
      </c>
      <c r="H331" s="1" t="s">
        <v>71</v>
      </c>
      <c r="I331" s="1" t="s">
        <v>597</v>
      </c>
      <c r="J331" s="1" t="s">
        <v>68</v>
      </c>
      <c r="K331" s="1" t="s">
        <v>68</v>
      </c>
      <c r="L331" s="1" t="s">
        <v>68</v>
      </c>
      <c r="M331" s="1" t="s">
        <v>68</v>
      </c>
      <c r="N331" s="1" t="s">
        <v>6951</v>
      </c>
      <c r="O331" s="1" t="s">
        <v>6952</v>
      </c>
      <c r="P331" s="1" t="s">
        <v>6953</v>
      </c>
      <c r="Q331" s="1" t="s">
        <v>6954</v>
      </c>
      <c r="R331" s="1" t="s">
        <v>6955</v>
      </c>
      <c r="S331" s="1" t="s">
        <v>6956</v>
      </c>
      <c r="T331" s="1" t="s">
        <v>6957</v>
      </c>
      <c r="U331" s="1" t="s">
        <v>6958</v>
      </c>
      <c r="V331" s="1" t="s">
        <v>68</v>
      </c>
      <c r="W331" s="1" t="s">
        <v>6959</v>
      </c>
      <c r="X331" s="1" t="s">
        <v>6960</v>
      </c>
      <c r="Y331" s="1" t="s">
        <v>6961</v>
      </c>
      <c r="Z331" s="1">
        <v>74.0</v>
      </c>
      <c r="AA331" s="1">
        <v>1.0</v>
      </c>
      <c r="AB331" s="1">
        <v>1.0</v>
      </c>
      <c r="AC331" s="1">
        <v>5.0</v>
      </c>
      <c r="AD331" s="1">
        <v>5.0</v>
      </c>
      <c r="AE331" s="1" t="s">
        <v>503</v>
      </c>
      <c r="AF331" s="1" t="s">
        <v>504</v>
      </c>
      <c r="AG331" s="1" t="s">
        <v>505</v>
      </c>
      <c r="AH331" s="1" t="s">
        <v>1203</v>
      </c>
      <c r="AI331" s="1" t="s">
        <v>68</v>
      </c>
      <c r="AJ331" s="1" t="s">
        <v>68</v>
      </c>
      <c r="AK331" s="1" t="s">
        <v>1204</v>
      </c>
      <c r="AL331" s="1" t="s">
        <v>1205</v>
      </c>
      <c r="AM331" s="1" t="s">
        <v>4946</v>
      </c>
      <c r="AN331" s="1">
        <v>2025.0</v>
      </c>
      <c r="AO331" s="1">
        <v>15.0</v>
      </c>
      <c r="AP331" s="1">
        <v>10.0</v>
      </c>
      <c r="AQ331" s="1" t="s">
        <v>68</v>
      </c>
      <c r="AR331" s="1" t="s">
        <v>68</v>
      </c>
      <c r="AS331" s="1" t="s">
        <v>68</v>
      </c>
      <c r="AT331" s="1" t="s">
        <v>68</v>
      </c>
      <c r="AU331" s="1" t="s">
        <v>68</v>
      </c>
      <c r="AV331" s="1" t="s">
        <v>68</v>
      </c>
      <c r="AW331" s="1" t="s">
        <v>6962</v>
      </c>
      <c r="AX331" s="1" t="s">
        <v>6963</v>
      </c>
      <c r="AY331" s="3" t="str">
        <f>HYPERLINK("http://dx.doi.org/10.1002/ece3.72176","http://dx.doi.org/10.1002/ece3.72176")</f>
        <v>http://dx.doi.org/10.1002/ece3.72176</v>
      </c>
      <c r="AZ331" s="1" t="s">
        <v>68</v>
      </c>
      <c r="BA331" s="1" t="s">
        <v>68</v>
      </c>
      <c r="BB331" s="1">
        <v>9.0</v>
      </c>
      <c r="BC331" s="1" t="s">
        <v>1209</v>
      </c>
      <c r="BD331" s="1" t="s">
        <v>92</v>
      </c>
      <c r="BE331" s="1" t="s">
        <v>1210</v>
      </c>
      <c r="BF331" s="1" t="s">
        <v>6964</v>
      </c>
      <c r="BG331" s="1">
        <v>4.1019404E7</v>
      </c>
      <c r="BH331" s="1" t="s">
        <v>94</v>
      </c>
      <c r="BI331" s="1" t="s">
        <v>68</v>
      </c>
      <c r="BJ331" s="1" t="s">
        <v>68</v>
      </c>
      <c r="BK331" s="1" t="s">
        <v>95</v>
      </c>
      <c r="BL331" s="1" t="s">
        <v>6965</v>
      </c>
      <c r="BM331" s="1" t="str">
        <f>HYPERLINK("https%3A%2F%2Fwww.webofscience.com%2Fwos%2Fwoscc%2Ffull-record%2FWOS:001582169100001","View Full Record in Web of Science")</f>
        <v>View Full Record in Web of Science</v>
      </c>
    </row>
    <row r="332" ht="12.75" customHeight="1">
      <c r="A332" s="1" t="s">
        <v>65</v>
      </c>
      <c r="B332" s="1" t="s">
        <v>6966</v>
      </c>
      <c r="C332" s="1" t="s">
        <v>6967</v>
      </c>
      <c r="D332" s="1" t="s">
        <v>68</v>
      </c>
      <c r="E332" s="1" t="s">
        <v>6968</v>
      </c>
      <c r="F332" s="1" t="s">
        <v>1895</v>
      </c>
      <c r="G332" s="1" t="s">
        <v>68</v>
      </c>
      <c r="H332" s="1" t="s">
        <v>71</v>
      </c>
      <c r="I332" s="1" t="s">
        <v>72</v>
      </c>
      <c r="J332" s="1" t="s">
        <v>68</v>
      </c>
      <c r="K332" s="1" t="s">
        <v>68</v>
      </c>
      <c r="L332" s="1" t="s">
        <v>68</v>
      </c>
      <c r="M332" s="1" t="s">
        <v>68</v>
      </c>
      <c r="N332" s="1" t="s">
        <v>68</v>
      </c>
      <c r="O332" s="1" t="s">
        <v>6969</v>
      </c>
      <c r="P332" s="1" t="s">
        <v>6970</v>
      </c>
      <c r="Q332" s="1" t="s">
        <v>6971</v>
      </c>
      <c r="R332" s="1" t="s">
        <v>6972</v>
      </c>
      <c r="S332" s="1" t="s">
        <v>6973</v>
      </c>
      <c r="T332" s="1" t="s">
        <v>6974</v>
      </c>
      <c r="U332" s="1" t="s">
        <v>6975</v>
      </c>
      <c r="V332" s="1" t="s">
        <v>6976</v>
      </c>
      <c r="W332" s="1" t="s">
        <v>6977</v>
      </c>
      <c r="X332" s="1" t="s">
        <v>6977</v>
      </c>
      <c r="Y332" s="1" t="s">
        <v>6978</v>
      </c>
      <c r="Z332" s="1">
        <v>63.0</v>
      </c>
      <c r="AA332" s="1">
        <v>1.0</v>
      </c>
      <c r="AB332" s="1">
        <v>1.0</v>
      </c>
      <c r="AC332" s="1">
        <v>0.0</v>
      </c>
      <c r="AD332" s="1">
        <v>8.0</v>
      </c>
      <c r="AE332" s="1" t="s">
        <v>1906</v>
      </c>
      <c r="AF332" s="1" t="s">
        <v>1907</v>
      </c>
      <c r="AG332" s="1" t="s">
        <v>1908</v>
      </c>
      <c r="AH332" s="1" t="s">
        <v>1909</v>
      </c>
      <c r="AI332" s="1" t="s">
        <v>68</v>
      </c>
      <c r="AJ332" s="1" t="s">
        <v>68</v>
      </c>
      <c r="AK332" s="1" t="s">
        <v>1895</v>
      </c>
      <c r="AL332" s="1" t="s">
        <v>1910</v>
      </c>
      <c r="AM332" s="1" t="s">
        <v>6979</v>
      </c>
      <c r="AN332" s="1">
        <v>2023.0</v>
      </c>
      <c r="AO332" s="1">
        <v>18.0</v>
      </c>
      <c r="AP332" s="1">
        <v>3.0</v>
      </c>
      <c r="AQ332" s="1" t="s">
        <v>68</v>
      </c>
      <c r="AR332" s="1" t="s">
        <v>68</v>
      </c>
      <c r="AS332" s="1" t="s">
        <v>68</v>
      </c>
      <c r="AT332" s="1" t="s">
        <v>68</v>
      </c>
      <c r="AU332" s="1" t="s">
        <v>68</v>
      </c>
      <c r="AV332" s="1" t="s">
        <v>68</v>
      </c>
      <c r="AW332" s="1" t="s">
        <v>6980</v>
      </c>
      <c r="AX332" s="1" t="s">
        <v>6981</v>
      </c>
      <c r="AY332" s="3" t="str">
        <f>HYPERLINK("http://dx.doi.org/10.1371/journal.pone.0282239","http://dx.doi.org/10.1371/journal.pone.0282239")</f>
        <v>http://dx.doi.org/10.1371/journal.pone.0282239</v>
      </c>
      <c r="AZ332" s="1" t="s">
        <v>68</v>
      </c>
      <c r="BA332" s="1" t="s">
        <v>68</v>
      </c>
      <c r="BB332" s="1">
        <v>15.0</v>
      </c>
      <c r="BC332" s="1" t="s">
        <v>742</v>
      </c>
      <c r="BD332" s="1" t="s">
        <v>92</v>
      </c>
      <c r="BE332" s="1" t="s">
        <v>743</v>
      </c>
      <c r="BF332" s="1" t="s">
        <v>6982</v>
      </c>
      <c r="BG332" s="1">
        <v>3.6920894E7</v>
      </c>
      <c r="BH332" s="1" t="s">
        <v>94</v>
      </c>
      <c r="BI332" s="1" t="s">
        <v>68</v>
      </c>
      <c r="BJ332" s="1" t="s">
        <v>68</v>
      </c>
      <c r="BK332" s="1" t="s">
        <v>95</v>
      </c>
      <c r="BL332" s="1" t="s">
        <v>6983</v>
      </c>
      <c r="BM332" s="1" t="str">
        <f>HYPERLINK("https%3A%2F%2Fwww.webofscience.com%2Fwos%2Fwoscc%2Ffull-record%2FWOS:000954452200034","View Full Record in Web of Science")</f>
        <v>View Full Record in Web of Science</v>
      </c>
    </row>
    <row r="333" ht="12.75" customHeight="1">
      <c r="A333" s="1" t="s">
        <v>65</v>
      </c>
      <c r="B333" s="1" t="s">
        <v>6984</v>
      </c>
      <c r="C333" s="1" t="s">
        <v>6985</v>
      </c>
      <c r="D333" s="1" t="s">
        <v>68</v>
      </c>
      <c r="E333" s="1" t="s">
        <v>6986</v>
      </c>
      <c r="F333" s="1" t="s">
        <v>6987</v>
      </c>
      <c r="G333" s="1" t="s">
        <v>68</v>
      </c>
      <c r="H333" s="1" t="s">
        <v>71</v>
      </c>
      <c r="I333" s="1" t="s">
        <v>72</v>
      </c>
      <c r="J333" s="1" t="s">
        <v>68</v>
      </c>
      <c r="K333" s="1" t="s">
        <v>68</v>
      </c>
      <c r="L333" s="1" t="s">
        <v>68</v>
      </c>
      <c r="M333" s="1" t="s">
        <v>68</v>
      </c>
      <c r="N333" s="1" t="s">
        <v>6988</v>
      </c>
      <c r="O333" s="1" t="s">
        <v>6989</v>
      </c>
      <c r="P333" s="1" t="s">
        <v>6990</v>
      </c>
      <c r="Q333" s="1" t="s">
        <v>6991</v>
      </c>
      <c r="R333" s="1" t="s">
        <v>6992</v>
      </c>
      <c r="S333" s="1" t="s">
        <v>6993</v>
      </c>
      <c r="T333" s="1" t="s">
        <v>6994</v>
      </c>
      <c r="U333" s="1" t="s">
        <v>6995</v>
      </c>
      <c r="V333" s="1" t="s">
        <v>6996</v>
      </c>
      <c r="W333" s="1" t="s">
        <v>68</v>
      </c>
      <c r="X333" s="1" t="s">
        <v>68</v>
      </c>
      <c r="Y333" s="1" t="s">
        <v>68</v>
      </c>
      <c r="Z333" s="1">
        <v>61.0</v>
      </c>
      <c r="AA333" s="1">
        <v>11.0</v>
      </c>
      <c r="AB333" s="1">
        <v>12.0</v>
      </c>
      <c r="AC333" s="1">
        <v>0.0</v>
      </c>
      <c r="AD333" s="1">
        <v>25.0</v>
      </c>
      <c r="AE333" s="1" t="s">
        <v>1092</v>
      </c>
      <c r="AF333" s="1" t="s">
        <v>115</v>
      </c>
      <c r="AG333" s="1" t="s">
        <v>6997</v>
      </c>
      <c r="AH333" s="1" t="s">
        <v>6998</v>
      </c>
      <c r="AI333" s="1" t="s">
        <v>6999</v>
      </c>
      <c r="AJ333" s="1" t="s">
        <v>68</v>
      </c>
      <c r="AK333" s="1" t="s">
        <v>6987</v>
      </c>
      <c r="AL333" s="1" t="s">
        <v>7000</v>
      </c>
      <c r="AM333" s="1" t="s">
        <v>428</v>
      </c>
      <c r="AN333" s="1">
        <v>2016.0</v>
      </c>
      <c r="AO333" s="1">
        <v>50.0</v>
      </c>
      <c r="AP333" s="1">
        <v>4.0</v>
      </c>
      <c r="AQ333" s="1" t="s">
        <v>68</v>
      </c>
      <c r="AR333" s="1" t="s">
        <v>68</v>
      </c>
      <c r="AS333" s="1" t="s">
        <v>68</v>
      </c>
      <c r="AT333" s="1" t="s">
        <v>68</v>
      </c>
      <c r="AU333" s="1">
        <v>626.0</v>
      </c>
      <c r="AV333" s="1">
        <v>635.0</v>
      </c>
      <c r="AW333" s="1" t="s">
        <v>68</v>
      </c>
      <c r="AX333" s="1" t="s">
        <v>7001</v>
      </c>
      <c r="AY333" s="3" t="str">
        <f>HYPERLINK("http://dx.doi.org/10.1017/S0030605315000320","http://dx.doi.org/10.1017/S0030605315000320")</f>
        <v>http://dx.doi.org/10.1017/S0030605315000320</v>
      </c>
      <c r="AZ333" s="1" t="s">
        <v>68</v>
      </c>
      <c r="BA333" s="1" t="s">
        <v>68</v>
      </c>
      <c r="BB333" s="1">
        <v>10.0</v>
      </c>
      <c r="BC333" s="1" t="s">
        <v>1011</v>
      </c>
      <c r="BD333" s="1" t="s">
        <v>92</v>
      </c>
      <c r="BE333" s="1" t="s">
        <v>123</v>
      </c>
      <c r="BF333" s="1" t="s">
        <v>7002</v>
      </c>
      <c r="BG333" s="1" t="s">
        <v>68</v>
      </c>
      <c r="BH333" s="1" t="s">
        <v>5315</v>
      </c>
      <c r="BI333" s="1" t="s">
        <v>68</v>
      </c>
      <c r="BJ333" s="1" t="s">
        <v>68</v>
      </c>
      <c r="BK333" s="1" t="s">
        <v>95</v>
      </c>
      <c r="BL333" s="1" t="s">
        <v>7003</v>
      </c>
      <c r="BM333" s="1" t="str">
        <f>HYPERLINK("https%3A%2F%2Fwww.webofscience.com%2Fwos%2Fwoscc%2Ffull-record%2FWOS:000383607200013","View Full Record in Web of Science")</f>
        <v>View Full Record in Web of Science</v>
      </c>
    </row>
    <row r="334" ht="12.75" customHeight="1">
      <c r="A334" s="1" t="s">
        <v>65</v>
      </c>
      <c r="B334" s="1" t="s">
        <v>7004</v>
      </c>
      <c r="C334" s="1" t="s">
        <v>7005</v>
      </c>
      <c r="D334" s="1" t="s">
        <v>68</v>
      </c>
      <c r="E334" s="1" t="s">
        <v>7006</v>
      </c>
      <c r="F334" s="1" t="s">
        <v>7007</v>
      </c>
      <c r="G334" s="1" t="s">
        <v>68</v>
      </c>
      <c r="H334" s="1" t="s">
        <v>71</v>
      </c>
      <c r="I334" s="1" t="s">
        <v>101</v>
      </c>
      <c r="J334" s="1" t="s">
        <v>68</v>
      </c>
      <c r="K334" s="1" t="s">
        <v>68</v>
      </c>
      <c r="L334" s="1" t="s">
        <v>68</v>
      </c>
      <c r="M334" s="1" t="s">
        <v>68</v>
      </c>
      <c r="N334" s="1" t="s">
        <v>7008</v>
      </c>
      <c r="O334" s="1" t="s">
        <v>7009</v>
      </c>
      <c r="P334" s="1" t="s">
        <v>7010</v>
      </c>
      <c r="Q334" s="1" t="s">
        <v>7011</v>
      </c>
      <c r="R334" s="1" t="s">
        <v>7012</v>
      </c>
      <c r="S334" s="1" t="s">
        <v>7013</v>
      </c>
      <c r="T334" s="1" t="s">
        <v>7014</v>
      </c>
      <c r="U334" s="1" t="s">
        <v>68</v>
      </c>
      <c r="V334" s="1" t="s">
        <v>7015</v>
      </c>
      <c r="W334" s="1" t="s">
        <v>7016</v>
      </c>
      <c r="X334" s="1" t="s">
        <v>7017</v>
      </c>
      <c r="Y334" s="1" t="s">
        <v>7018</v>
      </c>
      <c r="Z334" s="1">
        <v>47.0</v>
      </c>
      <c r="AA334" s="1">
        <v>4.0</v>
      </c>
      <c r="AB334" s="1">
        <v>5.0</v>
      </c>
      <c r="AC334" s="1">
        <v>1.0</v>
      </c>
      <c r="AD334" s="1">
        <v>45.0</v>
      </c>
      <c r="AE334" s="1" t="s">
        <v>7019</v>
      </c>
      <c r="AF334" s="1" t="s">
        <v>663</v>
      </c>
      <c r="AG334" s="1" t="s">
        <v>7020</v>
      </c>
      <c r="AH334" s="1" t="s">
        <v>7021</v>
      </c>
      <c r="AI334" s="1" t="s">
        <v>7022</v>
      </c>
      <c r="AJ334" s="1" t="s">
        <v>68</v>
      </c>
      <c r="AK334" s="1" t="s">
        <v>7007</v>
      </c>
      <c r="AL334" s="1" t="s">
        <v>7023</v>
      </c>
      <c r="AM334" s="1" t="s">
        <v>457</v>
      </c>
      <c r="AN334" s="1">
        <v>2019.0</v>
      </c>
      <c r="AO334" s="1">
        <v>19.0</v>
      </c>
      <c r="AP334" s="1">
        <v>3.0</v>
      </c>
      <c r="AQ334" s="1" t="s">
        <v>68</v>
      </c>
      <c r="AR334" s="1" t="s">
        <v>68</v>
      </c>
      <c r="AS334" s="1" t="s">
        <v>68</v>
      </c>
      <c r="AT334" s="1" t="s">
        <v>68</v>
      </c>
      <c r="AU334" s="1">
        <v>671.0</v>
      </c>
      <c r="AV334" s="1">
        <v>680.0</v>
      </c>
      <c r="AW334" s="1" t="s">
        <v>68</v>
      </c>
      <c r="AX334" s="1" t="s">
        <v>7024</v>
      </c>
      <c r="AY334" s="3" t="str">
        <f>HYPERLINK("http://dx.doi.org/10.2166/ws.2018.116","http://dx.doi.org/10.2166/ws.2018.116")</f>
        <v>http://dx.doi.org/10.2166/ws.2018.116</v>
      </c>
      <c r="AZ334" s="1" t="s">
        <v>68</v>
      </c>
      <c r="BA334" s="1" t="s">
        <v>68</v>
      </c>
      <c r="BB334" s="1">
        <v>10.0</v>
      </c>
      <c r="BC334" s="1" t="s">
        <v>962</v>
      </c>
      <c r="BD334" s="1" t="s">
        <v>92</v>
      </c>
      <c r="BE334" s="1" t="s">
        <v>963</v>
      </c>
      <c r="BF334" s="1" t="s">
        <v>7025</v>
      </c>
      <c r="BG334" s="1" t="s">
        <v>68</v>
      </c>
      <c r="BH334" s="1" t="s">
        <v>512</v>
      </c>
      <c r="BI334" s="1" t="s">
        <v>68</v>
      </c>
      <c r="BJ334" s="1" t="s">
        <v>68</v>
      </c>
      <c r="BK334" s="1" t="s">
        <v>95</v>
      </c>
      <c r="BL334" s="1" t="s">
        <v>7026</v>
      </c>
      <c r="BM334" s="1" t="str">
        <f>HYPERLINK("https%3A%2F%2Fwww.webofscience.com%2Fwos%2Fwoscc%2Ffull-record%2FWOS:000462923600001","View Full Record in Web of Science")</f>
        <v>View Full Record in Web of Science</v>
      </c>
    </row>
    <row r="335" ht="12.75" customHeight="1">
      <c r="A335" s="1" t="s">
        <v>65</v>
      </c>
      <c r="B335" s="1" t="s">
        <v>7027</v>
      </c>
      <c r="C335" s="1" t="s">
        <v>7028</v>
      </c>
      <c r="D335" s="1" t="s">
        <v>68</v>
      </c>
      <c r="E335" s="1" t="s">
        <v>7029</v>
      </c>
      <c r="F335" s="1" t="s">
        <v>7030</v>
      </c>
      <c r="G335" s="1" t="s">
        <v>68</v>
      </c>
      <c r="H335" s="1" t="s">
        <v>71</v>
      </c>
      <c r="I335" s="1" t="s">
        <v>72</v>
      </c>
      <c r="J335" s="1" t="s">
        <v>68</v>
      </c>
      <c r="K335" s="1" t="s">
        <v>68</v>
      </c>
      <c r="L335" s="1" t="s">
        <v>68</v>
      </c>
      <c r="M335" s="1" t="s">
        <v>68</v>
      </c>
      <c r="N335" s="1" t="s">
        <v>7031</v>
      </c>
      <c r="O335" s="1" t="s">
        <v>7032</v>
      </c>
      <c r="P335" s="1" t="s">
        <v>7033</v>
      </c>
      <c r="Q335" s="1" t="s">
        <v>7034</v>
      </c>
      <c r="R335" s="1" t="s">
        <v>7035</v>
      </c>
      <c r="S335" s="1" t="s">
        <v>7036</v>
      </c>
      <c r="T335" s="1" t="s">
        <v>7037</v>
      </c>
      <c r="U335" s="1" t="s">
        <v>7038</v>
      </c>
      <c r="V335" s="1" t="s">
        <v>7039</v>
      </c>
      <c r="W335" s="1" t="s">
        <v>7040</v>
      </c>
      <c r="X335" s="1" t="s">
        <v>7041</v>
      </c>
      <c r="Y335" s="1" t="s">
        <v>7042</v>
      </c>
      <c r="Z335" s="1">
        <v>63.0</v>
      </c>
      <c r="AA335" s="1">
        <v>1.0</v>
      </c>
      <c r="AB335" s="1">
        <v>1.0</v>
      </c>
      <c r="AC335" s="1">
        <v>4.0</v>
      </c>
      <c r="AD335" s="1">
        <v>8.0</v>
      </c>
      <c r="AE335" s="1" t="s">
        <v>1596</v>
      </c>
      <c r="AF335" s="1" t="s">
        <v>1182</v>
      </c>
      <c r="AG335" s="1" t="s">
        <v>1597</v>
      </c>
      <c r="AH335" s="1" t="s">
        <v>7043</v>
      </c>
      <c r="AI335" s="1" t="s">
        <v>7044</v>
      </c>
      <c r="AJ335" s="1" t="s">
        <v>68</v>
      </c>
      <c r="AK335" s="1" t="s">
        <v>7045</v>
      </c>
      <c r="AL335" s="1" t="s">
        <v>7046</v>
      </c>
      <c r="AM335" s="1" t="s">
        <v>428</v>
      </c>
      <c r="AN335" s="1">
        <v>2025.0</v>
      </c>
      <c r="AO335" s="1">
        <v>214.0</v>
      </c>
      <c r="AP335" s="1" t="s">
        <v>68</v>
      </c>
      <c r="AQ335" s="1" t="s">
        <v>68</v>
      </c>
      <c r="AR335" s="1" t="s">
        <v>68</v>
      </c>
      <c r="AS335" s="1" t="s">
        <v>68</v>
      </c>
      <c r="AT335" s="1" t="s">
        <v>68</v>
      </c>
      <c r="AU335" s="1" t="s">
        <v>68</v>
      </c>
      <c r="AV335" s="1" t="s">
        <v>68</v>
      </c>
      <c r="AW335" s="1">
        <v>106329.0</v>
      </c>
      <c r="AX335" s="1" t="s">
        <v>7047</v>
      </c>
      <c r="AY335" s="3" t="str">
        <f>HYPERLINK("http://dx.doi.org/10.1016/j.apsoil.2025.106329","http://dx.doi.org/10.1016/j.apsoil.2025.106329")</f>
        <v>http://dx.doi.org/10.1016/j.apsoil.2025.106329</v>
      </c>
      <c r="AZ335" s="1" t="s">
        <v>68</v>
      </c>
      <c r="BA335" s="1" t="s">
        <v>3280</v>
      </c>
      <c r="BB335" s="1">
        <v>10.0</v>
      </c>
      <c r="BC335" s="1" t="s">
        <v>7048</v>
      </c>
      <c r="BD335" s="1" t="s">
        <v>92</v>
      </c>
      <c r="BE335" s="1" t="s">
        <v>198</v>
      </c>
      <c r="BF335" s="1" t="s">
        <v>7049</v>
      </c>
      <c r="BG335" s="1" t="s">
        <v>68</v>
      </c>
      <c r="BH335" s="1" t="s">
        <v>591</v>
      </c>
      <c r="BI335" s="1" t="s">
        <v>68</v>
      </c>
      <c r="BJ335" s="1" t="s">
        <v>68</v>
      </c>
      <c r="BK335" s="1" t="s">
        <v>95</v>
      </c>
      <c r="BL335" s="1" t="s">
        <v>7050</v>
      </c>
      <c r="BM335" s="1" t="str">
        <f>HYPERLINK("https%3A%2F%2Fwww.webofscience.com%2Fwos%2Fwoscc%2Ffull-record%2FWOS:001541386300001","View Full Record in Web of Science")</f>
        <v>View Full Record in Web of Science</v>
      </c>
    </row>
    <row r="336" ht="12.75" customHeight="1">
      <c r="A336" s="1" t="s">
        <v>65</v>
      </c>
      <c r="B336" s="1" t="s">
        <v>7051</v>
      </c>
      <c r="C336" s="1" t="s">
        <v>7052</v>
      </c>
      <c r="D336" s="1" t="s">
        <v>68</v>
      </c>
      <c r="E336" s="1" t="s">
        <v>7053</v>
      </c>
      <c r="F336" s="1" t="s">
        <v>7054</v>
      </c>
      <c r="G336" s="1" t="s">
        <v>68</v>
      </c>
      <c r="H336" s="1" t="s">
        <v>71</v>
      </c>
      <c r="I336" s="1" t="s">
        <v>72</v>
      </c>
      <c r="J336" s="1" t="s">
        <v>68</v>
      </c>
      <c r="K336" s="1" t="s">
        <v>68</v>
      </c>
      <c r="L336" s="1" t="s">
        <v>68</v>
      </c>
      <c r="M336" s="1" t="s">
        <v>68</v>
      </c>
      <c r="N336" s="1" t="s">
        <v>7055</v>
      </c>
      <c r="O336" s="1" t="s">
        <v>7056</v>
      </c>
      <c r="P336" s="1" t="s">
        <v>7057</v>
      </c>
      <c r="Q336" s="1" t="s">
        <v>7058</v>
      </c>
      <c r="R336" s="1" t="s">
        <v>68</v>
      </c>
      <c r="S336" s="1" t="s">
        <v>7059</v>
      </c>
      <c r="T336" s="1" t="s">
        <v>7060</v>
      </c>
      <c r="U336" s="1" t="s">
        <v>7061</v>
      </c>
      <c r="V336" s="1" t="s">
        <v>68</v>
      </c>
      <c r="W336" s="1" t="s">
        <v>7062</v>
      </c>
      <c r="X336" s="1" t="s">
        <v>7062</v>
      </c>
      <c r="Y336" s="1" t="s">
        <v>7063</v>
      </c>
      <c r="Z336" s="1">
        <v>62.0</v>
      </c>
      <c r="AA336" s="1">
        <v>1.0</v>
      </c>
      <c r="AB336" s="1">
        <v>1.0</v>
      </c>
      <c r="AC336" s="1">
        <v>4.0</v>
      </c>
      <c r="AD336" s="1">
        <v>10.0</v>
      </c>
      <c r="AE336" s="1" t="s">
        <v>83</v>
      </c>
      <c r="AF336" s="1" t="s">
        <v>84</v>
      </c>
      <c r="AG336" s="1" t="s">
        <v>85</v>
      </c>
      <c r="AH336" s="1" t="s">
        <v>68</v>
      </c>
      <c r="AI336" s="1" t="s">
        <v>7064</v>
      </c>
      <c r="AJ336" s="1" t="s">
        <v>68</v>
      </c>
      <c r="AK336" s="1" t="s">
        <v>7065</v>
      </c>
      <c r="AL336" s="1" t="s">
        <v>7066</v>
      </c>
      <c r="AM336" s="1" t="s">
        <v>7067</v>
      </c>
      <c r="AN336" s="1">
        <v>2024.0</v>
      </c>
      <c r="AO336" s="1">
        <v>5.0</v>
      </c>
      <c r="AP336" s="1" t="s">
        <v>68</v>
      </c>
      <c r="AQ336" s="1" t="s">
        <v>68</v>
      </c>
      <c r="AR336" s="1" t="s">
        <v>68</v>
      </c>
      <c r="AS336" s="1" t="s">
        <v>68</v>
      </c>
      <c r="AT336" s="1" t="s">
        <v>68</v>
      </c>
      <c r="AU336" s="1" t="s">
        <v>68</v>
      </c>
      <c r="AV336" s="1" t="s">
        <v>68</v>
      </c>
      <c r="AW336" s="1">
        <v>1412510.0</v>
      </c>
      <c r="AX336" s="1" t="s">
        <v>7068</v>
      </c>
      <c r="AY336" s="3" t="str">
        <f>HYPERLINK("http://dx.doi.org/10.3389/fcosc.2024.1412510","http://dx.doi.org/10.3389/fcosc.2024.1412510")</f>
        <v>http://dx.doi.org/10.3389/fcosc.2024.1412510</v>
      </c>
      <c r="AZ336" s="1" t="s">
        <v>68</v>
      </c>
      <c r="BA336" s="1" t="s">
        <v>68</v>
      </c>
      <c r="BB336" s="1">
        <v>18.0</v>
      </c>
      <c r="BC336" s="1" t="s">
        <v>122</v>
      </c>
      <c r="BD336" s="1" t="s">
        <v>197</v>
      </c>
      <c r="BE336" s="1" t="s">
        <v>123</v>
      </c>
      <c r="BF336" s="1" t="s">
        <v>7069</v>
      </c>
      <c r="BG336" s="1" t="s">
        <v>68</v>
      </c>
      <c r="BH336" s="1" t="s">
        <v>94</v>
      </c>
      <c r="BI336" s="1" t="s">
        <v>68</v>
      </c>
      <c r="BJ336" s="1" t="s">
        <v>68</v>
      </c>
      <c r="BK336" s="1" t="s">
        <v>95</v>
      </c>
      <c r="BL336" s="1" t="s">
        <v>7070</v>
      </c>
      <c r="BM336" s="1" t="str">
        <f>HYPERLINK("https%3A%2F%2Fwww.webofscience.com%2Fwos%2Fwoscc%2Ffull-record%2FWOS:001316541800001","View Full Record in Web of Science")</f>
        <v>View Full Record in Web of Science</v>
      </c>
    </row>
    <row r="337" ht="12.75" customHeight="1">
      <c r="A337" s="1" t="s">
        <v>65</v>
      </c>
      <c r="B337" s="1" t="s">
        <v>7071</v>
      </c>
      <c r="C337" s="1" t="s">
        <v>7072</v>
      </c>
      <c r="D337" s="1" t="s">
        <v>68</v>
      </c>
      <c r="E337" s="1" t="s">
        <v>7073</v>
      </c>
      <c r="F337" s="1" t="s">
        <v>7074</v>
      </c>
      <c r="G337" s="1" t="s">
        <v>68</v>
      </c>
      <c r="H337" s="1" t="s">
        <v>71</v>
      </c>
      <c r="I337" s="1" t="s">
        <v>72</v>
      </c>
      <c r="J337" s="1" t="s">
        <v>68</v>
      </c>
      <c r="K337" s="1" t="s">
        <v>68</v>
      </c>
      <c r="L337" s="1" t="s">
        <v>68</v>
      </c>
      <c r="M337" s="1" t="s">
        <v>68</v>
      </c>
      <c r="N337" s="1" t="s">
        <v>7075</v>
      </c>
      <c r="O337" s="1" t="s">
        <v>7076</v>
      </c>
      <c r="P337" s="1" t="s">
        <v>7077</v>
      </c>
      <c r="Q337" s="1" t="s">
        <v>7078</v>
      </c>
      <c r="R337" s="1" t="s">
        <v>7079</v>
      </c>
      <c r="S337" s="1" t="s">
        <v>7080</v>
      </c>
      <c r="T337" s="1" t="s">
        <v>7081</v>
      </c>
      <c r="U337" s="1" t="s">
        <v>7082</v>
      </c>
      <c r="V337" s="1" t="s">
        <v>7083</v>
      </c>
      <c r="W337" s="1" t="s">
        <v>7084</v>
      </c>
      <c r="X337" s="1" t="s">
        <v>7085</v>
      </c>
      <c r="Y337" s="1" t="s">
        <v>7086</v>
      </c>
      <c r="Z337" s="1">
        <v>142.0</v>
      </c>
      <c r="AA337" s="1">
        <v>7.0</v>
      </c>
      <c r="AB337" s="1">
        <v>12.0</v>
      </c>
      <c r="AC337" s="1">
        <v>3.0</v>
      </c>
      <c r="AD337" s="1">
        <v>22.0</v>
      </c>
      <c r="AE337" s="1" t="s">
        <v>811</v>
      </c>
      <c r="AF337" s="1" t="s">
        <v>1666</v>
      </c>
      <c r="AG337" s="1" t="s">
        <v>1667</v>
      </c>
      <c r="AH337" s="1" t="s">
        <v>7087</v>
      </c>
      <c r="AI337" s="1" t="s">
        <v>7088</v>
      </c>
      <c r="AJ337" s="1" t="s">
        <v>68</v>
      </c>
      <c r="AK337" s="1" t="s">
        <v>7089</v>
      </c>
      <c r="AL337" s="1" t="s">
        <v>7090</v>
      </c>
      <c r="AM337" s="1" t="s">
        <v>1264</v>
      </c>
      <c r="AN337" s="1">
        <v>2022.0</v>
      </c>
      <c r="AO337" s="1">
        <v>77.0</v>
      </c>
      <c r="AP337" s="1" t="s">
        <v>68</v>
      </c>
      <c r="AQ337" s="1" t="s">
        <v>68</v>
      </c>
      <c r="AR337" s="1" t="s">
        <v>68</v>
      </c>
      <c r="AS337" s="1" t="s">
        <v>68</v>
      </c>
      <c r="AT337" s="1" t="s">
        <v>68</v>
      </c>
      <c r="AU337" s="1" t="s">
        <v>68</v>
      </c>
      <c r="AV337" s="1" t="s">
        <v>68</v>
      </c>
      <c r="AW337" s="1">
        <v>102606.0</v>
      </c>
      <c r="AX337" s="1" t="s">
        <v>7091</v>
      </c>
      <c r="AY337" s="3" t="str">
        <f>HYPERLINK("http://dx.doi.org/10.1016/j.gloenvcha.2022.102606","http://dx.doi.org/10.1016/j.gloenvcha.2022.102606")</f>
        <v>http://dx.doi.org/10.1016/j.gloenvcha.2022.102606</v>
      </c>
      <c r="AZ337" s="1" t="s">
        <v>68</v>
      </c>
      <c r="BA337" s="1" t="s">
        <v>6300</v>
      </c>
      <c r="BB337" s="1">
        <v>17.0</v>
      </c>
      <c r="BC337" s="1" t="s">
        <v>7092</v>
      </c>
      <c r="BD337" s="1" t="s">
        <v>279</v>
      </c>
      <c r="BE337" s="1" t="s">
        <v>7093</v>
      </c>
      <c r="BF337" s="1" t="s">
        <v>7094</v>
      </c>
      <c r="BG337" s="1" t="s">
        <v>68</v>
      </c>
      <c r="BH337" s="1" t="s">
        <v>867</v>
      </c>
      <c r="BI337" s="1" t="s">
        <v>68</v>
      </c>
      <c r="BJ337" s="1" t="s">
        <v>68</v>
      </c>
      <c r="BK337" s="1" t="s">
        <v>95</v>
      </c>
      <c r="BL337" s="1" t="s">
        <v>7095</v>
      </c>
      <c r="BM337" s="1" t="str">
        <f>HYPERLINK("https%3A%2F%2Fwww.webofscience.com%2Fwos%2Fwoscc%2Ffull-record%2FWOS:000885274300005","View Full Record in Web of Science")</f>
        <v>View Full Record in Web of Science</v>
      </c>
    </row>
    <row r="338" ht="12.75" customHeight="1">
      <c r="A338" s="1" t="s">
        <v>65</v>
      </c>
      <c r="B338" s="1" t="s">
        <v>7096</v>
      </c>
      <c r="C338" s="1" t="s">
        <v>7097</v>
      </c>
      <c r="D338" s="1" t="s">
        <v>68</v>
      </c>
      <c r="E338" s="1" t="s">
        <v>7098</v>
      </c>
      <c r="F338" s="1" t="s">
        <v>7099</v>
      </c>
      <c r="G338" s="1" t="s">
        <v>68</v>
      </c>
      <c r="H338" s="1" t="s">
        <v>71</v>
      </c>
      <c r="I338" s="1" t="s">
        <v>72</v>
      </c>
      <c r="J338" s="1" t="s">
        <v>68</v>
      </c>
      <c r="K338" s="1" t="s">
        <v>68</v>
      </c>
      <c r="L338" s="1" t="s">
        <v>68</v>
      </c>
      <c r="M338" s="1" t="s">
        <v>68</v>
      </c>
      <c r="N338" s="1" t="s">
        <v>7100</v>
      </c>
      <c r="O338" s="1" t="s">
        <v>2457</v>
      </c>
      <c r="P338" s="1" t="s">
        <v>7101</v>
      </c>
      <c r="Q338" s="1" t="s">
        <v>7102</v>
      </c>
      <c r="R338" s="1" t="s">
        <v>7103</v>
      </c>
      <c r="S338" s="1" t="s">
        <v>7104</v>
      </c>
      <c r="T338" s="1" t="s">
        <v>7105</v>
      </c>
      <c r="U338" s="1" t="s">
        <v>7106</v>
      </c>
      <c r="V338" s="1" t="s">
        <v>7107</v>
      </c>
      <c r="W338" s="1" t="s">
        <v>68</v>
      </c>
      <c r="X338" s="1" t="s">
        <v>68</v>
      </c>
      <c r="Y338" s="1" t="s">
        <v>68</v>
      </c>
      <c r="Z338" s="1">
        <v>59.0</v>
      </c>
      <c r="AA338" s="1">
        <v>4.0</v>
      </c>
      <c r="AB338" s="1">
        <v>5.0</v>
      </c>
      <c r="AC338" s="1">
        <v>1.0</v>
      </c>
      <c r="AD338" s="1">
        <v>21.0</v>
      </c>
      <c r="AE338" s="1" t="s">
        <v>2125</v>
      </c>
      <c r="AF338" s="1" t="s">
        <v>2126</v>
      </c>
      <c r="AG338" s="1" t="s">
        <v>2127</v>
      </c>
      <c r="AH338" s="1" t="s">
        <v>7108</v>
      </c>
      <c r="AI338" s="1" t="s">
        <v>7109</v>
      </c>
      <c r="AJ338" s="1" t="s">
        <v>68</v>
      </c>
      <c r="AK338" s="1" t="s">
        <v>7110</v>
      </c>
      <c r="AL338" s="1" t="s">
        <v>7111</v>
      </c>
      <c r="AM338" s="1" t="s">
        <v>2998</v>
      </c>
      <c r="AN338" s="1">
        <v>2023.0</v>
      </c>
      <c r="AO338" s="1">
        <v>36.0</v>
      </c>
      <c r="AP338" s="1">
        <v>6.0</v>
      </c>
      <c r="AQ338" s="1" t="s">
        <v>68</v>
      </c>
      <c r="AR338" s="1" t="s">
        <v>68</v>
      </c>
      <c r="AS338" s="1" t="s">
        <v>68</v>
      </c>
      <c r="AT338" s="1" t="s">
        <v>68</v>
      </c>
      <c r="AU338" s="1">
        <v>600.0</v>
      </c>
      <c r="AV338" s="1">
        <v>621.0</v>
      </c>
      <c r="AW338" s="1" t="s">
        <v>68</v>
      </c>
      <c r="AX338" s="1" t="s">
        <v>7112</v>
      </c>
      <c r="AY338" s="3" t="str">
        <f>HYPERLINK("http://dx.doi.org/10.1080/08941920.2023.2183445","http://dx.doi.org/10.1080/08941920.2023.2183445")</f>
        <v>http://dx.doi.org/10.1080/08941920.2023.2183445</v>
      </c>
      <c r="AZ338" s="1" t="s">
        <v>68</v>
      </c>
      <c r="BA338" s="1" t="s">
        <v>459</v>
      </c>
      <c r="BB338" s="1">
        <v>22.0</v>
      </c>
      <c r="BC338" s="1" t="s">
        <v>7113</v>
      </c>
      <c r="BD338" s="1" t="s">
        <v>1438</v>
      </c>
      <c r="BE338" s="1" t="s">
        <v>7114</v>
      </c>
      <c r="BF338" s="1" t="s">
        <v>7115</v>
      </c>
      <c r="BG338" s="1" t="s">
        <v>68</v>
      </c>
      <c r="BH338" s="1" t="s">
        <v>68</v>
      </c>
      <c r="BI338" s="1" t="s">
        <v>68</v>
      </c>
      <c r="BJ338" s="1" t="s">
        <v>68</v>
      </c>
      <c r="BK338" s="1" t="s">
        <v>95</v>
      </c>
      <c r="BL338" s="1" t="s">
        <v>7116</v>
      </c>
      <c r="BM338" s="1" t="str">
        <f>HYPERLINK("https%3A%2F%2Fwww.webofscience.com%2Fwos%2Fwoscc%2Ffull-record%2FWOS:000966030700001","View Full Record in Web of Science")</f>
        <v>View Full Record in Web of Science</v>
      </c>
    </row>
    <row r="339" ht="12.75" customHeight="1">
      <c r="A339" s="1" t="s">
        <v>65</v>
      </c>
      <c r="B339" s="1" t="s">
        <v>7117</v>
      </c>
      <c r="C339" s="1" t="s">
        <v>7118</v>
      </c>
      <c r="D339" s="1" t="s">
        <v>68</v>
      </c>
      <c r="E339" s="1" t="s">
        <v>7119</v>
      </c>
      <c r="F339" s="1" t="s">
        <v>1194</v>
      </c>
      <c r="G339" s="1" t="s">
        <v>68</v>
      </c>
      <c r="H339" s="1" t="s">
        <v>71</v>
      </c>
      <c r="I339" s="1" t="s">
        <v>72</v>
      </c>
      <c r="J339" s="1" t="s">
        <v>68</v>
      </c>
      <c r="K339" s="1" t="s">
        <v>68</v>
      </c>
      <c r="L339" s="1" t="s">
        <v>68</v>
      </c>
      <c r="M339" s="1" t="s">
        <v>68</v>
      </c>
      <c r="N339" s="1" t="s">
        <v>7120</v>
      </c>
      <c r="O339" s="1" t="s">
        <v>7121</v>
      </c>
      <c r="P339" s="1" t="s">
        <v>7122</v>
      </c>
      <c r="Q339" s="1" t="s">
        <v>7123</v>
      </c>
      <c r="R339" s="1" t="s">
        <v>7124</v>
      </c>
      <c r="S339" s="1" t="s">
        <v>7125</v>
      </c>
      <c r="T339" s="1" t="s">
        <v>7126</v>
      </c>
      <c r="U339" s="1" t="s">
        <v>7127</v>
      </c>
      <c r="V339" s="1" t="s">
        <v>7128</v>
      </c>
      <c r="W339" s="1" t="s">
        <v>7129</v>
      </c>
      <c r="X339" s="1" t="s">
        <v>7129</v>
      </c>
      <c r="Y339" s="1" t="s">
        <v>7130</v>
      </c>
      <c r="Z339" s="1">
        <v>102.0</v>
      </c>
      <c r="AA339" s="1">
        <v>1.0</v>
      </c>
      <c r="AB339" s="1">
        <v>1.0</v>
      </c>
      <c r="AC339" s="1">
        <v>3.0</v>
      </c>
      <c r="AD339" s="1">
        <v>7.0</v>
      </c>
      <c r="AE339" s="1" t="s">
        <v>503</v>
      </c>
      <c r="AF339" s="1" t="s">
        <v>504</v>
      </c>
      <c r="AG339" s="1" t="s">
        <v>505</v>
      </c>
      <c r="AH339" s="1" t="s">
        <v>1203</v>
      </c>
      <c r="AI339" s="1" t="s">
        <v>68</v>
      </c>
      <c r="AJ339" s="1" t="s">
        <v>68</v>
      </c>
      <c r="AK339" s="1" t="s">
        <v>1204</v>
      </c>
      <c r="AL339" s="1" t="s">
        <v>1205</v>
      </c>
      <c r="AM339" s="1" t="s">
        <v>7131</v>
      </c>
      <c r="AN339" s="1">
        <v>2025.0</v>
      </c>
      <c r="AO339" s="1">
        <v>15.0</v>
      </c>
      <c r="AP339" s="1">
        <v>6.0</v>
      </c>
      <c r="AQ339" s="1" t="s">
        <v>68</v>
      </c>
      <c r="AR339" s="1" t="s">
        <v>68</v>
      </c>
      <c r="AS339" s="1" t="s">
        <v>68</v>
      </c>
      <c r="AT339" s="1" t="s">
        <v>68</v>
      </c>
      <c r="AU339" s="1" t="s">
        <v>68</v>
      </c>
      <c r="AV339" s="1" t="s">
        <v>68</v>
      </c>
      <c r="AW339" s="1" t="s">
        <v>7132</v>
      </c>
      <c r="AX339" s="1" t="s">
        <v>7133</v>
      </c>
      <c r="AY339" s="3" t="str">
        <f>HYPERLINK("http://dx.doi.org/10.1002/ece3.71469","http://dx.doi.org/10.1002/ece3.71469")</f>
        <v>http://dx.doi.org/10.1002/ece3.71469</v>
      </c>
      <c r="AZ339" s="1" t="s">
        <v>68</v>
      </c>
      <c r="BA339" s="1" t="s">
        <v>68</v>
      </c>
      <c r="BB339" s="1">
        <v>13.0</v>
      </c>
      <c r="BC339" s="1" t="s">
        <v>1209</v>
      </c>
      <c r="BD339" s="1" t="s">
        <v>92</v>
      </c>
      <c r="BE339" s="1" t="s">
        <v>1210</v>
      </c>
      <c r="BF339" s="1" t="s">
        <v>7134</v>
      </c>
      <c r="BG339" s="1">
        <v>4.0486948E7</v>
      </c>
      <c r="BH339" s="1" t="s">
        <v>94</v>
      </c>
      <c r="BI339" s="1" t="s">
        <v>68</v>
      </c>
      <c r="BJ339" s="1" t="s">
        <v>68</v>
      </c>
      <c r="BK339" s="1" t="s">
        <v>95</v>
      </c>
      <c r="BL339" s="1" t="s">
        <v>7135</v>
      </c>
      <c r="BM339" s="1" t="str">
        <f>HYPERLINK("https%3A%2F%2Fwww.webofscience.com%2Fwos%2Fwoscc%2Ffull-record%2FWOS:001503240900001","View Full Record in Web of Science")</f>
        <v>View Full Record in Web of Science</v>
      </c>
    </row>
    <row r="340" ht="12.75" customHeight="1">
      <c r="A340" s="1" t="s">
        <v>65</v>
      </c>
      <c r="B340" s="1" t="s">
        <v>7136</v>
      </c>
      <c r="C340" s="1" t="s">
        <v>7137</v>
      </c>
      <c r="D340" s="1" t="s">
        <v>68</v>
      </c>
      <c r="E340" s="1" t="s">
        <v>7138</v>
      </c>
      <c r="F340" s="1" t="s">
        <v>6907</v>
      </c>
      <c r="G340" s="1" t="s">
        <v>68</v>
      </c>
      <c r="H340" s="1" t="s">
        <v>71</v>
      </c>
      <c r="I340" s="1" t="s">
        <v>72</v>
      </c>
      <c r="J340" s="1" t="s">
        <v>68</v>
      </c>
      <c r="K340" s="1" t="s">
        <v>68</v>
      </c>
      <c r="L340" s="1" t="s">
        <v>68</v>
      </c>
      <c r="M340" s="1" t="s">
        <v>68</v>
      </c>
      <c r="N340" s="1" t="s">
        <v>7139</v>
      </c>
      <c r="O340" s="1" t="s">
        <v>7140</v>
      </c>
      <c r="P340" s="1" t="s">
        <v>7141</v>
      </c>
      <c r="Q340" s="1" t="s">
        <v>7142</v>
      </c>
      <c r="R340" s="1" t="s">
        <v>7143</v>
      </c>
      <c r="S340" s="1" t="s">
        <v>7144</v>
      </c>
      <c r="T340" s="1" t="s">
        <v>7145</v>
      </c>
      <c r="U340" s="1" t="s">
        <v>7146</v>
      </c>
      <c r="V340" s="1" t="s">
        <v>7147</v>
      </c>
      <c r="W340" s="1" t="s">
        <v>7148</v>
      </c>
      <c r="X340" s="1" t="s">
        <v>7149</v>
      </c>
      <c r="Y340" s="1" t="s">
        <v>7150</v>
      </c>
      <c r="Z340" s="1">
        <v>51.0</v>
      </c>
      <c r="AA340" s="1">
        <v>14.0</v>
      </c>
      <c r="AB340" s="1">
        <v>14.0</v>
      </c>
      <c r="AC340" s="1">
        <v>2.0</v>
      </c>
      <c r="AD340" s="1">
        <v>46.0</v>
      </c>
      <c r="AE340" s="1" t="s">
        <v>450</v>
      </c>
      <c r="AF340" s="1" t="s">
        <v>451</v>
      </c>
      <c r="AG340" s="1" t="s">
        <v>452</v>
      </c>
      <c r="AH340" s="1" t="s">
        <v>6919</v>
      </c>
      <c r="AI340" s="1" t="s">
        <v>6920</v>
      </c>
      <c r="AJ340" s="1" t="s">
        <v>68</v>
      </c>
      <c r="AK340" s="1" t="s">
        <v>6921</v>
      </c>
      <c r="AL340" s="1" t="s">
        <v>6922</v>
      </c>
      <c r="AM340" s="1" t="s">
        <v>2194</v>
      </c>
      <c r="AN340" s="1">
        <v>2021.0</v>
      </c>
      <c r="AO340" s="1">
        <v>59.0</v>
      </c>
      <c r="AP340" s="1" t="s">
        <v>68</v>
      </c>
      <c r="AQ340" s="1" t="s">
        <v>68</v>
      </c>
      <c r="AR340" s="1" t="s">
        <v>68</v>
      </c>
      <c r="AS340" s="1" t="s">
        <v>68</v>
      </c>
      <c r="AT340" s="1" t="s">
        <v>68</v>
      </c>
      <c r="AU340" s="1" t="s">
        <v>68</v>
      </c>
      <c r="AV340" s="1" t="s">
        <v>68</v>
      </c>
      <c r="AW340" s="1">
        <v>127001.0</v>
      </c>
      <c r="AX340" s="1" t="s">
        <v>7151</v>
      </c>
      <c r="AY340" s="3" t="str">
        <f>HYPERLINK("http://dx.doi.org/10.1016/j.ufug.2021.127001","http://dx.doi.org/10.1016/j.ufug.2021.127001")</f>
        <v>http://dx.doi.org/10.1016/j.ufug.2021.127001</v>
      </c>
      <c r="AZ340" s="1" t="s">
        <v>68</v>
      </c>
      <c r="BA340" s="1" t="s">
        <v>7152</v>
      </c>
      <c r="BB340" s="1">
        <v>8.0</v>
      </c>
      <c r="BC340" s="1" t="s">
        <v>6924</v>
      </c>
      <c r="BD340" s="1" t="s">
        <v>279</v>
      </c>
      <c r="BE340" s="1" t="s">
        <v>6925</v>
      </c>
      <c r="BF340" s="1" t="s">
        <v>7153</v>
      </c>
      <c r="BG340" s="1" t="s">
        <v>68</v>
      </c>
      <c r="BH340" s="1" t="s">
        <v>68</v>
      </c>
      <c r="BI340" s="1" t="s">
        <v>68</v>
      </c>
      <c r="BJ340" s="1" t="s">
        <v>68</v>
      </c>
      <c r="BK340" s="1" t="s">
        <v>95</v>
      </c>
      <c r="BL340" s="1" t="s">
        <v>7154</v>
      </c>
      <c r="BM340" s="1" t="str">
        <f>HYPERLINK("https%3A%2F%2Fwww.webofscience.com%2Fwos%2Fwoscc%2Ffull-record%2FWOS:000632597500008","View Full Record in Web of Science")</f>
        <v>View Full Record in Web of Science</v>
      </c>
    </row>
    <row r="341" ht="12.75" customHeight="1">
      <c r="A341" s="1" t="s">
        <v>65</v>
      </c>
      <c r="B341" s="1" t="s">
        <v>7155</v>
      </c>
      <c r="C341" s="1" t="s">
        <v>7156</v>
      </c>
      <c r="D341" s="1" t="s">
        <v>68</v>
      </c>
      <c r="E341" s="1" t="s">
        <v>7157</v>
      </c>
      <c r="F341" s="1" t="s">
        <v>7158</v>
      </c>
      <c r="G341" s="1" t="s">
        <v>68</v>
      </c>
      <c r="H341" s="1" t="s">
        <v>71</v>
      </c>
      <c r="I341" s="1" t="s">
        <v>72</v>
      </c>
      <c r="J341" s="1" t="s">
        <v>68</v>
      </c>
      <c r="K341" s="1" t="s">
        <v>68</v>
      </c>
      <c r="L341" s="1" t="s">
        <v>68</v>
      </c>
      <c r="M341" s="1" t="s">
        <v>68</v>
      </c>
      <c r="N341" s="1" t="s">
        <v>7159</v>
      </c>
      <c r="O341" s="1" t="s">
        <v>7160</v>
      </c>
      <c r="P341" s="1" t="s">
        <v>7161</v>
      </c>
      <c r="Q341" s="1" t="s">
        <v>7162</v>
      </c>
      <c r="R341" s="1" t="s">
        <v>68</v>
      </c>
      <c r="S341" s="1" t="s">
        <v>7163</v>
      </c>
      <c r="T341" s="1" t="s">
        <v>7164</v>
      </c>
      <c r="U341" s="1" t="s">
        <v>7165</v>
      </c>
      <c r="V341" s="1" t="s">
        <v>7166</v>
      </c>
      <c r="W341" s="1" t="s">
        <v>7167</v>
      </c>
      <c r="X341" s="1" t="s">
        <v>7167</v>
      </c>
      <c r="Y341" s="1" t="s">
        <v>7168</v>
      </c>
      <c r="Z341" s="1">
        <v>30.0</v>
      </c>
      <c r="AA341" s="1">
        <v>1.0</v>
      </c>
      <c r="AB341" s="1">
        <v>1.0</v>
      </c>
      <c r="AC341" s="1">
        <v>2.0</v>
      </c>
      <c r="AD341" s="1">
        <v>2.0</v>
      </c>
      <c r="AE341" s="1" t="s">
        <v>247</v>
      </c>
      <c r="AF341" s="1" t="s">
        <v>248</v>
      </c>
      <c r="AG341" s="1" t="s">
        <v>249</v>
      </c>
      <c r="AH341" s="1" t="s">
        <v>68</v>
      </c>
      <c r="AI341" s="1" t="s">
        <v>7169</v>
      </c>
      <c r="AJ341" s="1" t="s">
        <v>68</v>
      </c>
      <c r="AK341" s="1" t="s">
        <v>7158</v>
      </c>
      <c r="AL341" s="1" t="s">
        <v>7170</v>
      </c>
      <c r="AM341" s="1" t="s">
        <v>7171</v>
      </c>
      <c r="AN341" s="1">
        <v>2025.0</v>
      </c>
      <c r="AO341" s="1">
        <v>17.0</v>
      </c>
      <c r="AP341" s="1">
        <v>10.0</v>
      </c>
      <c r="AQ341" s="1" t="s">
        <v>68</v>
      </c>
      <c r="AR341" s="1" t="s">
        <v>68</v>
      </c>
      <c r="AS341" s="1" t="s">
        <v>68</v>
      </c>
      <c r="AT341" s="1" t="s">
        <v>68</v>
      </c>
      <c r="AU341" s="1" t="s">
        <v>68</v>
      </c>
      <c r="AV341" s="1" t="s">
        <v>68</v>
      </c>
      <c r="AW341" s="1">
        <v>679.0</v>
      </c>
      <c r="AX341" s="1" t="s">
        <v>7172</v>
      </c>
      <c r="AY341" s="3" t="str">
        <f>HYPERLINK("http://dx.doi.org/10.3390/d17100679","http://dx.doi.org/10.3390/d17100679")</f>
        <v>http://dx.doi.org/10.3390/d17100679</v>
      </c>
      <c r="AZ341" s="1" t="s">
        <v>68</v>
      </c>
      <c r="BA341" s="1" t="s">
        <v>68</v>
      </c>
      <c r="BB341" s="1">
        <v>16.0</v>
      </c>
      <c r="BC341" s="1" t="s">
        <v>1011</v>
      </c>
      <c r="BD341" s="1" t="s">
        <v>92</v>
      </c>
      <c r="BE341" s="1" t="s">
        <v>123</v>
      </c>
      <c r="BF341" s="1" t="s">
        <v>7173</v>
      </c>
      <c r="BG341" s="1" t="s">
        <v>68</v>
      </c>
      <c r="BH341" s="1" t="s">
        <v>94</v>
      </c>
      <c r="BI341" s="1" t="s">
        <v>68</v>
      </c>
      <c r="BJ341" s="1" t="s">
        <v>68</v>
      </c>
      <c r="BK341" s="1" t="s">
        <v>95</v>
      </c>
      <c r="BL341" s="1" t="s">
        <v>7174</v>
      </c>
      <c r="BM341" s="1" t="str">
        <f>HYPERLINK("https%3A%2F%2Fwww.webofscience.com%2Fwos%2Fwoscc%2Ffull-record%2FWOS:001602509800001","View Full Record in Web of Science")</f>
        <v>View Full Record in Web of Science</v>
      </c>
    </row>
    <row r="342" ht="12.75" customHeight="1">
      <c r="A342" s="1" t="s">
        <v>65</v>
      </c>
      <c r="B342" s="1" t="s">
        <v>7175</v>
      </c>
      <c r="C342" s="1" t="s">
        <v>7176</v>
      </c>
      <c r="D342" s="1" t="s">
        <v>7177</v>
      </c>
      <c r="E342" s="1" t="s">
        <v>7178</v>
      </c>
      <c r="F342" s="1" t="s">
        <v>2908</v>
      </c>
      <c r="G342" s="1" t="s">
        <v>68</v>
      </c>
      <c r="H342" s="1" t="s">
        <v>71</v>
      </c>
      <c r="I342" s="1" t="s">
        <v>72</v>
      </c>
      <c r="J342" s="1" t="s">
        <v>68</v>
      </c>
      <c r="K342" s="1" t="s">
        <v>68</v>
      </c>
      <c r="L342" s="1" t="s">
        <v>68</v>
      </c>
      <c r="M342" s="1" t="s">
        <v>68</v>
      </c>
      <c r="N342" s="1" t="s">
        <v>7179</v>
      </c>
      <c r="O342" s="1" t="s">
        <v>7180</v>
      </c>
      <c r="P342" s="1" t="s">
        <v>7181</v>
      </c>
      <c r="Q342" s="1" t="s">
        <v>7182</v>
      </c>
      <c r="R342" s="1" t="s">
        <v>7183</v>
      </c>
      <c r="S342" s="1" t="s">
        <v>7184</v>
      </c>
      <c r="T342" s="1" t="s">
        <v>7185</v>
      </c>
      <c r="U342" s="1" t="s">
        <v>7186</v>
      </c>
      <c r="V342" s="1" t="s">
        <v>7187</v>
      </c>
      <c r="W342" s="1" t="s">
        <v>7188</v>
      </c>
      <c r="X342" s="1" t="s">
        <v>7189</v>
      </c>
      <c r="Y342" s="1" t="s">
        <v>7190</v>
      </c>
      <c r="Z342" s="1">
        <v>91.0</v>
      </c>
      <c r="AA342" s="1">
        <v>32.0</v>
      </c>
      <c r="AB342" s="1">
        <v>36.0</v>
      </c>
      <c r="AC342" s="1">
        <v>1.0</v>
      </c>
      <c r="AD342" s="1">
        <v>22.0</v>
      </c>
      <c r="AE342" s="1" t="s">
        <v>503</v>
      </c>
      <c r="AF342" s="1" t="s">
        <v>504</v>
      </c>
      <c r="AG342" s="1" t="s">
        <v>505</v>
      </c>
      <c r="AH342" s="1" t="s">
        <v>68</v>
      </c>
      <c r="AI342" s="1" t="s">
        <v>2921</v>
      </c>
      <c r="AJ342" s="1" t="s">
        <v>68</v>
      </c>
      <c r="AK342" s="1" t="s">
        <v>2922</v>
      </c>
      <c r="AL342" s="1" t="s">
        <v>2923</v>
      </c>
      <c r="AM342" s="1" t="s">
        <v>428</v>
      </c>
      <c r="AN342" s="1">
        <v>2022.0</v>
      </c>
      <c r="AO342" s="1">
        <v>3.0</v>
      </c>
      <c r="AP342" s="1">
        <v>4.0</v>
      </c>
      <c r="AQ342" s="1" t="s">
        <v>68</v>
      </c>
      <c r="AR342" s="1" t="s">
        <v>68</v>
      </c>
      <c r="AS342" s="1" t="s">
        <v>68</v>
      </c>
      <c r="AT342" s="1" t="s">
        <v>68</v>
      </c>
      <c r="AU342" s="1" t="s">
        <v>68</v>
      </c>
      <c r="AV342" s="1" t="s">
        <v>68</v>
      </c>
      <c r="AW342" s="1" t="s">
        <v>7191</v>
      </c>
      <c r="AX342" s="1" t="s">
        <v>7192</v>
      </c>
      <c r="AY342" s="3" t="str">
        <f>HYPERLINK("http://dx.doi.org/10.1002/2688-8319.12180","http://dx.doi.org/10.1002/2688-8319.12180")</f>
        <v>http://dx.doi.org/10.1002/2688-8319.12180</v>
      </c>
      <c r="AZ342" s="1" t="s">
        <v>68</v>
      </c>
      <c r="BA342" s="1" t="s">
        <v>68</v>
      </c>
      <c r="BB342" s="1">
        <v>15.0</v>
      </c>
      <c r="BC342" s="1" t="s">
        <v>332</v>
      </c>
      <c r="BD342" s="1" t="s">
        <v>197</v>
      </c>
      <c r="BE342" s="1" t="s">
        <v>333</v>
      </c>
      <c r="BF342" s="1" t="s">
        <v>7193</v>
      </c>
      <c r="BG342" s="1" t="s">
        <v>68</v>
      </c>
      <c r="BH342" s="1" t="s">
        <v>7194</v>
      </c>
      <c r="BI342" s="1" t="s">
        <v>68</v>
      </c>
      <c r="BJ342" s="1" t="s">
        <v>68</v>
      </c>
      <c r="BK342" s="1" t="s">
        <v>95</v>
      </c>
      <c r="BL342" s="1" t="s">
        <v>7195</v>
      </c>
      <c r="BM342" s="1" t="str">
        <f>HYPERLINK("https%3A%2F%2Fwww.webofscience.com%2Fwos%2Fwoscc%2Ffull-record%2FWOS:000868674800001","View Full Record in Web of Science")</f>
        <v>View Full Record in Web of Science</v>
      </c>
    </row>
    <row r="343" ht="12.75" customHeight="1">
      <c r="A343" s="1" t="s">
        <v>65</v>
      </c>
      <c r="B343" s="1" t="s">
        <v>7196</v>
      </c>
      <c r="C343" s="1" t="s">
        <v>7197</v>
      </c>
      <c r="D343" s="1" t="s">
        <v>68</v>
      </c>
      <c r="E343" s="1" t="s">
        <v>7198</v>
      </c>
      <c r="F343" s="1" t="s">
        <v>517</v>
      </c>
      <c r="G343" s="1" t="s">
        <v>68</v>
      </c>
      <c r="H343" s="1" t="s">
        <v>71</v>
      </c>
      <c r="I343" s="1" t="s">
        <v>72</v>
      </c>
      <c r="J343" s="1" t="s">
        <v>68</v>
      </c>
      <c r="K343" s="1" t="s">
        <v>68</v>
      </c>
      <c r="L343" s="1" t="s">
        <v>68</v>
      </c>
      <c r="M343" s="1" t="s">
        <v>68</v>
      </c>
      <c r="N343" s="1" t="s">
        <v>7199</v>
      </c>
      <c r="O343" s="1" t="s">
        <v>7200</v>
      </c>
      <c r="P343" s="1" t="s">
        <v>7201</v>
      </c>
      <c r="Q343" s="1" t="s">
        <v>7202</v>
      </c>
      <c r="R343" s="1" t="s">
        <v>7203</v>
      </c>
      <c r="S343" s="1" t="s">
        <v>7204</v>
      </c>
      <c r="T343" s="1" t="s">
        <v>7205</v>
      </c>
      <c r="U343" s="1" t="s">
        <v>68</v>
      </c>
      <c r="V343" s="1" t="s">
        <v>68</v>
      </c>
      <c r="W343" s="1" t="s">
        <v>7206</v>
      </c>
      <c r="X343" s="1" t="s">
        <v>6339</v>
      </c>
      <c r="Y343" s="1" t="s">
        <v>7207</v>
      </c>
      <c r="Z343" s="1">
        <v>35.0</v>
      </c>
      <c r="AA343" s="1">
        <v>62.0</v>
      </c>
      <c r="AB343" s="1">
        <v>76.0</v>
      </c>
      <c r="AC343" s="1">
        <v>0.0</v>
      </c>
      <c r="AD343" s="1">
        <v>21.0</v>
      </c>
      <c r="AE343" s="1" t="s">
        <v>529</v>
      </c>
      <c r="AF343" s="1" t="s">
        <v>530</v>
      </c>
      <c r="AG343" s="1" t="s">
        <v>531</v>
      </c>
      <c r="AH343" s="1" t="s">
        <v>532</v>
      </c>
      <c r="AI343" s="1" t="s">
        <v>533</v>
      </c>
      <c r="AJ343" s="1" t="s">
        <v>68</v>
      </c>
      <c r="AK343" s="1" t="s">
        <v>534</v>
      </c>
      <c r="AL343" s="1" t="s">
        <v>535</v>
      </c>
      <c r="AM343" s="1" t="s">
        <v>1264</v>
      </c>
      <c r="AN343" s="1">
        <v>2017.0</v>
      </c>
      <c r="AO343" s="1">
        <v>54.0</v>
      </c>
      <c r="AP343" s="1">
        <v>6.0</v>
      </c>
      <c r="AQ343" s="1" t="s">
        <v>68</v>
      </c>
      <c r="AR343" s="1" t="s">
        <v>68</v>
      </c>
      <c r="AS343" s="1" t="s">
        <v>68</v>
      </c>
      <c r="AT343" s="1" t="s">
        <v>68</v>
      </c>
      <c r="AU343" s="1">
        <v>1790.0</v>
      </c>
      <c r="AV343" s="1">
        <v>1794.0</v>
      </c>
      <c r="AW343" s="1" t="s">
        <v>68</v>
      </c>
      <c r="AX343" s="1" t="s">
        <v>7208</v>
      </c>
      <c r="AY343" s="3" t="str">
        <f>HYPERLINK("http://dx.doi.org/10.1093/jme/tjx166","http://dx.doi.org/10.1093/jme/tjx166")</f>
        <v>http://dx.doi.org/10.1093/jme/tjx166</v>
      </c>
      <c r="AZ343" s="1" t="s">
        <v>68</v>
      </c>
      <c r="BA343" s="1" t="s">
        <v>68</v>
      </c>
      <c r="BB343" s="1">
        <v>5.0</v>
      </c>
      <c r="BC343" s="1" t="s">
        <v>539</v>
      </c>
      <c r="BD343" s="1" t="s">
        <v>92</v>
      </c>
      <c r="BE343" s="1" t="s">
        <v>539</v>
      </c>
      <c r="BF343" s="1" t="s">
        <v>7209</v>
      </c>
      <c r="BG343" s="1">
        <v>2.9029273E7</v>
      </c>
      <c r="BH343" s="1" t="s">
        <v>591</v>
      </c>
      <c r="BI343" s="1" t="s">
        <v>68</v>
      </c>
      <c r="BJ343" s="1" t="s">
        <v>68</v>
      </c>
      <c r="BK343" s="1" t="s">
        <v>95</v>
      </c>
      <c r="BL343" s="1" t="s">
        <v>7210</v>
      </c>
      <c r="BM343" s="1" t="str">
        <f>HYPERLINK("https%3A%2F%2Fwww.webofscience.com%2Fwos%2Fwoscc%2Ffull-record%2FWOS:000422974500045","View Full Record in Web of Science")</f>
        <v>View Full Record in Web of Science</v>
      </c>
    </row>
    <row r="344" ht="12.75" customHeight="1">
      <c r="A344" s="1" t="s">
        <v>65</v>
      </c>
      <c r="B344" s="1" t="s">
        <v>7211</v>
      </c>
      <c r="C344" s="1" t="s">
        <v>7212</v>
      </c>
      <c r="D344" s="1" t="s">
        <v>68</v>
      </c>
      <c r="E344" s="1" t="s">
        <v>7213</v>
      </c>
      <c r="F344" s="1" t="s">
        <v>2455</v>
      </c>
      <c r="G344" s="1" t="s">
        <v>68</v>
      </c>
      <c r="H344" s="1" t="s">
        <v>71</v>
      </c>
      <c r="I344" s="1" t="s">
        <v>72</v>
      </c>
      <c r="J344" s="1" t="s">
        <v>68</v>
      </c>
      <c r="K344" s="1" t="s">
        <v>68</v>
      </c>
      <c r="L344" s="1" t="s">
        <v>68</v>
      </c>
      <c r="M344" s="1" t="s">
        <v>68</v>
      </c>
      <c r="N344" s="1" t="s">
        <v>7214</v>
      </c>
      <c r="O344" s="1" t="s">
        <v>7215</v>
      </c>
      <c r="P344" s="1" t="s">
        <v>7216</v>
      </c>
      <c r="Q344" s="1" t="s">
        <v>7217</v>
      </c>
      <c r="R344" s="1" t="s">
        <v>7218</v>
      </c>
      <c r="S344" s="1" t="s">
        <v>7219</v>
      </c>
      <c r="T344" s="1" t="s">
        <v>7220</v>
      </c>
      <c r="U344" s="1" t="s">
        <v>68</v>
      </c>
      <c r="V344" s="1" t="s">
        <v>7221</v>
      </c>
      <c r="W344" s="1" t="s">
        <v>7222</v>
      </c>
      <c r="X344" s="1" t="s">
        <v>7223</v>
      </c>
      <c r="Y344" s="1" t="s">
        <v>7224</v>
      </c>
      <c r="Z344" s="1">
        <v>55.0</v>
      </c>
      <c r="AA344" s="1">
        <v>48.0</v>
      </c>
      <c r="AB344" s="1">
        <v>51.0</v>
      </c>
      <c r="AC344" s="1">
        <v>0.0</v>
      </c>
      <c r="AD344" s="1">
        <v>20.0</v>
      </c>
      <c r="AE344" s="1" t="s">
        <v>1596</v>
      </c>
      <c r="AF344" s="1" t="s">
        <v>1182</v>
      </c>
      <c r="AG344" s="1" t="s">
        <v>1597</v>
      </c>
      <c r="AH344" s="1" t="s">
        <v>68</v>
      </c>
      <c r="AI344" s="1" t="s">
        <v>2468</v>
      </c>
      <c r="AJ344" s="1" t="s">
        <v>68</v>
      </c>
      <c r="AK344" s="1" t="s">
        <v>2469</v>
      </c>
      <c r="AL344" s="1" t="s">
        <v>2470</v>
      </c>
      <c r="AM344" s="1" t="s">
        <v>1789</v>
      </c>
      <c r="AN344" s="1">
        <v>2015.0</v>
      </c>
      <c r="AO344" s="1">
        <v>3.0</v>
      </c>
      <c r="AP344" s="1" t="s">
        <v>68</v>
      </c>
      <c r="AQ344" s="1" t="s">
        <v>68</v>
      </c>
      <c r="AR344" s="1" t="s">
        <v>68</v>
      </c>
      <c r="AS344" s="1" t="s">
        <v>68</v>
      </c>
      <c r="AT344" s="1" t="s">
        <v>68</v>
      </c>
      <c r="AU344" s="1">
        <v>867.0</v>
      </c>
      <c r="AV344" s="1">
        <v>877.0</v>
      </c>
      <c r="AW344" s="1" t="s">
        <v>68</v>
      </c>
      <c r="AX344" s="1" t="s">
        <v>7225</v>
      </c>
      <c r="AY344" s="3" t="str">
        <f>HYPERLINK("http://dx.doi.org/10.1016/j.gecco.2015.04.003","http://dx.doi.org/10.1016/j.gecco.2015.04.003")</f>
        <v>http://dx.doi.org/10.1016/j.gecco.2015.04.003</v>
      </c>
      <c r="AZ344" s="1" t="s">
        <v>68</v>
      </c>
      <c r="BA344" s="1" t="s">
        <v>68</v>
      </c>
      <c r="BB344" s="1">
        <v>11.0</v>
      </c>
      <c r="BC344" s="1" t="s">
        <v>1011</v>
      </c>
      <c r="BD344" s="1" t="s">
        <v>92</v>
      </c>
      <c r="BE344" s="1" t="s">
        <v>123</v>
      </c>
      <c r="BF344" s="1" t="s">
        <v>7226</v>
      </c>
      <c r="BG344" s="1" t="s">
        <v>68</v>
      </c>
      <c r="BH344" s="1" t="s">
        <v>94</v>
      </c>
      <c r="BI344" s="1" t="s">
        <v>68</v>
      </c>
      <c r="BJ344" s="1" t="s">
        <v>68</v>
      </c>
      <c r="BK344" s="1" t="s">
        <v>95</v>
      </c>
      <c r="BL344" s="1" t="s">
        <v>7227</v>
      </c>
      <c r="BM344" s="1" t="str">
        <f>HYPERLINK("https%3A%2F%2Fwww.webofscience.com%2Fwos%2Fwoscc%2Ffull-record%2FWOS:000416220000073","View Full Record in Web of Science")</f>
        <v>View Full Record in Web of Science</v>
      </c>
    </row>
    <row r="345" ht="12.75" customHeight="1">
      <c r="A345" s="1" t="s">
        <v>65</v>
      </c>
      <c r="B345" s="1" t="s">
        <v>7228</v>
      </c>
      <c r="C345" s="1" t="s">
        <v>7229</v>
      </c>
      <c r="D345" s="1" t="s">
        <v>68</v>
      </c>
      <c r="E345" s="1" t="s">
        <v>7230</v>
      </c>
      <c r="F345" s="1" t="s">
        <v>1919</v>
      </c>
      <c r="G345" s="1" t="s">
        <v>68</v>
      </c>
      <c r="H345" s="1" t="s">
        <v>71</v>
      </c>
      <c r="I345" s="1" t="s">
        <v>72</v>
      </c>
      <c r="J345" s="1" t="s">
        <v>68</v>
      </c>
      <c r="K345" s="1" t="s">
        <v>68</v>
      </c>
      <c r="L345" s="1" t="s">
        <v>68</v>
      </c>
      <c r="M345" s="1" t="s">
        <v>68</v>
      </c>
      <c r="N345" s="1" t="s">
        <v>7231</v>
      </c>
      <c r="O345" s="1" t="s">
        <v>7232</v>
      </c>
      <c r="P345" s="1" t="s">
        <v>7233</v>
      </c>
      <c r="Q345" s="1" t="s">
        <v>7234</v>
      </c>
      <c r="R345" s="1" t="s">
        <v>7235</v>
      </c>
      <c r="S345" s="1" t="s">
        <v>7236</v>
      </c>
      <c r="T345" s="1" t="s">
        <v>7237</v>
      </c>
      <c r="U345" s="1" t="s">
        <v>7238</v>
      </c>
      <c r="V345" s="1" t="s">
        <v>7239</v>
      </c>
      <c r="W345" s="1" t="s">
        <v>7240</v>
      </c>
      <c r="X345" s="1" t="s">
        <v>7240</v>
      </c>
      <c r="Y345" s="1" t="s">
        <v>7241</v>
      </c>
      <c r="Z345" s="1">
        <v>64.0</v>
      </c>
      <c r="AA345" s="1">
        <v>2.0</v>
      </c>
      <c r="AB345" s="1">
        <v>2.0</v>
      </c>
      <c r="AC345" s="1">
        <v>2.0</v>
      </c>
      <c r="AD345" s="1">
        <v>17.0</v>
      </c>
      <c r="AE345" s="1" t="s">
        <v>1932</v>
      </c>
      <c r="AF345" s="1" t="s">
        <v>1933</v>
      </c>
      <c r="AG345" s="1" t="s">
        <v>1934</v>
      </c>
      <c r="AH345" s="1" t="s">
        <v>1935</v>
      </c>
      <c r="AI345" s="1" t="s">
        <v>1936</v>
      </c>
      <c r="AJ345" s="1" t="s">
        <v>68</v>
      </c>
      <c r="AK345" s="1" t="s">
        <v>1937</v>
      </c>
      <c r="AL345" s="1" t="s">
        <v>1938</v>
      </c>
      <c r="AM345" s="1" t="s">
        <v>5733</v>
      </c>
      <c r="AN345" s="1">
        <v>2025.0</v>
      </c>
      <c r="AO345" s="1">
        <v>15.0</v>
      </c>
      <c r="AP345" s="1">
        <v>1.0</v>
      </c>
      <c r="AQ345" s="1" t="s">
        <v>68</v>
      </c>
      <c r="AR345" s="1" t="s">
        <v>68</v>
      </c>
      <c r="AS345" s="1" t="s">
        <v>68</v>
      </c>
      <c r="AT345" s="1" t="s">
        <v>68</v>
      </c>
      <c r="AU345" s="1">
        <v>65.0</v>
      </c>
      <c r="AV345" s="1">
        <v>78.0</v>
      </c>
      <c r="AW345" s="1" t="s">
        <v>68</v>
      </c>
      <c r="AX345" s="1" t="s">
        <v>7242</v>
      </c>
      <c r="AY345" s="3" t="str">
        <f>HYPERLINK("http://dx.doi.org/10.1080/21548455.2024.2322417","http://dx.doi.org/10.1080/21548455.2024.2322417")</f>
        <v>http://dx.doi.org/10.1080/21548455.2024.2322417</v>
      </c>
      <c r="AZ345" s="1" t="s">
        <v>68</v>
      </c>
      <c r="BA345" s="1" t="s">
        <v>614</v>
      </c>
      <c r="BB345" s="1">
        <v>14.0</v>
      </c>
      <c r="BC345" s="1" t="s">
        <v>1942</v>
      </c>
      <c r="BD345" s="1" t="s">
        <v>197</v>
      </c>
      <c r="BE345" s="1" t="s">
        <v>1942</v>
      </c>
      <c r="BF345" s="1" t="s">
        <v>7243</v>
      </c>
      <c r="BG345" s="1" t="s">
        <v>68</v>
      </c>
      <c r="BH345" s="1" t="s">
        <v>68</v>
      </c>
      <c r="BI345" s="1" t="s">
        <v>68</v>
      </c>
      <c r="BJ345" s="1" t="s">
        <v>68</v>
      </c>
      <c r="BK345" s="1" t="s">
        <v>95</v>
      </c>
      <c r="BL345" s="1" t="s">
        <v>7244</v>
      </c>
      <c r="BM345" s="1" t="str">
        <f>HYPERLINK("https%3A%2F%2Fwww.webofscience.com%2Fwos%2Fwoscc%2Ffull-record%2FWOS:001173993600001","View Full Record in Web of Science")</f>
        <v>View Full Record in Web of Science</v>
      </c>
    </row>
    <row r="346" ht="12.75" customHeight="1">
      <c r="A346" s="1" t="s">
        <v>65</v>
      </c>
      <c r="B346" s="1" t="s">
        <v>7245</v>
      </c>
      <c r="C346" s="1" t="s">
        <v>7246</v>
      </c>
      <c r="D346" s="1" t="s">
        <v>68</v>
      </c>
      <c r="E346" s="1" t="s">
        <v>7247</v>
      </c>
      <c r="F346" s="1" t="s">
        <v>3197</v>
      </c>
      <c r="G346" s="1" t="s">
        <v>68</v>
      </c>
      <c r="H346" s="1" t="s">
        <v>71</v>
      </c>
      <c r="I346" s="1" t="s">
        <v>72</v>
      </c>
      <c r="J346" s="1" t="s">
        <v>68</v>
      </c>
      <c r="K346" s="1" t="s">
        <v>68</v>
      </c>
      <c r="L346" s="1" t="s">
        <v>68</v>
      </c>
      <c r="M346" s="1" t="s">
        <v>68</v>
      </c>
      <c r="N346" s="1" t="s">
        <v>7248</v>
      </c>
      <c r="O346" s="1" t="s">
        <v>7249</v>
      </c>
      <c r="P346" s="1" t="s">
        <v>7250</v>
      </c>
      <c r="Q346" s="1" t="s">
        <v>7251</v>
      </c>
      <c r="R346" s="1" t="s">
        <v>7252</v>
      </c>
      <c r="S346" s="1" t="s">
        <v>7253</v>
      </c>
      <c r="T346" s="1" t="s">
        <v>7254</v>
      </c>
      <c r="U346" s="1" t="s">
        <v>7255</v>
      </c>
      <c r="V346" s="1" t="s">
        <v>7256</v>
      </c>
      <c r="W346" s="1" t="s">
        <v>68</v>
      </c>
      <c r="X346" s="1" t="s">
        <v>68</v>
      </c>
      <c r="Y346" s="1" t="s">
        <v>68</v>
      </c>
      <c r="Z346" s="1">
        <v>72.0</v>
      </c>
      <c r="AA346" s="1">
        <v>109.0</v>
      </c>
      <c r="AB346" s="1">
        <v>119.0</v>
      </c>
      <c r="AC346" s="1">
        <v>3.0</v>
      </c>
      <c r="AD346" s="1">
        <v>53.0</v>
      </c>
      <c r="AE346" s="1" t="s">
        <v>114</v>
      </c>
      <c r="AF346" s="1" t="s">
        <v>1505</v>
      </c>
      <c r="AG346" s="1" t="s">
        <v>1506</v>
      </c>
      <c r="AH346" s="1" t="s">
        <v>3209</v>
      </c>
      <c r="AI346" s="1" t="s">
        <v>3210</v>
      </c>
      <c r="AJ346" s="1" t="s">
        <v>68</v>
      </c>
      <c r="AK346" s="1" t="s">
        <v>3211</v>
      </c>
      <c r="AL346" s="1" t="s">
        <v>3212</v>
      </c>
      <c r="AM346" s="1" t="s">
        <v>120</v>
      </c>
      <c r="AN346" s="1">
        <v>2019.0</v>
      </c>
      <c r="AO346" s="1">
        <v>21.0</v>
      </c>
      <c r="AP346" s="1">
        <v>12.0</v>
      </c>
      <c r="AQ346" s="1" t="s">
        <v>68</v>
      </c>
      <c r="AR346" s="1" t="s">
        <v>68</v>
      </c>
      <c r="AS346" s="1" t="s">
        <v>68</v>
      </c>
      <c r="AT346" s="1" t="s">
        <v>68</v>
      </c>
      <c r="AU346" s="1">
        <v>3707.0</v>
      </c>
      <c r="AV346" s="1">
        <v>3721.0</v>
      </c>
      <c r="AW346" s="1" t="s">
        <v>68</v>
      </c>
      <c r="AX346" s="1" t="s">
        <v>7257</v>
      </c>
      <c r="AY346" s="3" t="str">
        <f>HYPERLINK("http://dx.doi.org/10.1007/s10530-019-02083-w","http://dx.doi.org/10.1007/s10530-019-02083-w")</f>
        <v>http://dx.doi.org/10.1007/s10530-019-02083-w</v>
      </c>
      <c r="AZ346" s="1" t="s">
        <v>68</v>
      </c>
      <c r="BA346" s="1" t="s">
        <v>68</v>
      </c>
      <c r="BB346" s="1">
        <v>15.0</v>
      </c>
      <c r="BC346" s="1" t="s">
        <v>1011</v>
      </c>
      <c r="BD346" s="1" t="s">
        <v>279</v>
      </c>
      <c r="BE346" s="1" t="s">
        <v>123</v>
      </c>
      <c r="BF346" s="1" t="s">
        <v>7258</v>
      </c>
      <c r="BG346" s="1" t="s">
        <v>68</v>
      </c>
      <c r="BH346" s="1" t="s">
        <v>68</v>
      </c>
      <c r="BI346" s="1" t="s">
        <v>68</v>
      </c>
      <c r="BJ346" s="1" t="s">
        <v>68</v>
      </c>
      <c r="BK346" s="1" t="s">
        <v>95</v>
      </c>
      <c r="BL346" s="1" t="s">
        <v>7259</v>
      </c>
      <c r="BM346" s="1" t="str">
        <f>HYPERLINK("https%3A%2F%2Fwww.webofscience.com%2Fwos%2Fwoscc%2Ffull-record%2FWOS:000492419000020","View Full Record in Web of Science")</f>
        <v>View Full Record in Web of Science</v>
      </c>
    </row>
    <row r="347" ht="12.75" customHeight="1">
      <c r="A347" s="1" t="s">
        <v>65</v>
      </c>
      <c r="B347" s="1" t="s">
        <v>7260</v>
      </c>
      <c r="C347" s="1" t="s">
        <v>7261</v>
      </c>
      <c r="D347" s="1" t="s">
        <v>68</v>
      </c>
      <c r="E347" s="1" t="s">
        <v>7262</v>
      </c>
      <c r="F347" s="1" t="s">
        <v>6557</v>
      </c>
      <c r="G347" s="1" t="s">
        <v>68</v>
      </c>
      <c r="H347" s="1" t="s">
        <v>71</v>
      </c>
      <c r="I347" s="1" t="s">
        <v>72</v>
      </c>
      <c r="J347" s="1" t="s">
        <v>68</v>
      </c>
      <c r="K347" s="1" t="s">
        <v>68</v>
      </c>
      <c r="L347" s="1" t="s">
        <v>68</v>
      </c>
      <c r="M347" s="1" t="s">
        <v>68</v>
      </c>
      <c r="N347" s="1" t="s">
        <v>7263</v>
      </c>
      <c r="O347" s="1" t="s">
        <v>7264</v>
      </c>
      <c r="P347" s="1" t="s">
        <v>7265</v>
      </c>
      <c r="Q347" s="1" t="s">
        <v>7266</v>
      </c>
      <c r="R347" s="1" t="s">
        <v>7267</v>
      </c>
      <c r="S347" s="1" t="s">
        <v>7268</v>
      </c>
      <c r="T347" s="1" t="s">
        <v>7269</v>
      </c>
      <c r="U347" s="1" t="s">
        <v>7270</v>
      </c>
      <c r="V347" s="1" t="s">
        <v>7271</v>
      </c>
      <c r="W347" s="1" t="s">
        <v>7272</v>
      </c>
      <c r="X347" s="1" t="s">
        <v>7273</v>
      </c>
      <c r="Y347" s="1" t="s">
        <v>7274</v>
      </c>
      <c r="Z347" s="1">
        <v>62.0</v>
      </c>
      <c r="AA347" s="1">
        <v>0.0</v>
      </c>
      <c r="AB347" s="1">
        <v>0.0</v>
      </c>
      <c r="AC347" s="1">
        <v>1.0</v>
      </c>
      <c r="AD347" s="1">
        <v>4.0</v>
      </c>
      <c r="AE347" s="1" t="s">
        <v>1596</v>
      </c>
      <c r="AF347" s="1" t="s">
        <v>1182</v>
      </c>
      <c r="AG347" s="1" t="s">
        <v>1597</v>
      </c>
      <c r="AH347" s="1" t="s">
        <v>6570</v>
      </c>
      <c r="AI347" s="1" t="s">
        <v>6571</v>
      </c>
      <c r="AJ347" s="1" t="s">
        <v>68</v>
      </c>
      <c r="AK347" s="1" t="s">
        <v>6572</v>
      </c>
      <c r="AL347" s="1" t="s">
        <v>6573</v>
      </c>
      <c r="AM347" s="1" t="s">
        <v>1789</v>
      </c>
      <c r="AN347" s="1">
        <v>2024.0</v>
      </c>
      <c r="AO347" s="1">
        <v>190.0</v>
      </c>
      <c r="AP347" s="1" t="s">
        <v>68</v>
      </c>
      <c r="AQ347" s="1" t="s">
        <v>68</v>
      </c>
      <c r="AR347" s="1" t="s">
        <v>68</v>
      </c>
      <c r="AS347" s="1" t="s">
        <v>68</v>
      </c>
      <c r="AT347" s="1" t="s">
        <v>68</v>
      </c>
      <c r="AU347" s="1" t="s">
        <v>68</v>
      </c>
      <c r="AV347" s="1" t="s">
        <v>68</v>
      </c>
      <c r="AW347" s="1">
        <v>103728.0</v>
      </c>
      <c r="AX347" s="1" t="s">
        <v>7275</v>
      </c>
      <c r="AY347" s="3" t="str">
        <f>HYPERLINK("http://dx.doi.org/10.1016/j.aquabot.2023.103728","http://dx.doi.org/10.1016/j.aquabot.2023.103728")</f>
        <v>http://dx.doi.org/10.1016/j.aquabot.2023.103728</v>
      </c>
      <c r="AZ347" s="1" t="s">
        <v>68</v>
      </c>
      <c r="BA347" s="1" t="s">
        <v>1889</v>
      </c>
      <c r="BB347" s="1">
        <v>12.0</v>
      </c>
      <c r="BC347" s="1" t="s">
        <v>6575</v>
      </c>
      <c r="BD347" s="1" t="s">
        <v>92</v>
      </c>
      <c r="BE347" s="1" t="s">
        <v>6575</v>
      </c>
      <c r="BF347" s="1" t="s">
        <v>7276</v>
      </c>
      <c r="BG347" s="1" t="s">
        <v>68</v>
      </c>
      <c r="BH347" s="1" t="s">
        <v>68</v>
      </c>
      <c r="BI347" s="1" t="s">
        <v>68</v>
      </c>
      <c r="BJ347" s="1" t="s">
        <v>68</v>
      </c>
      <c r="BK347" s="1" t="s">
        <v>95</v>
      </c>
      <c r="BL347" s="1" t="s">
        <v>7277</v>
      </c>
      <c r="BM347" s="1" t="str">
        <f>HYPERLINK("https%3A%2F%2Fwww.webofscience.com%2Fwos%2Fwoscc%2Ffull-record%2FWOS:001118516500001","View Full Record in Web of Science")</f>
        <v>View Full Record in Web of Science</v>
      </c>
    </row>
    <row r="348" ht="12.75" customHeight="1">
      <c r="A348" s="1" t="s">
        <v>65</v>
      </c>
      <c r="B348" s="1" t="s">
        <v>7278</v>
      </c>
      <c r="C348" s="1" t="s">
        <v>7279</v>
      </c>
      <c r="D348" s="1" t="s">
        <v>68</v>
      </c>
      <c r="E348" s="1" t="s">
        <v>7280</v>
      </c>
      <c r="F348" s="1" t="s">
        <v>7281</v>
      </c>
      <c r="G348" s="1" t="s">
        <v>68</v>
      </c>
      <c r="H348" s="1" t="s">
        <v>71</v>
      </c>
      <c r="I348" s="1" t="s">
        <v>72</v>
      </c>
      <c r="J348" s="1" t="s">
        <v>68</v>
      </c>
      <c r="K348" s="1" t="s">
        <v>68</v>
      </c>
      <c r="L348" s="1" t="s">
        <v>68</v>
      </c>
      <c r="M348" s="1" t="s">
        <v>68</v>
      </c>
      <c r="N348" s="1" t="s">
        <v>7282</v>
      </c>
      <c r="O348" s="1" t="s">
        <v>68</v>
      </c>
      <c r="P348" s="1" t="s">
        <v>7283</v>
      </c>
      <c r="Q348" s="1" t="s">
        <v>7284</v>
      </c>
      <c r="R348" s="1" t="s">
        <v>7285</v>
      </c>
      <c r="S348" s="1" t="s">
        <v>7286</v>
      </c>
      <c r="T348" s="1" t="s">
        <v>7287</v>
      </c>
      <c r="U348" s="1" t="s">
        <v>7288</v>
      </c>
      <c r="V348" s="1" t="s">
        <v>7289</v>
      </c>
      <c r="W348" s="1" t="s">
        <v>7290</v>
      </c>
      <c r="X348" s="1" t="s">
        <v>7291</v>
      </c>
      <c r="Y348" s="1" t="s">
        <v>7292</v>
      </c>
      <c r="Z348" s="1">
        <v>43.0</v>
      </c>
      <c r="AA348" s="1">
        <v>4.0</v>
      </c>
      <c r="AB348" s="1">
        <v>4.0</v>
      </c>
      <c r="AC348" s="1">
        <v>2.0</v>
      </c>
      <c r="AD348" s="1">
        <v>10.0</v>
      </c>
      <c r="AE348" s="1" t="s">
        <v>247</v>
      </c>
      <c r="AF348" s="1" t="s">
        <v>248</v>
      </c>
      <c r="AG348" s="1" t="s">
        <v>351</v>
      </c>
      <c r="AH348" s="1" t="s">
        <v>68</v>
      </c>
      <c r="AI348" s="1" t="s">
        <v>7293</v>
      </c>
      <c r="AJ348" s="1" t="s">
        <v>68</v>
      </c>
      <c r="AK348" s="1" t="s">
        <v>7294</v>
      </c>
      <c r="AL348" s="1" t="s">
        <v>7295</v>
      </c>
      <c r="AM348" s="1" t="s">
        <v>428</v>
      </c>
      <c r="AN348" s="1">
        <v>2024.0</v>
      </c>
      <c r="AO348" s="1">
        <v>24.0</v>
      </c>
      <c r="AP348" s="1">
        <v>19.0</v>
      </c>
      <c r="AQ348" s="1" t="s">
        <v>68</v>
      </c>
      <c r="AR348" s="1" t="s">
        <v>68</v>
      </c>
      <c r="AS348" s="1" t="s">
        <v>68</v>
      </c>
      <c r="AT348" s="1" t="s">
        <v>68</v>
      </c>
      <c r="AU348" s="1" t="s">
        <v>68</v>
      </c>
      <c r="AV348" s="1" t="s">
        <v>68</v>
      </c>
      <c r="AW348" s="1">
        <v>6425.0</v>
      </c>
      <c r="AX348" s="1" t="s">
        <v>7296</v>
      </c>
      <c r="AY348" s="3" t="str">
        <f>HYPERLINK("http://dx.doi.org/10.3390/s24196425","http://dx.doi.org/10.3390/s24196425")</f>
        <v>http://dx.doi.org/10.3390/s24196425</v>
      </c>
      <c r="AZ348" s="1" t="s">
        <v>68</v>
      </c>
      <c r="BA348" s="1" t="s">
        <v>68</v>
      </c>
      <c r="BB348" s="1">
        <v>21.0</v>
      </c>
      <c r="BC348" s="1" t="s">
        <v>7297</v>
      </c>
      <c r="BD348" s="1" t="s">
        <v>92</v>
      </c>
      <c r="BE348" s="1" t="s">
        <v>7298</v>
      </c>
      <c r="BF348" s="1" t="s">
        <v>7299</v>
      </c>
      <c r="BG348" s="1">
        <v>3.9409465E7</v>
      </c>
      <c r="BH348" s="1" t="s">
        <v>94</v>
      </c>
      <c r="BI348" s="1" t="s">
        <v>68</v>
      </c>
      <c r="BJ348" s="1" t="s">
        <v>68</v>
      </c>
      <c r="BK348" s="1" t="s">
        <v>95</v>
      </c>
      <c r="BL348" s="1" t="s">
        <v>7300</v>
      </c>
      <c r="BM348" s="1" t="str">
        <f>HYPERLINK("https%3A%2F%2Fwww.webofscience.com%2Fwos%2Fwoscc%2Ffull-record%2FWOS:001334087800001","View Full Record in Web of Science")</f>
        <v>View Full Record in Web of Science</v>
      </c>
    </row>
    <row r="349" ht="12.75" customHeight="1">
      <c r="A349" s="1" t="s">
        <v>65</v>
      </c>
      <c r="B349" s="1" t="s">
        <v>7301</v>
      </c>
      <c r="C349" s="1" t="s">
        <v>7302</v>
      </c>
      <c r="D349" s="1" t="s">
        <v>68</v>
      </c>
      <c r="E349" s="1" t="s">
        <v>7303</v>
      </c>
      <c r="F349" s="1" t="s">
        <v>2330</v>
      </c>
      <c r="G349" s="1" t="s">
        <v>68</v>
      </c>
      <c r="H349" s="1" t="s">
        <v>71</v>
      </c>
      <c r="I349" s="1" t="s">
        <v>72</v>
      </c>
      <c r="J349" s="1" t="s">
        <v>68</v>
      </c>
      <c r="K349" s="1" t="s">
        <v>68</v>
      </c>
      <c r="L349" s="1" t="s">
        <v>68</v>
      </c>
      <c r="M349" s="1" t="s">
        <v>68</v>
      </c>
      <c r="N349" s="1" t="s">
        <v>7304</v>
      </c>
      <c r="O349" s="1" t="s">
        <v>7305</v>
      </c>
      <c r="P349" s="1" t="s">
        <v>7306</v>
      </c>
      <c r="Q349" s="1" t="s">
        <v>7307</v>
      </c>
      <c r="R349" s="1" t="s">
        <v>7308</v>
      </c>
      <c r="S349" s="1" t="s">
        <v>7309</v>
      </c>
      <c r="T349" s="1" t="s">
        <v>7310</v>
      </c>
      <c r="U349" s="1" t="s">
        <v>7311</v>
      </c>
      <c r="V349" s="1" t="s">
        <v>7312</v>
      </c>
      <c r="W349" s="1" t="s">
        <v>7313</v>
      </c>
      <c r="X349" s="1" t="s">
        <v>7314</v>
      </c>
      <c r="Y349" s="1" t="s">
        <v>7315</v>
      </c>
      <c r="Z349" s="1">
        <v>111.0</v>
      </c>
      <c r="AA349" s="1">
        <v>3.0</v>
      </c>
      <c r="AB349" s="1">
        <v>3.0</v>
      </c>
      <c r="AC349" s="1">
        <v>6.0</v>
      </c>
      <c r="AD349" s="1">
        <v>11.0</v>
      </c>
      <c r="AE349" s="1" t="s">
        <v>953</v>
      </c>
      <c r="AF349" s="1" t="s">
        <v>423</v>
      </c>
      <c r="AG349" s="1" t="s">
        <v>954</v>
      </c>
      <c r="AH349" s="1" t="s">
        <v>2342</v>
      </c>
      <c r="AI349" s="1" t="s">
        <v>2343</v>
      </c>
      <c r="AJ349" s="1" t="s">
        <v>68</v>
      </c>
      <c r="AK349" s="1" t="s">
        <v>2344</v>
      </c>
      <c r="AL349" s="1" t="s">
        <v>2345</v>
      </c>
      <c r="AM349" s="1" t="s">
        <v>2194</v>
      </c>
      <c r="AN349" s="1">
        <v>2025.0</v>
      </c>
      <c r="AO349" s="1">
        <v>213.0</v>
      </c>
      <c r="AP349" s="1" t="s">
        <v>68</v>
      </c>
      <c r="AQ349" s="1" t="s">
        <v>68</v>
      </c>
      <c r="AR349" s="1" t="s">
        <v>68</v>
      </c>
      <c r="AS349" s="1" t="s">
        <v>68</v>
      </c>
      <c r="AT349" s="1" t="s">
        <v>68</v>
      </c>
      <c r="AU349" s="1" t="s">
        <v>68</v>
      </c>
      <c r="AV349" s="1" t="s">
        <v>68</v>
      </c>
      <c r="AW349" s="1">
        <v>117638.0</v>
      </c>
      <c r="AX349" s="1" t="s">
        <v>7316</v>
      </c>
      <c r="AY349" s="3" t="str">
        <f>HYPERLINK("http://dx.doi.org/10.1016/j.marpolbul.2025.117638","http://dx.doi.org/10.1016/j.marpolbul.2025.117638")</f>
        <v>http://dx.doi.org/10.1016/j.marpolbul.2025.117638</v>
      </c>
      <c r="AZ349" s="1" t="s">
        <v>68</v>
      </c>
      <c r="BA349" s="1" t="s">
        <v>5627</v>
      </c>
      <c r="BB349" s="1">
        <v>17.0</v>
      </c>
      <c r="BC349" s="1" t="s">
        <v>2349</v>
      </c>
      <c r="BD349" s="1" t="s">
        <v>92</v>
      </c>
      <c r="BE349" s="1" t="s">
        <v>2350</v>
      </c>
      <c r="BF349" s="1" t="s">
        <v>7317</v>
      </c>
      <c r="BG349" s="1">
        <v>3.9938198E7</v>
      </c>
      <c r="BH349" s="1" t="s">
        <v>644</v>
      </c>
      <c r="BI349" s="1" t="s">
        <v>68</v>
      </c>
      <c r="BJ349" s="1" t="s">
        <v>68</v>
      </c>
      <c r="BK349" s="1" t="s">
        <v>95</v>
      </c>
      <c r="BL349" s="1" t="s">
        <v>7318</v>
      </c>
      <c r="BM349" s="1" t="str">
        <f>HYPERLINK("https%3A%2F%2Fwww.webofscience.com%2Fwos%2Fwoscc%2Ffull-record%2FWOS:001426325300001","View Full Record in Web of Science")</f>
        <v>View Full Record in Web of Science</v>
      </c>
    </row>
    <row r="350" ht="12.75" customHeight="1">
      <c r="A350" s="1" t="s">
        <v>65</v>
      </c>
      <c r="B350" s="1" t="s">
        <v>7319</v>
      </c>
      <c r="C350" s="1" t="s">
        <v>7320</v>
      </c>
      <c r="D350" s="1" t="s">
        <v>68</v>
      </c>
      <c r="E350" s="1" t="s">
        <v>7321</v>
      </c>
      <c r="F350" s="1" t="s">
        <v>1106</v>
      </c>
      <c r="G350" s="1" t="s">
        <v>68</v>
      </c>
      <c r="H350" s="1" t="s">
        <v>71</v>
      </c>
      <c r="I350" s="1" t="s">
        <v>72</v>
      </c>
      <c r="J350" s="1" t="s">
        <v>68</v>
      </c>
      <c r="K350" s="1" t="s">
        <v>68</v>
      </c>
      <c r="L350" s="1" t="s">
        <v>68</v>
      </c>
      <c r="M350" s="1" t="s">
        <v>68</v>
      </c>
      <c r="N350" s="1" t="s">
        <v>7322</v>
      </c>
      <c r="O350" s="1" t="s">
        <v>7323</v>
      </c>
      <c r="P350" s="1" t="s">
        <v>7324</v>
      </c>
      <c r="Q350" s="1" t="s">
        <v>7325</v>
      </c>
      <c r="R350" s="1" t="s">
        <v>7326</v>
      </c>
      <c r="S350" s="1" t="s">
        <v>7327</v>
      </c>
      <c r="T350" s="1" t="s">
        <v>7328</v>
      </c>
      <c r="U350" s="1" t="s">
        <v>7329</v>
      </c>
      <c r="V350" s="1" t="s">
        <v>7330</v>
      </c>
      <c r="W350" s="1" t="s">
        <v>7331</v>
      </c>
      <c r="X350" s="1" t="s">
        <v>7332</v>
      </c>
      <c r="Y350" s="1" t="s">
        <v>7333</v>
      </c>
      <c r="Z350" s="1">
        <v>43.0</v>
      </c>
      <c r="AA350" s="1">
        <v>10.0</v>
      </c>
      <c r="AB350" s="1">
        <v>11.0</v>
      </c>
      <c r="AC350" s="1">
        <v>0.0</v>
      </c>
      <c r="AD350" s="1">
        <v>12.0</v>
      </c>
      <c r="AE350" s="1" t="s">
        <v>83</v>
      </c>
      <c r="AF350" s="1" t="s">
        <v>84</v>
      </c>
      <c r="AG350" s="1" t="s">
        <v>85</v>
      </c>
      <c r="AH350" s="1" t="s">
        <v>68</v>
      </c>
      <c r="AI350" s="1" t="s">
        <v>1119</v>
      </c>
      <c r="AJ350" s="1" t="s">
        <v>68</v>
      </c>
      <c r="AK350" s="1" t="s">
        <v>1120</v>
      </c>
      <c r="AL350" s="1" t="s">
        <v>1121</v>
      </c>
      <c r="AM350" s="1" t="s">
        <v>1911</v>
      </c>
      <c r="AN350" s="1">
        <v>2021.0</v>
      </c>
      <c r="AO350" s="1">
        <v>8.0</v>
      </c>
      <c r="AP350" s="1" t="s">
        <v>68</v>
      </c>
      <c r="AQ350" s="1" t="s">
        <v>68</v>
      </c>
      <c r="AR350" s="1" t="s">
        <v>68</v>
      </c>
      <c r="AS350" s="1" t="s">
        <v>68</v>
      </c>
      <c r="AT350" s="1" t="s">
        <v>68</v>
      </c>
      <c r="AU350" s="1" t="s">
        <v>68</v>
      </c>
      <c r="AV350" s="1" t="s">
        <v>68</v>
      </c>
      <c r="AW350" s="1">
        <v>619898.0</v>
      </c>
      <c r="AX350" s="1" t="s">
        <v>7334</v>
      </c>
      <c r="AY350" s="3" t="str">
        <f>HYPERLINK("http://dx.doi.org/10.3389/fmars.2021.619898","http://dx.doi.org/10.3389/fmars.2021.619898")</f>
        <v>http://dx.doi.org/10.3389/fmars.2021.619898</v>
      </c>
      <c r="AZ350" s="1" t="s">
        <v>68</v>
      </c>
      <c r="BA350" s="1" t="s">
        <v>68</v>
      </c>
      <c r="BB350" s="1">
        <v>19.0</v>
      </c>
      <c r="BC350" s="1" t="s">
        <v>1124</v>
      </c>
      <c r="BD350" s="1" t="s">
        <v>92</v>
      </c>
      <c r="BE350" s="1" t="s">
        <v>1125</v>
      </c>
      <c r="BF350" s="1" t="s">
        <v>7335</v>
      </c>
      <c r="BG350" s="1" t="s">
        <v>68</v>
      </c>
      <c r="BH350" s="1" t="s">
        <v>94</v>
      </c>
      <c r="BI350" s="1" t="s">
        <v>68</v>
      </c>
      <c r="BJ350" s="1" t="s">
        <v>68</v>
      </c>
      <c r="BK350" s="1" t="s">
        <v>95</v>
      </c>
      <c r="BL350" s="1" t="s">
        <v>7336</v>
      </c>
      <c r="BM350" s="1" t="str">
        <f>HYPERLINK("https%3A%2F%2Fwww.webofscience.com%2Fwos%2Fwoscc%2Ffull-record%2FWOS:000689513300001","View Full Record in Web of Science")</f>
        <v>View Full Record in Web of Science</v>
      </c>
    </row>
    <row r="351" ht="12.75" customHeight="1">
      <c r="A351" s="1" t="s">
        <v>65</v>
      </c>
      <c r="B351" s="1" t="s">
        <v>7337</v>
      </c>
      <c r="C351" s="1" t="s">
        <v>7338</v>
      </c>
      <c r="D351" s="1" t="s">
        <v>68</v>
      </c>
      <c r="E351" s="1" t="s">
        <v>7339</v>
      </c>
      <c r="F351" s="1" t="s">
        <v>1895</v>
      </c>
      <c r="G351" s="1" t="s">
        <v>68</v>
      </c>
      <c r="H351" s="1" t="s">
        <v>71</v>
      </c>
      <c r="I351" s="1" t="s">
        <v>72</v>
      </c>
      <c r="J351" s="1" t="s">
        <v>68</v>
      </c>
      <c r="K351" s="1" t="s">
        <v>68</v>
      </c>
      <c r="L351" s="1" t="s">
        <v>68</v>
      </c>
      <c r="M351" s="1" t="s">
        <v>68</v>
      </c>
      <c r="N351" s="1" t="s">
        <v>68</v>
      </c>
      <c r="O351" s="1" t="s">
        <v>7340</v>
      </c>
      <c r="P351" s="1" t="s">
        <v>7341</v>
      </c>
      <c r="Q351" s="1" t="s">
        <v>7342</v>
      </c>
      <c r="R351" s="1" t="s">
        <v>7343</v>
      </c>
      <c r="S351" s="1" t="s">
        <v>7344</v>
      </c>
      <c r="T351" s="1" t="s">
        <v>7345</v>
      </c>
      <c r="U351" s="1" t="s">
        <v>68</v>
      </c>
      <c r="V351" s="1" t="s">
        <v>7346</v>
      </c>
      <c r="W351" s="1" t="s">
        <v>68</v>
      </c>
      <c r="X351" s="1" t="s">
        <v>68</v>
      </c>
      <c r="Y351" s="1" t="s">
        <v>68</v>
      </c>
      <c r="Z351" s="1">
        <v>34.0</v>
      </c>
      <c r="AA351" s="1">
        <v>20.0</v>
      </c>
      <c r="AB351" s="1">
        <v>23.0</v>
      </c>
      <c r="AC351" s="1">
        <v>0.0</v>
      </c>
      <c r="AD351" s="1">
        <v>18.0</v>
      </c>
      <c r="AE351" s="1" t="s">
        <v>1906</v>
      </c>
      <c r="AF351" s="1" t="s">
        <v>1907</v>
      </c>
      <c r="AG351" s="1" t="s">
        <v>1908</v>
      </c>
      <c r="AH351" s="1" t="s">
        <v>1909</v>
      </c>
      <c r="AI351" s="1" t="s">
        <v>68</v>
      </c>
      <c r="AJ351" s="1" t="s">
        <v>68</v>
      </c>
      <c r="AK351" s="1" t="s">
        <v>1895</v>
      </c>
      <c r="AL351" s="1" t="s">
        <v>1910</v>
      </c>
      <c r="AM351" s="1" t="s">
        <v>7347</v>
      </c>
      <c r="AN351" s="1">
        <v>2020.0</v>
      </c>
      <c r="AO351" s="1">
        <v>15.0</v>
      </c>
      <c r="AP351" s="1">
        <v>1.0</v>
      </c>
      <c r="AQ351" s="1" t="s">
        <v>68</v>
      </c>
      <c r="AR351" s="1" t="s">
        <v>68</v>
      </c>
      <c r="AS351" s="1" t="s">
        <v>68</v>
      </c>
      <c r="AT351" s="1" t="s">
        <v>68</v>
      </c>
      <c r="AU351" s="1" t="s">
        <v>68</v>
      </c>
      <c r="AV351" s="1" t="s">
        <v>68</v>
      </c>
      <c r="AW351" s="1" t="s">
        <v>7348</v>
      </c>
      <c r="AX351" s="1" t="s">
        <v>7349</v>
      </c>
      <c r="AY351" s="3" t="str">
        <f>HYPERLINK("http://dx.doi.org/10.1371/journal.pone.0227540","http://dx.doi.org/10.1371/journal.pone.0227540")</f>
        <v>http://dx.doi.org/10.1371/journal.pone.0227540</v>
      </c>
      <c r="AZ351" s="1" t="s">
        <v>68</v>
      </c>
      <c r="BA351" s="1" t="s">
        <v>68</v>
      </c>
      <c r="BB351" s="1">
        <v>16.0</v>
      </c>
      <c r="BC351" s="1" t="s">
        <v>742</v>
      </c>
      <c r="BD351" s="1" t="s">
        <v>92</v>
      </c>
      <c r="BE351" s="1" t="s">
        <v>743</v>
      </c>
      <c r="BF351" s="1" t="s">
        <v>7350</v>
      </c>
      <c r="BG351" s="1">
        <v>3.199558E7</v>
      </c>
      <c r="BH351" s="1" t="s">
        <v>94</v>
      </c>
      <c r="BI351" s="1" t="s">
        <v>68</v>
      </c>
      <c r="BJ351" s="1" t="s">
        <v>68</v>
      </c>
      <c r="BK351" s="1" t="s">
        <v>95</v>
      </c>
      <c r="BL351" s="1" t="s">
        <v>7351</v>
      </c>
      <c r="BM351" s="1" t="str">
        <f>HYPERLINK("https%3A%2F%2Fwww.webofscience.com%2Fwos%2Fwoscc%2Ffull-record%2FWOS:000534609400023","View Full Record in Web of Science")</f>
        <v>View Full Record in Web of Science</v>
      </c>
    </row>
    <row r="352" ht="12.75" customHeight="1">
      <c r="A352" s="1" t="s">
        <v>65</v>
      </c>
      <c r="B352" s="1" t="s">
        <v>7352</v>
      </c>
      <c r="C352" s="1" t="s">
        <v>7353</v>
      </c>
      <c r="D352" s="1" t="s">
        <v>68</v>
      </c>
      <c r="E352" s="1" t="s">
        <v>7354</v>
      </c>
      <c r="F352" s="1" t="s">
        <v>7355</v>
      </c>
      <c r="G352" s="1" t="s">
        <v>68</v>
      </c>
      <c r="H352" s="1" t="s">
        <v>71</v>
      </c>
      <c r="I352" s="1" t="s">
        <v>72</v>
      </c>
      <c r="J352" s="1" t="s">
        <v>68</v>
      </c>
      <c r="K352" s="1" t="s">
        <v>68</v>
      </c>
      <c r="L352" s="1" t="s">
        <v>68</v>
      </c>
      <c r="M352" s="1" t="s">
        <v>68</v>
      </c>
      <c r="N352" s="1" t="s">
        <v>7356</v>
      </c>
      <c r="O352" s="1" t="s">
        <v>7357</v>
      </c>
      <c r="P352" s="1" t="s">
        <v>7358</v>
      </c>
      <c r="Q352" s="1" t="s">
        <v>7359</v>
      </c>
      <c r="R352" s="1" t="s">
        <v>4695</v>
      </c>
      <c r="S352" s="1" t="s">
        <v>7360</v>
      </c>
      <c r="T352" s="1" t="s">
        <v>7361</v>
      </c>
      <c r="U352" s="1" t="s">
        <v>7362</v>
      </c>
      <c r="V352" s="1" t="s">
        <v>7363</v>
      </c>
      <c r="W352" s="1" t="s">
        <v>7364</v>
      </c>
      <c r="X352" s="1" t="s">
        <v>7365</v>
      </c>
      <c r="Y352" s="1" t="s">
        <v>7366</v>
      </c>
      <c r="Z352" s="1">
        <v>76.0</v>
      </c>
      <c r="AA352" s="1">
        <v>0.0</v>
      </c>
      <c r="AB352" s="1">
        <v>0.0</v>
      </c>
      <c r="AC352" s="1">
        <v>2.0</v>
      </c>
      <c r="AD352" s="1">
        <v>8.0</v>
      </c>
      <c r="AE352" s="1" t="s">
        <v>1932</v>
      </c>
      <c r="AF352" s="1" t="s">
        <v>1933</v>
      </c>
      <c r="AG352" s="1" t="s">
        <v>1934</v>
      </c>
      <c r="AH352" s="1" t="s">
        <v>7367</v>
      </c>
      <c r="AI352" s="1" t="s">
        <v>7368</v>
      </c>
      <c r="AJ352" s="1" t="s">
        <v>68</v>
      </c>
      <c r="AK352" s="1" t="s">
        <v>7369</v>
      </c>
      <c r="AL352" s="1" t="s">
        <v>7370</v>
      </c>
      <c r="AM352" s="1" t="s">
        <v>7371</v>
      </c>
      <c r="AN352" s="1">
        <v>2025.0</v>
      </c>
      <c r="AO352" s="1">
        <v>40.0</v>
      </c>
      <c r="AP352" s="1">
        <v>4.0</v>
      </c>
      <c r="AQ352" s="1" t="s">
        <v>68</v>
      </c>
      <c r="AR352" s="1" t="s">
        <v>68</v>
      </c>
      <c r="AS352" s="1" t="s">
        <v>68</v>
      </c>
      <c r="AT352" s="1" t="s">
        <v>68</v>
      </c>
      <c r="AU352" s="1">
        <v>823.0</v>
      </c>
      <c r="AV352" s="1">
        <v>840.0</v>
      </c>
      <c r="AW352" s="1" t="s">
        <v>68</v>
      </c>
      <c r="AX352" s="1" t="s">
        <v>7372</v>
      </c>
      <c r="AY352" s="3" t="str">
        <f>HYPERLINK("http://dx.doi.org/10.1080/02697459.2025.2495613","http://dx.doi.org/10.1080/02697459.2025.2495613")</f>
        <v>http://dx.doi.org/10.1080/02697459.2025.2495613</v>
      </c>
      <c r="AZ352" s="1" t="s">
        <v>68</v>
      </c>
      <c r="BA352" s="1" t="s">
        <v>3586</v>
      </c>
      <c r="BB352" s="1">
        <v>18.0</v>
      </c>
      <c r="BC352" s="1" t="s">
        <v>4711</v>
      </c>
      <c r="BD352" s="1" t="s">
        <v>197</v>
      </c>
      <c r="BE352" s="1" t="s">
        <v>4712</v>
      </c>
      <c r="BF352" s="1" t="s">
        <v>7373</v>
      </c>
      <c r="BG352" s="1" t="s">
        <v>68</v>
      </c>
      <c r="BH352" s="1" t="s">
        <v>68</v>
      </c>
      <c r="BI352" s="1" t="s">
        <v>68</v>
      </c>
      <c r="BJ352" s="1" t="s">
        <v>68</v>
      </c>
      <c r="BK352" s="1" t="s">
        <v>95</v>
      </c>
      <c r="BL352" s="1" t="s">
        <v>7374</v>
      </c>
      <c r="BM352" s="1" t="str">
        <f>HYPERLINK("https%3A%2F%2Fwww.webofscience.com%2Fwos%2Fwoscc%2Ffull-record%2FWOS:001477868100001","View Full Record in Web of Science")</f>
        <v>View Full Record in Web of Science</v>
      </c>
    </row>
    <row r="353" ht="12.75" customHeight="1">
      <c r="A353" s="1" t="s">
        <v>65</v>
      </c>
      <c r="B353" s="1" t="s">
        <v>7375</v>
      </c>
      <c r="C353" s="1" t="s">
        <v>7376</v>
      </c>
      <c r="D353" s="1" t="s">
        <v>68</v>
      </c>
      <c r="E353" s="1" t="s">
        <v>7377</v>
      </c>
      <c r="F353" s="1" t="s">
        <v>1468</v>
      </c>
      <c r="G353" s="1" t="s">
        <v>68</v>
      </c>
      <c r="H353" s="1" t="s">
        <v>71</v>
      </c>
      <c r="I353" s="1" t="s">
        <v>72</v>
      </c>
      <c r="J353" s="1" t="s">
        <v>68</v>
      </c>
      <c r="K353" s="1" t="s">
        <v>68</v>
      </c>
      <c r="L353" s="1" t="s">
        <v>68</v>
      </c>
      <c r="M353" s="1" t="s">
        <v>68</v>
      </c>
      <c r="N353" s="1" t="s">
        <v>7378</v>
      </c>
      <c r="O353" s="1" t="s">
        <v>7379</v>
      </c>
      <c r="P353" s="1" t="s">
        <v>7380</v>
      </c>
      <c r="Q353" s="1" t="s">
        <v>7381</v>
      </c>
      <c r="R353" s="1" t="s">
        <v>7382</v>
      </c>
      <c r="S353" s="1" t="s">
        <v>7383</v>
      </c>
      <c r="T353" s="1" t="s">
        <v>5877</v>
      </c>
      <c r="U353" s="1" t="s">
        <v>68</v>
      </c>
      <c r="V353" s="1" t="s">
        <v>68</v>
      </c>
      <c r="W353" s="1" t="s">
        <v>7384</v>
      </c>
      <c r="X353" s="1" t="s">
        <v>7385</v>
      </c>
      <c r="Y353" s="1" t="s">
        <v>7386</v>
      </c>
      <c r="Z353" s="1">
        <v>96.0</v>
      </c>
      <c r="AA353" s="1">
        <v>0.0</v>
      </c>
      <c r="AB353" s="1">
        <v>0.0</v>
      </c>
      <c r="AC353" s="1">
        <v>4.0</v>
      </c>
      <c r="AD353" s="1">
        <v>4.0</v>
      </c>
      <c r="AE353" s="1" t="s">
        <v>1481</v>
      </c>
      <c r="AF353" s="1" t="s">
        <v>663</v>
      </c>
      <c r="AG353" s="1" t="s">
        <v>1482</v>
      </c>
      <c r="AH353" s="1" t="s">
        <v>1483</v>
      </c>
      <c r="AI353" s="1" t="s">
        <v>68</v>
      </c>
      <c r="AJ353" s="1" t="s">
        <v>68</v>
      </c>
      <c r="AK353" s="1" t="s">
        <v>1468</v>
      </c>
      <c r="AL353" s="1" t="s">
        <v>1484</v>
      </c>
      <c r="AM353" s="1" t="s">
        <v>7387</v>
      </c>
      <c r="AN353" s="1">
        <v>2025.0</v>
      </c>
      <c r="AO353" s="1">
        <v>13.0</v>
      </c>
      <c r="AP353" s="1" t="s">
        <v>68</v>
      </c>
      <c r="AQ353" s="1" t="s">
        <v>68</v>
      </c>
      <c r="AR353" s="1" t="s">
        <v>68</v>
      </c>
      <c r="AS353" s="1" t="s">
        <v>68</v>
      </c>
      <c r="AT353" s="1" t="s">
        <v>68</v>
      </c>
      <c r="AU353" s="1" t="s">
        <v>68</v>
      </c>
      <c r="AV353" s="1" t="s">
        <v>68</v>
      </c>
      <c r="AW353" s="1" t="s">
        <v>7388</v>
      </c>
      <c r="AX353" s="1" t="s">
        <v>7389</v>
      </c>
      <c r="AY353" s="3" t="str">
        <f>HYPERLINK("http://dx.doi.org/10.7717/peerj.19793","http://dx.doi.org/10.7717/peerj.19793")</f>
        <v>http://dx.doi.org/10.7717/peerj.19793</v>
      </c>
      <c r="AZ353" s="1" t="s">
        <v>68</v>
      </c>
      <c r="BA353" s="1" t="s">
        <v>68</v>
      </c>
      <c r="BB353" s="1">
        <v>28.0</v>
      </c>
      <c r="BC353" s="1" t="s">
        <v>742</v>
      </c>
      <c r="BD353" s="1" t="s">
        <v>92</v>
      </c>
      <c r="BE353" s="1" t="s">
        <v>743</v>
      </c>
      <c r="BF353" s="1" t="s">
        <v>7390</v>
      </c>
      <c r="BG353" s="1">
        <v>4.0852385E7</v>
      </c>
      <c r="BH353" s="1" t="s">
        <v>94</v>
      </c>
      <c r="BI353" s="1" t="s">
        <v>68</v>
      </c>
      <c r="BJ353" s="1" t="s">
        <v>68</v>
      </c>
      <c r="BK353" s="1" t="s">
        <v>95</v>
      </c>
      <c r="BL353" s="1" t="s">
        <v>7391</v>
      </c>
      <c r="BM353" s="1" t="str">
        <f>HYPERLINK("https%3A%2F%2Fwww.webofscience.com%2Fwos%2Fwoscc%2Ffull-record%2FWOS:001569055400001","View Full Record in Web of Science")</f>
        <v>View Full Record in Web of Science</v>
      </c>
    </row>
    <row r="354" ht="12.75" customHeight="1">
      <c r="A354" s="1" t="s">
        <v>65</v>
      </c>
      <c r="B354" s="1" t="s">
        <v>7392</v>
      </c>
      <c r="C354" s="1" t="s">
        <v>7393</v>
      </c>
      <c r="D354" s="1" t="s">
        <v>68</v>
      </c>
      <c r="E354" s="1" t="s">
        <v>7394</v>
      </c>
      <c r="F354" s="1" t="s">
        <v>7395</v>
      </c>
      <c r="G354" s="1" t="s">
        <v>68</v>
      </c>
      <c r="H354" s="1" t="s">
        <v>71</v>
      </c>
      <c r="I354" s="1" t="s">
        <v>72</v>
      </c>
      <c r="J354" s="1" t="s">
        <v>68</v>
      </c>
      <c r="K354" s="1" t="s">
        <v>68</v>
      </c>
      <c r="L354" s="1" t="s">
        <v>68</v>
      </c>
      <c r="M354" s="1" t="s">
        <v>68</v>
      </c>
      <c r="N354" s="1" t="s">
        <v>7396</v>
      </c>
      <c r="O354" s="1" t="s">
        <v>7397</v>
      </c>
      <c r="P354" s="1" t="s">
        <v>7398</v>
      </c>
      <c r="Q354" s="1" t="s">
        <v>7399</v>
      </c>
      <c r="R354" s="1" t="s">
        <v>7400</v>
      </c>
      <c r="S354" s="1" t="s">
        <v>7401</v>
      </c>
      <c r="T354" s="1" t="s">
        <v>7402</v>
      </c>
      <c r="U354" s="1" t="s">
        <v>7403</v>
      </c>
      <c r="V354" s="1" t="s">
        <v>7404</v>
      </c>
      <c r="W354" s="1" t="s">
        <v>7405</v>
      </c>
      <c r="X354" s="1" t="s">
        <v>7406</v>
      </c>
      <c r="Y354" s="1" t="s">
        <v>7407</v>
      </c>
      <c r="Z354" s="1">
        <v>66.0</v>
      </c>
      <c r="AA354" s="1">
        <v>8.0</v>
      </c>
      <c r="AB354" s="1">
        <v>8.0</v>
      </c>
      <c r="AC354" s="1">
        <v>1.0</v>
      </c>
      <c r="AD354" s="1">
        <v>23.0</v>
      </c>
      <c r="AE354" s="1" t="s">
        <v>2282</v>
      </c>
      <c r="AF354" s="1" t="s">
        <v>1933</v>
      </c>
      <c r="AG354" s="1" t="s">
        <v>2283</v>
      </c>
      <c r="AH354" s="1" t="s">
        <v>68</v>
      </c>
      <c r="AI354" s="1" t="s">
        <v>7408</v>
      </c>
      <c r="AJ354" s="1" t="s">
        <v>68</v>
      </c>
      <c r="AK354" s="1" t="s">
        <v>7409</v>
      </c>
      <c r="AL354" s="1" t="s">
        <v>7410</v>
      </c>
      <c r="AM354" s="1" t="s">
        <v>7411</v>
      </c>
      <c r="AN354" s="1">
        <v>2022.0</v>
      </c>
      <c r="AO354" s="1">
        <v>55.0</v>
      </c>
      <c r="AP354" s="1">
        <v>1.0</v>
      </c>
      <c r="AQ354" s="1" t="s">
        <v>68</v>
      </c>
      <c r="AR354" s="1" t="s">
        <v>68</v>
      </c>
      <c r="AS354" s="1" t="s">
        <v>68</v>
      </c>
      <c r="AT354" s="1" t="s">
        <v>68</v>
      </c>
      <c r="AU354" s="1">
        <v>388.0</v>
      </c>
      <c r="AV354" s="1">
        <v>408.0</v>
      </c>
      <c r="AW354" s="1" t="s">
        <v>68</v>
      </c>
      <c r="AX354" s="1" t="s">
        <v>7412</v>
      </c>
      <c r="AY354" s="3" t="str">
        <f>HYPERLINK("http://dx.doi.org/10.1080/22797254.2022.2084643","http://dx.doi.org/10.1080/22797254.2022.2084643")</f>
        <v>http://dx.doi.org/10.1080/22797254.2022.2084643</v>
      </c>
      <c r="AZ354" s="1" t="s">
        <v>68</v>
      </c>
      <c r="BA354" s="1" t="s">
        <v>68</v>
      </c>
      <c r="BB354" s="1">
        <v>21.0</v>
      </c>
      <c r="BC354" s="1" t="s">
        <v>7413</v>
      </c>
      <c r="BD354" s="1" t="s">
        <v>92</v>
      </c>
      <c r="BE354" s="1" t="s">
        <v>7413</v>
      </c>
      <c r="BF354" s="1" t="s">
        <v>7414</v>
      </c>
      <c r="BG354" s="1" t="s">
        <v>68</v>
      </c>
      <c r="BH354" s="1" t="s">
        <v>1767</v>
      </c>
      <c r="BI354" s="1" t="s">
        <v>68</v>
      </c>
      <c r="BJ354" s="1" t="s">
        <v>68</v>
      </c>
      <c r="BK354" s="1" t="s">
        <v>95</v>
      </c>
      <c r="BL354" s="1" t="s">
        <v>7415</v>
      </c>
      <c r="BM354" s="1" t="str">
        <f>HYPERLINK("https%3A%2F%2Fwww.webofscience.com%2Fwos%2Fwoscc%2Ffull-record%2FWOS:000810217900001","View Full Record in Web of Science")</f>
        <v>View Full Record in Web of Science</v>
      </c>
    </row>
    <row r="355" ht="12.75" customHeight="1">
      <c r="A355" s="1" t="s">
        <v>65</v>
      </c>
      <c r="B355" s="1" t="s">
        <v>7416</v>
      </c>
      <c r="C355" s="1" t="s">
        <v>7417</v>
      </c>
      <c r="D355" s="1" t="s">
        <v>68</v>
      </c>
      <c r="E355" s="1" t="s">
        <v>7418</v>
      </c>
      <c r="F355" s="1" t="s">
        <v>7419</v>
      </c>
      <c r="G355" s="1" t="s">
        <v>68</v>
      </c>
      <c r="H355" s="1" t="s">
        <v>71</v>
      </c>
      <c r="I355" s="1" t="s">
        <v>72</v>
      </c>
      <c r="J355" s="1" t="s">
        <v>68</v>
      </c>
      <c r="K355" s="1" t="s">
        <v>68</v>
      </c>
      <c r="L355" s="1" t="s">
        <v>68</v>
      </c>
      <c r="M355" s="1" t="s">
        <v>68</v>
      </c>
      <c r="N355" s="1" t="s">
        <v>7420</v>
      </c>
      <c r="O355" s="1" t="s">
        <v>7421</v>
      </c>
      <c r="P355" s="1" t="s">
        <v>7422</v>
      </c>
      <c r="Q355" s="1" t="s">
        <v>7423</v>
      </c>
      <c r="R355" s="1" t="s">
        <v>7424</v>
      </c>
      <c r="S355" s="1" t="s">
        <v>7425</v>
      </c>
      <c r="T355" s="1" t="s">
        <v>7426</v>
      </c>
      <c r="U355" s="1" t="s">
        <v>7427</v>
      </c>
      <c r="V355" s="1" t="s">
        <v>7428</v>
      </c>
      <c r="W355" s="1" t="s">
        <v>7429</v>
      </c>
      <c r="X355" s="1" t="s">
        <v>7430</v>
      </c>
      <c r="Y355" s="1" t="s">
        <v>7431</v>
      </c>
      <c r="Z355" s="1">
        <v>69.0</v>
      </c>
      <c r="AA355" s="1">
        <v>3.0</v>
      </c>
      <c r="AB355" s="1">
        <v>4.0</v>
      </c>
      <c r="AC355" s="1">
        <v>0.0</v>
      </c>
      <c r="AD355" s="1">
        <v>8.0</v>
      </c>
      <c r="AE355" s="1" t="s">
        <v>662</v>
      </c>
      <c r="AF355" s="1" t="s">
        <v>663</v>
      </c>
      <c r="AG355" s="1" t="s">
        <v>664</v>
      </c>
      <c r="AH355" s="1" t="s">
        <v>68</v>
      </c>
      <c r="AI355" s="1" t="s">
        <v>7432</v>
      </c>
      <c r="AJ355" s="1" t="s">
        <v>68</v>
      </c>
      <c r="AK355" s="1" t="s">
        <v>7433</v>
      </c>
      <c r="AL355" s="1" t="s">
        <v>7434</v>
      </c>
      <c r="AM355" s="1" t="s">
        <v>7435</v>
      </c>
      <c r="AN355" s="1">
        <v>2023.0</v>
      </c>
      <c r="AO355" s="1">
        <v>9.0</v>
      </c>
      <c r="AP355" s="1">
        <v>1.0</v>
      </c>
      <c r="AQ355" s="1" t="s">
        <v>68</v>
      </c>
      <c r="AR355" s="1" t="s">
        <v>68</v>
      </c>
      <c r="AS355" s="1" t="s">
        <v>68</v>
      </c>
      <c r="AT355" s="1" t="s">
        <v>68</v>
      </c>
      <c r="AU355" s="1" t="s">
        <v>68</v>
      </c>
      <c r="AV355" s="1" t="s">
        <v>68</v>
      </c>
      <c r="AW355" s="1">
        <v>28.0</v>
      </c>
      <c r="AX355" s="1" t="s">
        <v>7436</v>
      </c>
      <c r="AY355" s="3" t="str">
        <f>HYPERLINK("http://dx.doi.org/10.1186/s40814-023-01250-0","http://dx.doi.org/10.1186/s40814-023-01250-0")</f>
        <v>http://dx.doi.org/10.1186/s40814-023-01250-0</v>
      </c>
      <c r="AZ355" s="1" t="s">
        <v>68</v>
      </c>
      <c r="BA355" s="1" t="s">
        <v>68</v>
      </c>
      <c r="BB355" s="1">
        <v>10.0</v>
      </c>
      <c r="BC355" s="1" t="s">
        <v>7437</v>
      </c>
      <c r="BD355" s="1" t="s">
        <v>197</v>
      </c>
      <c r="BE355" s="1" t="s">
        <v>7438</v>
      </c>
      <c r="BF355" s="1" t="s">
        <v>7439</v>
      </c>
      <c r="BG355" s="1">
        <v>3.6814323E7</v>
      </c>
      <c r="BH355" s="1" t="s">
        <v>94</v>
      </c>
      <c r="BI355" s="1" t="s">
        <v>68</v>
      </c>
      <c r="BJ355" s="1" t="s">
        <v>68</v>
      </c>
      <c r="BK355" s="1" t="s">
        <v>95</v>
      </c>
      <c r="BL355" s="1" t="s">
        <v>7440</v>
      </c>
      <c r="BM355" s="1" t="str">
        <f>HYPERLINK("https%3A%2F%2Fwww.webofscience.com%2Fwos%2Fwoscc%2Ffull-record%2FWOS:000936447300001","View Full Record in Web of Science")</f>
        <v>View Full Record in Web of Science</v>
      </c>
    </row>
    <row r="356" ht="12.75" customHeight="1">
      <c r="A356" s="1" t="s">
        <v>65</v>
      </c>
      <c r="B356" s="1" t="s">
        <v>7441</v>
      </c>
      <c r="C356" s="1" t="s">
        <v>7442</v>
      </c>
      <c r="D356" s="1" t="s">
        <v>68</v>
      </c>
      <c r="E356" s="1" t="s">
        <v>7443</v>
      </c>
      <c r="F356" s="1" t="s">
        <v>4113</v>
      </c>
      <c r="G356" s="1" t="s">
        <v>68</v>
      </c>
      <c r="H356" s="1" t="s">
        <v>71</v>
      </c>
      <c r="I356" s="1" t="s">
        <v>72</v>
      </c>
      <c r="J356" s="1" t="s">
        <v>68</v>
      </c>
      <c r="K356" s="1" t="s">
        <v>68</v>
      </c>
      <c r="L356" s="1" t="s">
        <v>68</v>
      </c>
      <c r="M356" s="1" t="s">
        <v>68</v>
      </c>
      <c r="N356" s="1" t="s">
        <v>7444</v>
      </c>
      <c r="O356" s="1" t="s">
        <v>7445</v>
      </c>
      <c r="P356" s="1" t="s">
        <v>7446</v>
      </c>
      <c r="Q356" s="1" t="s">
        <v>7447</v>
      </c>
      <c r="R356" s="1" t="s">
        <v>7448</v>
      </c>
      <c r="S356" s="1" t="s">
        <v>7449</v>
      </c>
      <c r="T356" s="1" t="s">
        <v>7450</v>
      </c>
      <c r="U356" s="1" t="s">
        <v>68</v>
      </c>
      <c r="V356" s="1" t="s">
        <v>68</v>
      </c>
      <c r="W356" s="1" t="s">
        <v>7451</v>
      </c>
      <c r="X356" s="1" t="s">
        <v>7452</v>
      </c>
      <c r="Y356" s="1" t="s">
        <v>7451</v>
      </c>
      <c r="Z356" s="1">
        <v>56.0</v>
      </c>
      <c r="AA356" s="1">
        <v>1.0</v>
      </c>
      <c r="AB356" s="1">
        <v>4.0</v>
      </c>
      <c r="AC356" s="1">
        <v>1.0</v>
      </c>
      <c r="AD356" s="1">
        <v>11.0</v>
      </c>
      <c r="AE356" s="1" t="s">
        <v>503</v>
      </c>
      <c r="AF356" s="1" t="s">
        <v>504</v>
      </c>
      <c r="AG356" s="1" t="s">
        <v>505</v>
      </c>
      <c r="AH356" s="1" t="s">
        <v>4122</v>
      </c>
      <c r="AI356" s="1" t="s">
        <v>68</v>
      </c>
      <c r="AJ356" s="1" t="s">
        <v>68</v>
      </c>
      <c r="AK356" s="1" t="s">
        <v>4113</v>
      </c>
      <c r="AL356" s="1" t="s">
        <v>4123</v>
      </c>
      <c r="AM356" s="1" t="s">
        <v>3782</v>
      </c>
      <c r="AN356" s="1">
        <v>2023.0</v>
      </c>
      <c r="AO356" s="1">
        <v>14.0</v>
      </c>
      <c r="AP356" s="1">
        <v>6.0</v>
      </c>
      <c r="AQ356" s="1" t="s">
        <v>68</v>
      </c>
      <c r="AR356" s="1" t="s">
        <v>68</v>
      </c>
      <c r="AS356" s="1" t="s">
        <v>68</v>
      </c>
      <c r="AT356" s="1" t="s">
        <v>68</v>
      </c>
      <c r="AU356" s="1" t="s">
        <v>68</v>
      </c>
      <c r="AV356" s="1" t="s">
        <v>68</v>
      </c>
      <c r="AW356" s="1" t="s">
        <v>7453</v>
      </c>
      <c r="AX356" s="1" t="s">
        <v>7454</v>
      </c>
      <c r="AY356" s="3" t="str">
        <f>HYPERLINK("http://dx.doi.org/10.1002/ecs2.4585","http://dx.doi.org/10.1002/ecs2.4585")</f>
        <v>http://dx.doi.org/10.1002/ecs2.4585</v>
      </c>
      <c r="AZ356" s="1" t="s">
        <v>68</v>
      </c>
      <c r="BA356" s="1" t="s">
        <v>68</v>
      </c>
      <c r="BB356" s="1">
        <v>14.0</v>
      </c>
      <c r="BC356" s="1" t="s">
        <v>332</v>
      </c>
      <c r="BD356" s="1" t="s">
        <v>92</v>
      </c>
      <c r="BE356" s="1" t="s">
        <v>333</v>
      </c>
      <c r="BF356" s="1" t="s">
        <v>7455</v>
      </c>
      <c r="BG356" s="1" t="s">
        <v>68</v>
      </c>
      <c r="BH356" s="1" t="s">
        <v>94</v>
      </c>
      <c r="BI356" s="1" t="s">
        <v>68</v>
      </c>
      <c r="BJ356" s="1" t="s">
        <v>68</v>
      </c>
      <c r="BK356" s="1" t="s">
        <v>95</v>
      </c>
      <c r="BL356" s="1" t="s">
        <v>7456</v>
      </c>
      <c r="BM356" s="1" t="str">
        <f>HYPERLINK("https%3A%2F%2Fwww.webofscience.com%2Fwos%2Fwoscc%2Ffull-record%2FWOS:001010988900001","View Full Record in Web of Science")</f>
        <v>View Full Record in Web of Science</v>
      </c>
    </row>
    <row r="357" ht="12.75" customHeight="1">
      <c r="A357" s="1" t="s">
        <v>65</v>
      </c>
      <c r="B357" s="1" t="s">
        <v>7457</v>
      </c>
      <c r="C357" s="1" t="s">
        <v>7458</v>
      </c>
      <c r="D357" s="1" t="s">
        <v>68</v>
      </c>
      <c r="E357" s="1" t="s">
        <v>7459</v>
      </c>
      <c r="F357" s="1" t="s">
        <v>7460</v>
      </c>
      <c r="G357" s="1" t="s">
        <v>68</v>
      </c>
      <c r="H357" s="1" t="s">
        <v>71</v>
      </c>
      <c r="I357" s="1" t="s">
        <v>45</v>
      </c>
      <c r="J357" s="1" t="s">
        <v>68</v>
      </c>
      <c r="K357" s="1" t="s">
        <v>68</v>
      </c>
      <c r="L357" s="1" t="s">
        <v>68</v>
      </c>
      <c r="M357" s="1" t="s">
        <v>68</v>
      </c>
      <c r="N357" s="1" t="s">
        <v>68</v>
      </c>
      <c r="O357" s="1" t="s">
        <v>68</v>
      </c>
      <c r="P357" s="1" t="s">
        <v>68</v>
      </c>
      <c r="Q357" s="1" t="s">
        <v>7461</v>
      </c>
      <c r="R357" s="1" t="s">
        <v>68</v>
      </c>
      <c r="S357" s="1" t="s">
        <v>68</v>
      </c>
      <c r="T357" s="1" t="s">
        <v>68</v>
      </c>
      <c r="U357" s="1" t="s">
        <v>68</v>
      </c>
      <c r="V357" s="1" t="s">
        <v>68</v>
      </c>
      <c r="W357" s="1" t="s">
        <v>68</v>
      </c>
      <c r="X357" s="1" t="s">
        <v>68</v>
      </c>
      <c r="Y357" s="1" t="s">
        <v>68</v>
      </c>
      <c r="Z357" s="1">
        <v>0.0</v>
      </c>
      <c r="AA357" s="1">
        <v>0.0</v>
      </c>
      <c r="AB357" s="1">
        <v>0.0</v>
      </c>
      <c r="AC357" s="1">
        <v>0.0</v>
      </c>
      <c r="AD357" s="1">
        <v>0.0</v>
      </c>
      <c r="AE357" s="1" t="s">
        <v>7462</v>
      </c>
      <c r="AF357" s="1" t="s">
        <v>7463</v>
      </c>
      <c r="AG357" s="1" t="s">
        <v>7464</v>
      </c>
      <c r="AH357" s="1" t="s">
        <v>7465</v>
      </c>
      <c r="AI357" s="1" t="s">
        <v>7466</v>
      </c>
      <c r="AJ357" s="1" t="s">
        <v>68</v>
      </c>
      <c r="AK357" s="1" t="s">
        <v>7467</v>
      </c>
      <c r="AL357" s="1" t="s">
        <v>7468</v>
      </c>
      <c r="AM357" s="1" t="s">
        <v>68</v>
      </c>
      <c r="AN357" s="1">
        <v>2023.0</v>
      </c>
      <c r="AO357" s="1">
        <v>42.0</v>
      </c>
      <c r="AP357" s="1" t="s">
        <v>68</v>
      </c>
      <c r="AQ357" s="1" t="s">
        <v>68</v>
      </c>
      <c r="AR357" s="1" t="s">
        <v>68</v>
      </c>
      <c r="AS357" s="1">
        <v>1.0</v>
      </c>
      <c r="AT357" s="1" t="s">
        <v>68</v>
      </c>
      <c r="AU357" s="1">
        <v>138.0</v>
      </c>
      <c r="AV357" s="1">
        <v>138.0</v>
      </c>
      <c r="AW357" s="1" t="s">
        <v>68</v>
      </c>
      <c r="AX357" s="1" t="s">
        <v>68</v>
      </c>
      <c r="AY357" s="1" t="s">
        <v>68</v>
      </c>
      <c r="AZ357" s="1" t="s">
        <v>68</v>
      </c>
      <c r="BA357" s="1" t="s">
        <v>68</v>
      </c>
      <c r="BB357" s="1">
        <v>1.0</v>
      </c>
      <c r="BC357" s="1" t="s">
        <v>4529</v>
      </c>
      <c r="BD357" s="1" t="s">
        <v>92</v>
      </c>
      <c r="BE357" s="1" t="s">
        <v>4529</v>
      </c>
      <c r="BF357" s="1" t="s">
        <v>7469</v>
      </c>
      <c r="BG357" s="1" t="s">
        <v>68</v>
      </c>
      <c r="BH357" s="1" t="s">
        <v>68</v>
      </c>
      <c r="BI357" s="1" t="s">
        <v>68</v>
      </c>
      <c r="BJ357" s="1" t="s">
        <v>68</v>
      </c>
      <c r="BK357" s="1" t="s">
        <v>95</v>
      </c>
      <c r="BL357" s="1" t="s">
        <v>7470</v>
      </c>
      <c r="BM357" s="1" t="str">
        <f>HYPERLINK("https%3A%2F%2Fwww.webofscience.com%2Fwos%2Fwoscc%2Ffull-record%2FWOS:001002097500231","View Full Record in Web of Science")</f>
        <v>View Full Record in Web of Science</v>
      </c>
    </row>
    <row r="358" ht="12.75" customHeight="1">
      <c r="A358" s="1" t="s">
        <v>65</v>
      </c>
      <c r="B358" s="1" t="s">
        <v>7471</v>
      </c>
      <c r="C358" s="1" t="s">
        <v>7472</v>
      </c>
      <c r="D358" s="1" t="s">
        <v>68</v>
      </c>
      <c r="E358" s="1" t="s">
        <v>7473</v>
      </c>
      <c r="F358" s="1" t="s">
        <v>1562</v>
      </c>
      <c r="G358" s="1" t="s">
        <v>68</v>
      </c>
      <c r="H358" s="1" t="s">
        <v>71</v>
      </c>
      <c r="I358" s="1" t="s">
        <v>72</v>
      </c>
      <c r="J358" s="1" t="s">
        <v>68</v>
      </c>
      <c r="K358" s="1" t="s">
        <v>68</v>
      </c>
      <c r="L358" s="1" t="s">
        <v>68</v>
      </c>
      <c r="M358" s="1" t="s">
        <v>68</v>
      </c>
      <c r="N358" s="1" t="s">
        <v>7474</v>
      </c>
      <c r="O358" s="1" t="s">
        <v>7475</v>
      </c>
      <c r="P358" s="1" t="s">
        <v>7476</v>
      </c>
      <c r="Q358" s="1" t="s">
        <v>7477</v>
      </c>
      <c r="R358" s="1" t="s">
        <v>7478</v>
      </c>
      <c r="S358" s="1" t="s">
        <v>7479</v>
      </c>
      <c r="T358" s="1" t="s">
        <v>2319</v>
      </c>
      <c r="U358" s="1" t="s">
        <v>2320</v>
      </c>
      <c r="V358" s="1" t="s">
        <v>7480</v>
      </c>
      <c r="W358" s="1" t="s">
        <v>7481</v>
      </c>
      <c r="X358" s="1" t="s">
        <v>7482</v>
      </c>
      <c r="Y358" s="1" t="s">
        <v>7481</v>
      </c>
      <c r="Z358" s="1">
        <v>50.0</v>
      </c>
      <c r="AA358" s="1">
        <v>18.0</v>
      </c>
      <c r="AB358" s="1">
        <v>21.0</v>
      </c>
      <c r="AC358" s="1">
        <v>0.0</v>
      </c>
      <c r="AD358" s="1">
        <v>25.0</v>
      </c>
      <c r="AE358" s="1" t="s">
        <v>503</v>
      </c>
      <c r="AF358" s="1" t="s">
        <v>504</v>
      </c>
      <c r="AG358" s="1" t="s">
        <v>505</v>
      </c>
      <c r="AH358" s="1" t="s">
        <v>1575</v>
      </c>
      <c r="AI358" s="1" t="s">
        <v>1576</v>
      </c>
      <c r="AJ358" s="1" t="s">
        <v>68</v>
      </c>
      <c r="AK358" s="1" t="s">
        <v>1577</v>
      </c>
      <c r="AL358" s="1" t="s">
        <v>1578</v>
      </c>
      <c r="AM358" s="1" t="s">
        <v>428</v>
      </c>
      <c r="AN358" s="1">
        <v>2019.0</v>
      </c>
      <c r="AO358" s="1">
        <v>56.0</v>
      </c>
      <c r="AP358" s="1">
        <v>10.0</v>
      </c>
      <c r="AQ358" s="1" t="s">
        <v>68</v>
      </c>
      <c r="AR358" s="1" t="s">
        <v>68</v>
      </c>
      <c r="AS358" s="1" t="s">
        <v>68</v>
      </c>
      <c r="AT358" s="1" t="s">
        <v>68</v>
      </c>
      <c r="AU358" s="1">
        <v>2252.0</v>
      </c>
      <c r="AV358" s="1">
        <v>2263.0</v>
      </c>
      <c r="AW358" s="1" t="s">
        <v>68</v>
      </c>
      <c r="AX358" s="1" t="s">
        <v>7483</v>
      </c>
      <c r="AY358" s="3" t="str">
        <f>HYPERLINK("http://dx.doi.org/10.1111/1365-2664.13491","http://dx.doi.org/10.1111/1365-2664.13491")</f>
        <v>http://dx.doi.org/10.1111/1365-2664.13491</v>
      </c>
      <c r="AZ358" s="1" t="s">
        <v>68</v>
      </c>
      <c r="BA358" s="1" t="s">
        <v>7484</v>
      </c>
      <c r="BB358" s="1">
        <v>12.0</v>
      </c>
      <c r="BC358" s="1" t="s">
        <v>1011</v>
      </c>
      <c r="BD358" s="1" t="s">
        <v>92</v>
      </c>
      <c r="BE358" s="1" t="s">
        <v>123</v>
      </c>
      <c r="BF358" s="1" t="s">
        <v>7485</v>
      </c>
      <c r="BG358" s="1" t="s">
        <v>68</v>
      </c>
      <c r="BH358" s="1" t="s">
        <v>512</v>
      </c>
      <c r="BI358" s="1" t="s">
        <v>68</v>
      </c>
      <c r="BJ358" s="1" t="s">
        <v>68</v>
      </c>
      <c r="BK358" s="1" t="s">
        <v>95</v>
      </c>
      <c r="BL358" s="1" t="s">
        <v>7486</v>
      </c>
      <c r="BM358" s="1" t="str">
        <f>HYPERLINK("https%3A%2F%2Fwww.webofscience.com%2Fwos%2Fwoscc%2Ffull-record%2FWOS:000486931100001","View Full Record in Web of Science")</f>
        <v>View Full Record in Web of Science</v>
      </c>
    </row>
    <row r="359" ht="12.75" customHeight="1">
      <c r="A359" s="1" t="s">
        <v>65</v>
      </c>
      <c r="B359" s="1" t="s">
        <v>7487</v>
      </c>
      <c r="C359" s="1" t="s">
        <v>7488</v>
      </c>
      <c r="D359" s="1" t="s">
        <v>68</v>
      </c>
      <c r="E359" s="1" t="s">
        <v>7489</v>
      </c>
      <c r="F359" s="1" t="s">
        <v>7490</v>
      </c>
      <c r="G359" s="1" t="s">
        <v>68</v>
      </c>
      <c r="H359" s="1" t="s">
        <v>71</v>
      </c>
      <c r="I359" s="1" t="s">
        <v>72</v>
      </c>
      <c r="J359" s="1" t="s">
        <v>68</v>
      </c>
      <c r="K359" s="1" t="s">
        <v>68</v>
      </c>
      <c r="L359" s="1" t="s">
        <v>68</v>
      </c>
      <c r="M359" s="1" t="s">
        <v>68</v>
      </c>
      <c r="N359" s="1" t="s">
        <v>7491</v>
      </c>
      <c r="O359" s="1" t="s">
        <v>7492</v>
      </c>
      <c r="P359" s="1" t="s">
        <v>7493</v>
      </c>
      <c r="Q359" s="1" t="s">
        <v>7494</v>
      </c>
      <c r="R359" s="1" t="s">
        <v>5875</v>
      </c>
      <c r="S359" s="1" t="s">
        <v>7495</v>
      </c>
      <c r="T359" s="1" t="s">
        <v>5877</v>
      </c>
      <c r="U359" s="1" t="s">
        <v>68</v>
      </c>
      <c r="V359" s="1" t="s">
        <v>7496</v>
      </c>
      <c r="W359" s="1" t="s">
        <v>68</v>
      </c>
      <c r="X359" s="1" t="s">
        <v>68</v>
      </c>
      <c r="Y359" s="1" t="s">
        <v>68</v>
      </c>
      <c r="Z359" s="1">
        <v>96.0</v>
      </c>
      <c r="AA359" s="1">
        <v>0.0</v>
      </c>
      <c r="AB359" s="1">
        <v>0.0</v>
      </c>
      <c r="AC359" s="1">
        <v>9.0</v>
      </c>
      <c r="AD359" s="1">
        <v>9.0</v>
      </c>
      <c r="AE359" s="1" t="s">
        <v>811</v>
      </c>
      <c r="AF359" s="1" t="s">
        <v>1666</v>
      </c>
      <c r="AG359" s="1" t="s">
        <v>1667</v>
      </c>
      <c r="AH359" s="1" t="s">
        <v>7497</v>
      </c>
      <c r="AI359" s="1" t="s">
        <v>7498</v>
      </c>
      <c r="AJ359" s="1" t="s">
        <v>68</v>
      </c>
      <c r="AK359" s="1" t="s">
        <v>7499</v>
      </c>
      <c r="AL359" s="1" t="s">
        <v>7500</v>
      </c>
      <c r="AM359" s="1" t="s">
        <v>120</v>
      </c>
      <c r="AN359" s="1">
        <v>2025.0</v>
      </c>
      <c r="AO359" s="1">
        <v>83.0</v>
      </c>
      <c r="AP359" s="1" t="s">
        <v>68</v>
      </c>
      <c r="AQ359" s="1" t="s">
        <v>68</v>
      </c>
      <c r="AR359" s="1" t="s">
        <v>68</v>
      </c>
      <c r="AS359" s="1" t="s">
        <v>68</v>
      </c>
      <c r="AT359" s="1" t="s">
        <v>68</v>
      </c>
      <c r="AU359" s="1" t="s">
        <v>68</v>
      </c>
      <c r="AV359" s="1" t="s">
        <v>68</v>
      </c>
      <c r="AW359" s="1">
        <v>103012.0</v>
      </c>
      <c r="AX359" s="1" t="s">
        <v>7501</v>
      </c>
      <c r="AY359" s="3" t="str">
        <f>HYPERLINK("http://dx.doi.org/10.1016/j.techsoc.2025.103012","http://dx.doi.org/10.1016/j.techsoc.2025.103012")</f>
        <v>http://dx.doi.org/10.1016/j.techsoc.2025.103012</v>
      </c>
      <c r="AZ359" s="1" t="s">
        <v>68</v>
      </c>
      <c r="BA359" s="1" t="s">
        <v>3280</v>
      </c>
      <c r="BB359" s="1">
        <v>9.0</v>
      </c>
      <c r="BC359" s="1" t="s">
        <v>7502</v>
      </c>
      <c r="BD359" s="1" t="s">
        <v>1438</v>
      </c>
      <c r="BE359" s="1" t="s">
        <v>7503</v>
      </c>
      <c r="BF359" s="1" t="s">
        <v>7504</v>
      </c>
      <c r="BG359" s="1" t="s">
        <v>68</v>
      </c>
      <c r="BH359" s="1" t="s">
        <v>867</v>
      </c>
      <c r="BI359" s="1" t="s">
        <v>68</v>
      </c>
      <c r="BJ359" s="1" t="s">
        <v>68</v>
      </c>
      <c r="BK359" s="1" t="s">
        <v>95</v>
      </c>
      <c r="BL359" s="1" t="s">
        <v>7505</v>
      </c>
      <c r="BM359" s="1" t="str">
        <f>HYPERLINK("https%3A%2F%2Fwww.webofscience.com%2Fwos%2Fwoscc%2Ffull-record%2FWOS:001558143800001","View Full Record in Web of Science")</f>
        <v>View Full Record in Web of Science</v>
      </c>
    </row>
    <row r="360" ht="12.75" customHeight="1">
      <c r="A360" s="1" t="s">
        <v>65</v>
      </c>
      <c r="B360" s="1" t="s">
        <v>7506</v>
      </c>
      <c r="C360" s="1" t="s">
        <v>7507</v>
      </c>
      <c r="D360" s="1" t="s">
        <v>68</v>
      </c>
      <c r="E360" s="1" t="s">
        <v>7508</v>
      </c>
      <c r="F360" s="1" t="s">
        <v>7509</v>
      </c>
      <c r="G360" s="1" t="s">
        <v>68</v>
      </c>
      <c r="H360" s="1" t="s">
        <v>71</v>
      </c>
      <c r="I360" s="1" t="s">
        <v>72</v>
      </c>
      <c r="J360" s="1" t="s">
        <v>68</v>
      </c>
      <c r="K360" s="1" t="s">
        <v>68</v>
      </c>
      <c r="L360" s="1" t="s">
        <v>68</v>
      </c>
      <c r="M360" s="1" t="s">
        <v>68</v>
      </c>
      <c r="N360" s="1" t="s">
        <v>7510</v>
      </c>
      <c r="O360" s="1" t="s">
        <v>7511</v>
      </c>
      <c r="P360" s="1" t="s">
        <v>7512</v>
      </c>
      <c r="Q360" s="1" t="s">
        <v>7513</v>
      </c>
      <c r="R360" s="1" t="s">
        <v>7514</v>
      </c>
      <c r="S360" s="1" t="s">
        <v>7515</v>
      </c>
      <c r="T360" s="1" t="s">
        <v>7516</v>
      </c>
      <c r="U360" s="1" t="s">
        <v>68</v>
      </c>
      <c r="V360" s="1" t="s">
        <v>68</v>
      </c>
      <c r="W360" s="1" t="s">
        <v>7517</v>
      </c>
      <c r="X360" s="1" t="s">
        <v>7517</v>
      </c>
      <c r="Y360" s="1" t="s">
        <v>7518</v>
      </c>
      <c r="Z360" s="1">
        <v>71.0</v>
      </c>
      <c r="AA360" s="1">
        <v>0.0</v>
      </c>
      <c r="AB360" s="1">
        <v>0.0</v>
      </c>
      <c r="AC360" s="1">
        <v>0.0</v>
      </c>
      <c r="AD360" s="1">
        <v>0.0</v>
      </c>
      <c r="AE360" s="1" t="s">
        <v>7519</v>
      </c>
      <c r="AF360" s="1" t="s">
        <v>7520</v>
      </c>
      <c r="AG360" s="1" t="s">
        <v>7521</v>
      </c>
      <c r="AH360" s="1" t="s">
        <v>7522</v>
      </c>
      <c r="AI360" s="1" t="s">
        <v>7523</v>
      </c>
      <c r="AJ360" s="1" t="s">
        <v>68</v>
      </c>
      <c r="AK360" s="1" t="s">
        <v>7524</v>
      </c>
      <c r="AL360" s="1" t="s">
        <v>7525</v>
      </c>
      <c r="AM360" s="1" t="s">
        <v>428</v>
      </c>
      <c r="AN360" s="1">
        <v>2025.0</v>
      </c>
      <c r="AO360" s="1">
        <v>53.0</v>
      </c>
      <c r="AP360" s="1">
        <v>2.0</v>
      </c>
      <c r="AQ360" s="1" t="s">
        <v>68</v>
      </c>
      <c r="AR360" s="1" t="s">
        <v>68</v>
      </c>
      <c r="AS360" s="1" t="s">
        <v>68</v>
      </c>
      <c r="AT360" s="1" t="s">
        <v>68</v>
      </c>
      <c r="AU360" s="1">
        <v>299.0</v>
      </c>
      <c r="AV360" s="1">
        <v>313.0</v>
      </c>
      <c r="AW360" s="1" t="s">
        <v>68</v>
      </c>
      <c r="AX360" s="1" t="s">
        <v>7526</v>
      </c>
      <c r="AY360" s="3" t="str">
        <f>HYPERLINK("http://dx.doi.org/10.5038/2074-1235.53.2.1665","http://dx.doi.org/10.5038/2074-1235.53.2.1665")</f>
        <v>http://dx.doi.org/10.5038/2074-1235.53.2.1665</v>
      </c>
      <c r="AZ360" s="1" t="s">
        <v>68</v>
      </c>
      <c r="BA360" s="1" t="s">
        <v>68</v>
      </c>
      <c r="BB360" s="1">
        <v>15.0</v>
      </c>
      <c r="BC360" s="1" t="s">
        <v>7527</v>
      </c>
      <c r="BD360" s="1" t="s">
        <v>92</v>
      </c>
      <c r="BE360" s="1" t="s">
        <v>6666</v>
      </c>
      <c r="BF360" s="1" t="s">
        <v>7528</v>
      </c>
      <c r="BG360" s="1" t="s">
        <v>68</v>
      </c>
      <c r="BH360" s="1" t="s">
        <v>462</v>
      </c>
      <c r="BI360" s="1" t="s">
        <v>68</v>
      </c>
      <c r="BJ360" s="1" t="s">
        <v>68</v>
      </c>
      <c r="BK360" s="1" t="s">
        <v>95</v>
      </c>
      <c r="BL360" s="1" t="s">
        <v>7529</v>
      </c>
      <c r="BM360" s="1" t="str">
        <f>HYPERLINK("https%3A%2F%2Fwww.webofscience.com%2Fwos%2Fwoscc%2Ffull-record%2FWOS:001608188500014","View Full Record in Web of Science")</f>
        <v>View Full Record in Web of Science</v>
      </c>
    </row>
    <row r="361" ht="12.75" customHeight="1">
      <c r="A361" s="1" t="s">
        <v>65</v>
      </c>
      <c r="B361" s="1" t="s">
        <v>7506</v>
      </c>
      <c r="C361" s="1" t="s">
        <v>7507</v>
      </c>
      <c r="D361" s="1" t="s">
        <v>68</v>
      </c>
      <c r="E361" s="1" t="s">
        <v>7508</v>
      </c>
      <c r="F361" s="1" t="s">
        <v>7509</v>
      </c>
      <c r="G361" s="1" t="s">
        <v>68</v>
      </c>
      <c r="H361" s="1" t="s">
        <v>71</v>
      </c>
      <c r="I361" s="1" t="s">
        <v>72</v>
      </c>
      <c r="J361" s="1" t="s">
        <v>68</v>
      </c>
      <c r="K361" s="1" t="s">
        <v>68</v>
      </c>
      <c r="L361" s="1" t="s">
        <v>68</v>
      </c>
      <c r="M361" s="1" t="s">
        <v>68</v>
      </c>
      <c r="N361" s="1" t="s">
        <v>7510</v>
      </c>
      <c r="O361" s="1" t="s">
        <v>7511</v>
      </c>
      <c r="P361" s="1" t="s">
        <v>7512</v>
      </c>
      <c r="Q361" s="1" t="s">
        <v>7530</v>
      </c>
      <c r="R361" s="1" t="s">
        <v>7514</v>
      </c>
      <c r="S361" s="1" t="s">
        <v>7531</v>
      </c>
      <c r="T361" s="1" t="s">
        <v>7516</v>
      </c>
      <c r="U361" s="1" t="s">
        <v>68</v>
      </c>
      <c r="V361" s="1" t="s">
        <v>68</v>
      </c>
      <c r="W361" s="1" t="s">
        <v>7532</v>
      </c>
      <c r="X361" s="1" t="s">
        <v>7532</v>
      </c>
      <c r="Y361" s="1" t="s">
        <v>7518</v>
      </c>
      <c r="Z361" s="1">
        <v>71.0</v>
      </c>
      <c r="AA361" s="1">
        <v>0.0</v>
      </c>
      <c r="AB361" s="1">
        <v>0.0</v>
      </c>
      <c r="AC361" s="1">
        <v>0.0</v>
      </c>
      <c r="AD361" s="1">
        <v>0.0</v>
      </c>
      <c r="AE361" s="1" t="s">
        <v>7519</v>
      </c>
      <c r="AF361" s="1" t="s">
        <v>7520</v>
      </c>
      <c r="AG361" s="1" t="s">
        <v>7521</v>
      </c>
      <c r="AH361" s="1" t="s">
        <v>7522</v>
      </c>
      <c r="AI361" s="1" t="s">
        <v>7523</v>
      </c>
      <c r="AJ361" s="1" t="s">
        <v>68</v>
      </c>
      <c r="AK361" s="1" t="s">
        <v>7524</v>
      </c>
      <c r="AL361" s="1" t="s">
        <v>7525</v>
      </c>
      <c r="AM361" s="1" t="s">
        <v>428</v>
      </c>
      <c r="AN361" s="1">
        <v>2025.0</v>
      </c>
      <c r="AO361" s="1">
        <v>53.0</v>
      </c>
      <c r="AP361" s="1">
        <v>2.0</v>
      </c>
      <c r="AQ361" s="1" t="s">
        <v>68</v>
      </c>
      <c r="AR361" s="1" t="s">
        <v>68</v>
      </c>
      <c r="AS361" s="1" t="s">
        <v>68</v>
      </c>
      <c r="AT361" s="1" t="s">
        <v>68</v>
      </c>
      <c r="AU361" s="1">
        <v>299.0</v>
      </c>
      <c r="AV361" s="1">
        <v>313.0</v>
      </c>
      <c r="AW361" s="1" t="s">
        <v>68</v>
      </c>
      <c r="AX361" s="1" t="s">
        <v>68</v>
      </c>
      <c r="AY361" s="1" t="s">
        <v>68</v>
      </c>
      <c r="AZ361" s="1" t="s">
        <v>68</v>
      </c>
      <c r="BA361" s="1" t="s">
        <v>68</v>
      </c>
      <c r="BB361" s="1">
        <v>15.0</v>
      </c>
      <c r="BC361" s="1" t="s">
        <v>7527</v>
      </c>
      <c r="BD361" s="1" t="s">
        <v>92</v>
      </c>
      <c r="BE361" s="1" t="s">
        <v>6666</v>
      </c>
      <c r="BF361" s="1" t="s">
        <v>7533</v>
      </c>
      <c r="BG361" s="1" t="s">
        <v>68</v>
      </c>
      <c r="BH361" s="1" t="s">
        <v>68</v>
      </c>
      <c r="BI361" s="1" t="s">
        <v>68</v>
      </c>
      <c r="BJ361" s="1" t="s">
        <v>68</v>
      </c>
      <c r="BK361" s="1" t="s">
        <v>95</v>
      </c>
      <c r="BL361" s="1" t="s">
        <v>7534</v>
      </c>
      <c r="BM361" s="1" t="str">
        <f>HYPERLINK("https%3A%2F%2Fwww.webofscience.com%2Fwos%2Fwoscc%2Ffull-record%2FWOS:001592130700002","View Full Record in Web of Science")</f>
        <v>View Full Record in Web of Science</v>
      </c>
    </row>
    <row r="362" ht="12.75" customHeight="1">
      <c r="A362" s="1" t="s">
        <v>65</v>
      </c>
      <c r="B362" s="1" t="s">
        <v>7535</v>
      </c>
      <c r="C362" s="1" t="s">
        <v>7536</v>
      </c>
      <c r="D362" s="1" t="s">
        <v>68</v>
      </c>
      <c r="E362" s="1" t="s">
        <v>7537</v>
      </c>
      <c r="F362" s="1" t="s">
        <v>467</v>
      </c>
      <c r="G362" s="1" t="s">
        <v>68</v>
      </c>
      <c r="H362" s="1" t="s">
        <v>71</v>
      </c>
      <c r="I362" s="1" t="s">
        <v>72</v>
      </c>
      <c r="J362" s="1" t="s">
        <v>68</v>
      </c>
      <c r="K362" s="1" t="s">
        <v>68</v>
      </c>
      <c r="L362" s="1" t="s">
        <v>68</v>
      </c>
      <c r="M362" s="1" t="s">
        <v>68</v>
      </c>
      <c r="N362" s="1" t="s">
        <v>7538</v>
      </c>
      <c r="O362" s="1" t="s">
        <v>7539</v>
      </c>
      <c r="P362" s="1" t="s">
        <v>7540</v>
      </c>
      <c r="Q362" s="1" t="s">
        <v>7541</v>
      </c>
      <c r="R362" s="1" t="s">
        <v>7542</v>
      </c>
      <c r="S362" s="1" t="s">
        <v>7543</v>
      </c>
      <c r="T362" s="1" t="s">
        <v>7544</v>
      </c>
      <c r="U362" s="1" t="s">
        <v>7545</v>
      </c>
      <c r="V362" s="1" t="s">
        <v>68</v>
      </c>
      <c r="W362" s="1" t="s">
        <v>7546</v>
      </c>
      <c r="X362" s="1" t="s">
        <v>7546</v>
      </c>
      <c r="Y362" s="1" t="s">
        <v>7547</v>
      </c>
      <c r="Z362" s="1">
        <v>67.0</v>
      </c>
      <c r="AA362" s="1">
        <v>2.0</v>
      </c>
      <c r="AB362" s="1">
        <v>2.0</v>
      </c>
      <c r="AC362" s="1">
        <v>1.0</v>
      </c>
      <c r="AD362" s="1">
        <v>9.0</v>
      </c>
      <c r="AE362" s="1" t="s">
        <v>83</v>
      </c>
      <c r="AF362" s="1" t="s">
        <v>84</v>
      </c>
      <c r="AG362" s="1" t="s">
        <v>85</v>
      </c>
      <c r="AH362" s="1" t="s">
        <v>68</v>
      </c>
      <c r="AI362" s="1" t="s">
        <v>479</v>
      </c>
      <c r="AJ362" s="1" t="s">
        <v>68</v>
      </c>
      <c r="AK362" s="1" t="s">
        <v>480</v>
      </c>
      <c r="AL362" s="1" t="s">
        <v>481</v>
      </c>
      <c r="AM362" s="1" t="s">
        <v>7548</v>
      </c>
      <c r="AN362" s="1">
        <v>2024.0</v>
      </c>
      <c r="AO362" s="1">
        <v>12.0</v>
      </c>
      <c r="AP362" s="1" t="s">
        <v>68</v>
      </c>
      <c r="AQ362" s="1" t="s">
        <v>68</v>
      </c>
      <c r="AR362" s="1" t="s">
        <v>68</v>
      </c>
      <c r="AS362" s="1" t="s">
        <v>68</v>
      </c>
      <c r="AT362" s="1" t="s">
        <v>68</v>
      </c>
      <c r="AU362" s="1" t="s">
        <v>68</v>
      </c>
      <c r="AV362" s="1" t="s">
        <v>68</v>
      </c>
      <c r="AW362" s="1">
        <v>1433489.0</v>
      </c>
      <c r="AX362" s="1" t="s">
        <v>7549</v>
      </c>
      <c r="AY362" s="3" t="str">
        <f>HYPERLINK("http://dx.doi.org/10.3389/fenvs.2024.1433489","http://dx.doi.org/10.3389/fenvs.2024.1433489")</f>
        <v>http://dx.doi.org/10.3389/fenvs.2024.1433489</v>
      </c>
      <c r="AZ362" s="1" t="s">
        <v>68</v>
      </c>
      <c r="BA362" s="1" t="s">
        <v>68</v>
      </c>
      <c r="BB362" s="1">
        <v>16.0</v>
      </c>
      <c r="BC362" s="1" t="s">
        <v>484</v>
      </c>
      <c r="BD362" s="1" t="s">
        <v>92</v>
      </c>
      <c r="BE362" s="1" t="s">
        <v>333</v>
      </c>
      <c r="BF362" s="1" t="s">
        <v>7550</v>
      </c>
      <c r="BG362" s="1" t="s">
        <v>68</v>
      </c>
      <c r="BH362" s="1" t="s">
        <v>94</v>
      </c>
      <c r="BI362" s="1" t="s">
        <v>68</v>
      </c>
      <c r="BJ362" s="1" t="s">
        <v>68</v>
      </c>
      <c r="BK362" s="1" t="s">
        <v>95</v>
      </c>
      <c r="BL362" s="1" t="s">
        <v>7551</v>
      </c>
      <c r="BM362" s="1" t="str">
        <f>HYPERLINK("https%3A%2F%2Fwww.webofscience.com%2Fwos%2Fwoscc%2Ffull-record%2FWOS:001334571600001","View Full Record in Web of Science")</f>
        <v>View Full Record in Web of Science</v>
      </c>
    </row>
    <row r="363" ht="12.75" customHeight="1">
      <c r="A363" s="1" t="s">
        <v>65</v>
      </c>
      <c r="B363" s="1" t="s">
        <v>7552</v>
      </c>
      <c r="C363" s="1" t="s">
        <v>7553</v>
      </c>
      <c r="D363" s="1" t="s">
        <v>68</v>
      </c>
      <c r="E363" s="1" t="s">
        <v>7554</v>
      </c>
      <c r="F363" s="1" t="s">
        <v>7555</v>
      </c>
      <c r="G363" s="1" t="s">
        <v>68</v>
      </c>
      <c r="H363" s="1" t="s">
        <v>71</v>
      </c>
      <c r="I363" s="1" t="s">
        <v>72</v>
      </c>
      <c r="J363" s="1" t="s">
        <v>68</v>
      </c>
      <c r="K363" s="1" t="s">
        <v>68</v>
      </c>
      <c r="L363" s="1" t="s">
        <v>68</v>
      </c>
      <c r="M363" s="1" t="s">
        <v>68</v>
      </c>
      <c r="N363" s="1" t="s">
        <v>68</v>
      </c>
      <c r="O363" s="1" t="s">
        <v>7556</v>
      </c>
      <c r="P363" s="1" t="s">
        <v>7557</v>
      </c>
      <c r="Q363" s="1" t="s">
        <v>7558</v>
      </c>
      <c r="R363" s="1" t="s">
        <v>7559</v>
      </c>
      <c r="S363" s="1" t="s">
        <v>7560</v>
      </c>
      <c r="T363" s="1" t="s">
        <v>7561</v>
      </c>
      <c r="U363" s="1" t="s">
        <v>68</v>
      </c>
      <c r="V363" s="1" t="s">
        <v>7562</v>
      </c>
      <c r="W363" s="1" t="s">
        <v>68</v>
      </c>
      <c r="X363" s="1" t="s">
        <v>68</v>
      </c>
      <c r="Y363" s="1" t="s">
        <v>68</v>
      </c>
      <c r="Z363" s="1">
        <v>64.0</v>
      </c>
      <c r="AA363" s="1">
        <v>1.0</v>
      </c>
      <c r="AB363" s="1">
        <v>1.0</v>
      </c>
      <c r="AC363" s="1">
        <v>2.0</v>
      </c>
      <c r="AD363" s="1">
        <v>2.0</v>
      </c>
      <c r="AE363" s="1" t="s">
        <v>1906</v>
      </c>
      <c r="AF363" s="1" t="s">
        <v>1907</v>
      </c>
      <c r="AG363" s="1" t="s">
        <v>1908</v>
      </c>
      <c r="AH363" s="1" t="s">
        <v>7563</v>
      </c>
      <c r="AI363" s="1" t="s">
        <v>68</v>
      </c>
      <c r="AJ363" s="1" t="s">
        <v>68</v>
      </c>
      <c r="AK363" s="1" t="s">
        <v>7564</v>
      </c>
      <c r="AL363" s="1" t="s">
        <v>7565</v>
      </c>
      <c r="AM363" s="1" t="s">
        <v>428</v>
      </c>
      <c r="AN363" s="1">
        <v>2025.0</v>
      </c>
      <c r="AO363" s="1">
        <v>19.0</v>
      </c>
      <c r="AP363" s="1">
        <v>10.0</v>
      </c>
      <c r="AQ363" s="1" t="s">
        <v>68</v>
      </c>
      <c r="AR363" s="1" t="s">
        <v>68</v>
      </c>
      <c r="AS363" s="1" t="s">
        <v>68</v>
      </c>
      <c r="AT363" s="1" t="s">
        <v>68</v>
      </c>
      <c r="AU363" s="1" t="s">
        <v>68</v>
      </c>
      <c r="AV363" s="1" t="s">
        <v>68</v>
      </c>
      <c r="AW363" s="1" t="s">
        <v>7566</v>
      </c>
      <c r="AX363" s="1" t="s">
        <v>7567</v>
      </c>
      <c r="AY363" s="3" t="str">
        <f>HYPERLINK("http://dx.doi.org/10.1371/journal.pntd.0013520","http://dx.doi.org/10.1371/journal.pntd.0013520")</f>
        <v>http://dx.doi.org/10.1371/journal.pntd.0013520</v>
      </c>
      <c r="AZ363" s="1" t="s">
        <v>68</v>
      </c>
      <c r="BA363" s="1" t="s">
        <v>68</v>
      </c>
      <c r="BB363" s="1">
        <v>15.0</v>
      </c>
      <c r="BC363" s="1" t="s">
        <v>670</v>
      </c>
      <c r="BD363" s="1" t="s">
        <v>92</v>
      </c>
      <c r="BE363" s="1" t="s">
        <v>670</v>
      </c>
      <c r="BF363" s="1" t="s">
        <v>7568</v>
      </c>
      <c r="BG363" s="1">
        <v>4.1066479E7</v>
      </c>
      <c r="BH363" s="1" t="s">
        <v>94</v>
      </c>
      <c r="BI363" s="1" t="s">
        <v>68</v>
      </c>
      <c r="BJ363" s="1" t="s">
        <v>68</v>
      </c>
      <c r="BK363" s="1" t="s">
        <v>95</v>
      </c>
      <c r="BL363" s="1" t="s">
        <v>7569</v>
      </c>
      <c r="BM363" s="1" t="str">
        <f>HYPERLINK("https%3A%2F%2Fwww.webofscience.com%2Fwos%2Fwoscc%2Ffull-record%2FWOS:001590073200008","View Full Record in Web of Science")</f>
        <v>View Full Record in Web of Science</v>
      </c>
    </row>
    <row r="364" ht="12.75" customHeight="1">
      <c r="A364" s="1" t="s">
        <v>65</v>
      </c>
      <c r="B364" s="1" t="s">
        <v>7570</v>
      </c>
      <c r="C364" s="1" t="s">
        <v>7571</v>
      </c>
      <c r="D364" s="1" t="s">
        <v>68</v>
      </c>
      <c r="E364" s="1" t="s">
        <v>7572</v>
      </c>
      <c r="F364" s="1" t="s">
        <v>7573</v>
      </c>
      <c r="G364" s="1" t="s">
        <v>68</v>
      </c>
      <c r="H364" s="1" t="s">
        <v>71</v>
      </c>
      <c r="I364" s="1" t="s">
        <v>72</v>
      </c>
      <c r="J364" s="1" t="s">
        <v>68</v>
      </c>
      <c r="K364" s="1" t="s">
        <v>68</v>
      </c>
      <c r="L364" s="1" t="s">
        <v>68</v>
      </c>
      <c r="M364" s="1" t="s">
        <v>68</v>
      </c>
      <c r="N364" s="1" t="s">
        <v>7574</v>
      </c>
      <c r="O364" s="1" t="s">
        <v>7575</v>
      </c>
      <c r="P364" s="1" t="s">
        <v>7576</v>
      </c>
      <c r="Q364" s="1" t="s">
        <v>7577</v>
      </c>
      <c r="R364" s="1" t="s">
        <v>7578</v>
      </c>
      <c r="S364" s="1" t="s">
        <v>7579</v>
      </c>
      <c r="T364" s="1" t="s">
        <v>7580</v>
      </c>
      <c r="U364" s="1" t="s">
        <v>7581</v>
      </c>
      <c r="V364" s="1" t="s">
        <v>7582</v>
      </c>
      <c r="W364" s="1" t="s">
        <v>7583</v>
      </c>
      <c r="X364" s="1" t="s">
        <v>7584</v>
      </c>
      <c r="Y364" s="1" t="s">
        <v>7585</v>
      </c>
      <c r="Z364" s="1">
        <v>42.0</v>
      </c>
      <c r="AA364" s="1">
        <v>13.0</v>
      </c>
      <c r="AB364" s="1">
        <v>15.0</v>
      </c>
      <c r="AC364" s="1">
        <v>2.0</v>
      </c>
      <c r="AD364" s="1">
        <v>24.0</v>
      </c>
      <c r="AE364" s="1" t="s">
        <v>503</v>
      </c>
      <c r="AF364" s="1" t="s">
        <v>504</v>
      </c>
      <c r="AG364" s="1" t="s">
        <v>505</v>
      </c>
      <c r="AH364" s="1" t="s">
        <v>7586</v>
      </c>
      <c r="AI364" s="1" t="s">
        <v>7587</v>
      </c>
      <c r="AJ364" s="1" t="s">
        <v>68</v>
      </c>
      <c r="AK364" s="1" t="s">
        <v>7588</v>
      </c>
      <c r="AL364" s="1" t="s">
        <v>7589</v>
      </c>
      <c r="AM364" s="1" t="s">
        <v>1264</v>
      </c>
      <c r="AN364" s="1">
        <v>2022.0</v>
      </c>
      <c r="AO364" s="1">
        <v>31.0</v>
      </c>
      <c r="AP364" s="1">
        <v>11.0</v>
      </c>
      <c r="AQ364" s="1" t="s">
        <v>68</v>
      </c>
      <c r="AR364" s="1" t="s">
        <v>68</v>
      </c>
      <c r="AS364" s="1" t="s">
        <v>68</v>
      </c>
      <c r="AT364" s="1" t="s">
        <v>68</v>
      </c>
      <c r="AU364" s="1">
        <v>2219.0</v>
      </c>
      <c r="AV364" s="1">
        <v>2230.0</v>
      </c>
      <c r="AW364" s="1" t="s">
        <v>68</v>
      </c>
      <c r="AX364" s="1" t="s">
        <v>7590</v>
      </c>
      <c r="AY364" s="3" t="str">
        <f>HYPERLINK("http://dx.doi.org/10.1111/geb.13567","http://dx.doi.org/10.1111/geb.13567")</f>
        <v>http://dx.doi.org/10.1111/geb.13567</v>
      </c>
      <c r="AZ364" s="1" t="s">
        <v>68</v>
      </c>
      <c r="BA364" s="1" t="s">
        <v>4398</v>
      </c>
      <c r="BB364" s="1">
        <v>12.0</v>
      </c>
      <c r="BC364" s="1" t="s">
        <v>641</v>
      </c>
      <c r="BD364" s="1" t="s">
        <v>92</v>
      </c>
      <c r="BE364" s="1" t="s">
        <v>642</v>
      </c>
      <c r="BF364" s="1" t="s">
        <v>7591</v>
      </c>
      <c r="BG364" s="1">
        <v>3.6590324E7</v>
      </c>
      <c r="BH364" s="1" t="s">
        <v>644</v>
      </c>
      <c r="BI364" s="1" t="s">
        <v>68</v>
      </c>
      <c r="BJ364" s="1" t="s">
        <v>68</v>
      </c>
      <c r="BK364" s="1" t="s">
        <v>95</v>
      </c>
      <c r="BL364" s="1" t="s">
        <v>7592</v>
      </c>
      <c r="BM364" s="1" t="str">
        <f>HYPERLINK("https%3A%2F%2Fwww.webofscience.com%2Fwos%2Fwoscc%2Ffull-record%2FWOS:000823531600001","View Full Record in Web of Science")</f>
        <v>View Full Record in Web of Science</v>
      </c>
    </row>
    <row r="365" ht="12.75" customHeight="1">
      <c r="A365" s="1" t="s">
        <v>65</v>
      </c>
      <c r="B365" s="1" t="s">
        <v>7593</v>
      </c>
      <c r="C365" s="1" t="s">
        <v>7594</v>
      </c>
      <c r="D365" s="1" t="s">
        <v>68</v>
      </c>
      <c r="E365" s="1" t="s">
        <v>7595</v>
      </c>
      <c r="F365" s="1" t="s">
        <v>1493</v>
      </c>
      <c r="G365" s="1" t="s">
        <v>68</v>
      </c>
      <c r="H365" s="1" t="s">
        <v>71</v>
      </c>
      <c r="I365" s="1" t="s">
        <v>72</v>
      </c>
      <c r="J365" s="1" t="s">
        <v>68</v>
      </c>
      <c r="K365" s="1" t="s">
        <v>68</v>
      </c>
      <c r="L365" s="1" t="s">
        <v>68</v>
      </c>
      <c r="M365" s="1" t="s">
        <v>68</v>
      </c>
      <c r="N365" s="1" t="s">
        <v>7596</v>
      </c>
      <c r="O365" s="1" t="s">
        <v>7597</v>
      </c>
      <c r="P365" s="1" t="s">
        <v>7598</v>
      </c>
      <c r="Q365" s="1" t="s">
        <v>7599</v>
      </c>
      <c r="R365" s="1" t="s">
        <v>7600</v>
      </c>
      <c r="S365" s="1" t="s">
        <v>7601</v>
      </c>
      <c r="T365" s="1" t="s">
        <v>7602</v>
      </c>
      <c r="U365" s="1" t="s">
        <v>7603</v>
      </c>
      <c r="V365" s="1" t="s">
        <v>7604</v>
      </c>
      <c r="W365" s="1" t="s">
        <v>68</v>
      </c>
      <c r="X365" s="1" t="s">
        <v>68</v>
      </c>
      <c r="Y365" s="1" t="s">
        <v>68</v>
      </c>
      <c r="Z365" s="1">
        <v>75.0</v>
      </c>
      <c r="AA365" s="1">
        <v>32.0</v>
      </c>
      <c r="AB365" s="1">
        <v>40.0</v>
      </c>
      <c r="AC365" s="1">
        <v>1.0</v>
      </c>
      <c r="AD365" s="1">
        <v>30.0</v>
      </c>
      <c r="AE365" s="1" t="s">
        <v>114</v>
      </c>
      <c r="AF365" s="1" t="s">
        <v>1505</v>
      </c>
      <c r="AG365" s="1" t="s">
        <v>1506</v>
      </c>
      <c r="AH365" s="1" t="s">
        <v>1507</v>
      </c>
      <c r="AI365" s="1" t="s">
        <v>1508</v>
      </c>
      <c r="AJ365" s="1" t="s">
        <v>68</v>
      </c>
      <c r="AK365" s="1" t="s">
        <v>1509</v>
      </c>
      <c r="AL365" s="1" t="s">
        <v>1510</v>
      </c>
      <c r="AM365" s="1" t="s">
        <v>457</v>
      </c>
      <c r="AN365" s="1">
        <v>2020.0</v>
      </c>
      <c r="AO365" s="1">
        <v>29.0</v>
      </c>
      <c r="AP365" s="1">
        <v>6.0</v>
      </c>
      <c r="AQ365" s="1" t="s">
        <v>68</v>
      </c>
      <c r="AR365" s="1" t="s">
        <v>68</v>
      </c>
      <c r="AS365" s="1" t="s">
        <v>68</v>
      </c>
      <c r="AT365" s="1" t="s">
        <v>68</v>
      </c>
      <c r="AU365" s="1">
        <v>1767.0</v>
      </c>
      <c r="AV365" s="1">
        <v>1781.0</v>
      </c>
      <c r="AW365" s="1" t="s">
        <v>68</v>
      </c>
      <c r="AX365" s="1" t="s">
        <v>7605</v>
      </c>
      <c r="AY365" s="3" t="str">
        <f>HYPERLINK("http://dx.doi.org/10.1007/s10531-020-01956-0","http://dx.doi.org/10.1007/s10531-020-01956-0")</f>
        <v>http://dx.doi.org/10.1007/s10531-020-01956-0</v>
      </c>
      <c r="AZ365" s="1" t="s">
        <v>68</v>
      </c>
      <c r="BA365" s="1" t="s">
        <v>68</v>
      </c>
      <c r="BB365" s="1">
        <v>15.0</v>
      </c>
      <c r="BC365" s="1" t="s">
        <v>122</v>
      </c>
      <c r="BD365" s="1" t="s">
        <v>92</v>
      </c>
      <c r="BE365" s="1" t="s">
        <v>123</v>
      </c>
      <c r="BF365" s="1" t="s">
        <v>7606</v>
      </c>
      <c r="BG365" s="1" t="s">
        <v>68</v>
      </c>
      <c r="BH365" s="1" t="s">
        <v>644</v>
      </c>
      <c r="BI365" s="1" t="s">
        <v>68</v>
      </c>
      <c r="BJ365" s="1" t="s">
        <v>68</v>
      </c>
      <c r="BK365" s="1" t="s">
        <v>95</v>
      </c>
      <c r="BL365" s="1" t="s">
        <v>7607</v>
      </c>
      <c r="BM365" s="1" t="str">
        <f>HYPERLINK("https%3A%2F%2Fwww.webofscience.com%2Fwos%2Fwoscc%2Ffull-record%2FWOS:000522656400003","View Full Record in Web of Science")</f>
        <v>View Full Record in Web of Science</v>
      </c>
    </row>
    <row r="366" ht="12.75" customHeight="1">
      <c r="A366" s="1" t="s">
        <v>65</v>
      </c>
      <c r="B366" s="1" t="s">
        <v>7608</v>
      </c>
      <c r="C366" s="1" t="s">
        <v>7609</v>
      </c>
      <c r="D366" s="1" t="s">
        <v>68</v>
      </c>
      <c r="E366" s="1" t="s">
        <v>7610</v>
      </c>
      <c r="F366" s="1" t="s">
        <v>1895</v>
      </c>
      <c r="G366" s="1" t="s">
        <v>68</v>
      </c>
      <c r="H366" s="1" t="s">
        <v>71</v>
      </c>
      <c r="I366" s="1" t="s">
        <v>72</v>
      </c>
      <c r="J366" s="1" t="s">
        <v>68</v>
      </c>
      <c r="K366" s="1" t="s">
        <v>68</v>
      </c>
      <c r="L366" s="1" t="s">
        <v>68</v>
      </c>
      <c r="M366" s="1" t="s">
        <v>68</v>
      </c>
      <c r="N366" s="1" t="s">
        <v>68</v>
      </c>
      <c r="O366" s="1" t="s">
        <v>7611</v>
      </c>
      <c r="P366" s="1" t="s">
        <v>7612</v>
      </c>
      <c r="Q366" s="1" t="s">
        <v>7613</v>
      </c>
      <c r="R366" s="1" t="s">
        <v>7614</v>
      </c>
      <c r="S366" s="1" t="s">
        <v>7615</v>
      </c>
      <c r="T366" s="1" t="s">
        <v>1040</v>
      </c>
      <c r="U366" s="1" t="s">
        <v>7616</v>
      </c>
      <c r="V366" s="1" t="s">
        <v>7617</v>
      </c>
      <c r="W366" s="1" t="s">
        <v>7618</v>
      </c>
      <c r="X366" s="1" t="s">
        <v>7619</v>
      </c>
      <c r="Y366" s="1" t="s">
        <v>7620</v>
      </c>
      <c r="Z366" s="1">
        <v>59.0</v>
      </c>
      <c r="AA366" s="1">
        <v>47.0</v>
      </c>
      <c r="AB366" s="1">
        <v>50.0</v>
      </c>
      <c r="AC366" s="1">
        <v>1.0</v>
      </c>
      <c r="AD366" s="1">
        <v>92.0</v>
      </c>
      <c r="AE366" s="1" t="s">
        <v>1906</v>
      </c>
      <c r="AF366" s="1" t="s">
        <v>1907</v>
      </c>
      <c r="AG366" s="1" t="s">
        <v>1908</v>
      </c>
      <c r="AH366" s="1" t="s">
        <v>1909</v>
      </c>
      <c r="AI366" s="1" t="s">
        <v>68</v>
      </c>
      <c r="AJ366" s="1" t="s">
        <v>68</v>
      </c>
      <c r="AK366" s="1" t="s">
        <v>1895</v>
      </c>
      <c r="AL366" s="1" t="s">
        <v>1910</v>
      </c>
      <c r="AM366" s="1" t="s">
        <v>7621</v>
      </c>
      <c r="AN366" s="1">
        <v>2016.0</v>
      </c>
      <c r="AO366" s="1">
        <v>11.0</v>
      </c>
      <c r="AP366" s="1">
        <v>3.0</v>
      </c>
      <c r="AQ366" s="1" t="s">
        <v>68</v>
      </c>
      <c r="AR366" s="1" t="s">
        <v>68</v>
      </c>
      <c r="AS366" s="1" t="s">
        <v>68</v>
      </c>
      <c r="AT366" s="1" t="s">
        <v>68</v>
      </c>
      <c r="AU366" s="1" t="s">
        <v>68</v>
      </c>
      <c r="AV366" s="1" t="s">
        <v>68</v>
      </c>
      <c r="AW366" s="1" t="s">
        <v>7622</v>
      </c>
      <c r="AX366" s="1" t="s">
        <v>7623</v>
      </c>
      <c r="AY366" s="3" t="str">
        <f>HYPERLINK("http://dx.doi.org/10.1371/journal.pone.0150794","http://dx.doi.org/10.1371/journal.pone.0150794")</f>
        <v>http://dx.doi.org/10.1371/journal.pone.0150794</v>
      </c>
      <c r="AZ366" s="1" t="s">
        <v>68</v>
      </c>
      <c r="BA366" s="1" t="s">
        <v>68</v>
      </c>
      <c r="BB366" s="1">
        <v>14.0</v>
      </c>
      <c r="BC366" s="1" t="s">
        <v>742</v>
      </c>
      <c r="BD366" s="1" t="s">
        <v>92</v>
      </c>
      <c r="BE366" s="1" t="s">
        <v>743</v>
      </c>
      <c r="BF366" s="1" t="s">
        <v>7624</v>
      </c>
      <c r="BG366" s="1">
        <v>2.6985824E7</v>
      </c>
      <c r="BH366" s="1" t="s">
        <v>94</v>
      </c>
      <c r="BI366" s="1" t="s">
        <v>68</v>
      </c>
      <c r="BJ366" s="1" t="s">
        <v>68</v>
      </c>
      <c r="BK366" s="1" t="s">
        <v>95</v>
      </c>
      <c r="BL366" s="1" t="s">
        <v>7625</v>
      </c>
      <c r="BM366" s="1" t="str">
        <f>HYPERLINK("https%3A%2F%2Fwww.webofscience.com%2Fwos%2Fwoscc%2Ffull-record%2FWOS:000372580300027","View Full Record in Web of Science")</f>
        <v>View Full Record in Web of Science</v>
      </c>
    </row>
    <row r="367" ht="12.75" customHeight="1">
      <c r="A367" s="1" t="s">
        <v>65</v>
      </c>
      <c r="B367" s="1" t="s">
        <v>7228</v>
      </c>
      <c r="C367" s="1" t="s">
        <v>7229</v>
      </c>
      <c r="D367" s="1" t="s">
        <v>68</v>
      </c>
      <c r="E367" s="1" t="s">
        <v>7626</v>
      </c>
      <c r="F367" s="1" t="s">
        <v>1996</v>
      </c>
      <c r="G367" s="1" t="s">
        <v>68</v>
      </c>
      <c r="H367" s="1" t="s">
        <v>71</v>
      </c>
      <c r="I367" s="1" t="s">
        <v>72</v>
      </c>
      <c r="J367" s="1" t="s">
        <v>68</v>
      </c>
      <c r="K367" s="1" t="s">
        <v>68</v>
      </c>
      <c r="L367" s="1" t="s">
        <v>68</v>
      </c>
      <c r="M367" s="1" t="s">
        <v>68</v>
      </c>
      <c r="N367" s="1" t="s">
        <v>7627</v>
      </c>
      <c r="O367" s="1" t="s">
        <v>2075</v>
      </c>
      <c r="P367" s="1" t="s">
        <v>7628</v>
      </c>
      <c r="Q367" s="1" t="s">
        <v>7629</v>
      </c>
      <c r="R367" s="1" t="s">
        <v>7630</v>
      </c>
      <c r="S367" s="1" t="s">
        <v>7631</v>
      </c>
      <c r="T367" s="1" t="s">
        <v>7632</v>
      </c>
      <c r="U367" s="1" t="s">
        <v>7633</v>
      </c>
      <c r="V367" s="1" t="s">
        <v>7634</v>
      </c>
      <c r="W367" s="1" t="s">
        <v>7635</v>
      </c>
      <c r="X367" s="1" t="s">
        <v>7636</v>
      </c>
      <c r="Y367" s="1" t="s">
        <v>7637</v>
      </c>
      <c r="Z367" s="1">
        <v>48.0</v>
      </c>
      <c r="AA367" s="1">
        <v>1.0</v>
      </c>
      <c r="AB367" s="1">
        <v>1.0</v>
      </c>
      <c r="AC367" s="1">
        <v>1.0</v>
      </c>
      <c r="AD367" s="1">
        <v>1.0</v>
      </c>
      <c r="AE367" s="1" t="s">
        <v>247</v>
      </c>
      <c r="AF367" s="1" t="s">
        <v>248</v>
      </c>
      <c r="AG367" s="1" t="s">
        <v>249</v>
      </c>
      <c r="AH367" s="1" t="s">
        <v>68</v>
      </c>
      <c r="AI367" s="1" t="s">
        <v>2007</v>
      </c>
      <c r="AJ367" s="1" t="s">
        <v>68</v>
      </c>
      <c r="AK367" s="1" t="s">
        <v>2008</v>
      </c>
      <c r="AL367" s="1" t="s">
        <v>2009</v>
      </c>
      <c r="AM367" s="1" t="s">
        <v>7638</v>
      </c>
      <c r="AN367" s="1">
        <v>2025.0</v>
      </c>
      <c r="AO367" s="1">
        <v>17.0</v>
      </c>
      <c r="AP367" s="1">
        <v>20.0</v>
      </c>
      <c r="AQ367" s="1" t="s">
        <v>68</v>
      </c>
      <c r="AR367" s="1" t="s">
        <v>68</v>
      </c>
      <c r="AS367" s="1" t="s">
        <v>68</v>
      </c>
      <c r="AT367" s="1" t="s">
        <v>68</v>
      </c>
      <c r="AU367" s="1" t="s">
        <v>68</v>
      </c>
      <c r="AV367" s="1" t="s">
        <v>68</v>
      </c>
      <c r="AW367" s="1">
        <v>9198.0</v>
      </c>
      <c r="AX367" s="1" t="s">
        <v>7639</v>
      </c>
      <c r="AY367" s="3" t="str">
        <f>HYPERLINK("http://dx.doi.org/10.3390/su17209198","http://dx.doi.org/10.3390/su17209198")</f>
        <v>http://dx.doi.org/10.3390/su17209198</v>
      </c>
      <c r="AZ367" s="1" t="s">
        <v>68</v>
      </c>
      <c r="BA367" s="1" t="s">
        <v>68</v>
      </c>
      <c r="BB367" s="1">
        <v>14.0</v>
      </c>
      <c r="BC367" s="1" t="s">
        <v>1052</v>
      </c>
      <c r="BD367" s="1" t="s">
        <v>279</v>
      </c>
      <c r="BE367" s="1" t="s">
        <v>1053</v>
      </c>
      <c r="BF367" s="1" t="s">
        <v>7640</v>
      </c>
      <c r="BG367" s="1" t="s">
        <v>68</v>
      </c>
      <c r="BH367" s="1" t="s">
        <v>462</v>
      </c>
      <c r="BI367" s="1" t="s">
        <v>68</v>
      </c>
      <c r="BJ367" s="1" t="s">
        <v>68</v>
      </c>
      <c r="BK367" s="1" t="s">
        <v>95</v>
      </c>
      <c r="BL367" s="1" t="s">
        <v>7641</v>
      </c>
      <c r="BM367" s="1" t="str">
        <f>HYPERLINK("https%3A%2F%2Fwww.webofscience.com%2Fwos%2Fwoscc%2Ffull-record%2FWOS:001602408300001","View Full Record in Web of Science")</f>
        <v>View Full Record in Web of Science</v>
      </c>
    </row>
    <row r="368" ht="12.75" customHeight="1">
      <c r="A368" s="1" t="s">
        <v>65</v>
      </c>
      <c r="B368" s="1" t="s">
        <v>7642</v>
      </c>
      <c r="C368" s="1" t="s">
        <v>7643</v>
      </c>
      <c r="D368" s="1" t="s">
        <v>68</v>
      </c>
      <c r="E368" s="1" t="s">
        <v>7644</v>
      </c>
      <c r="F368" s="1" t="s">
        <v>7645</v>
      </c>
      <c r="G368" s="1" t="s">
        <v>68</v>
      </c>
      <c r="H368" s="1" t="s">
        <v>71</v>
      </c>
      <c r="I368" s="1" t="s">
        <v>72</v>
      </c>
      <c r="J368" s="1" t="s">
        <v>68</v>
      </c>
      <c r="K368" s="1" t="s">
        <v>68</v>
      </c>
      <c r="L368" s="1" t="s">
        <v>68</v>
      </c>
      <c r="M368" s="1" t="s">
        <v>68</v>
      </c>
      <c r="N368" s="1" t="s">
        <v>7646</v>
      </c>
      <c r="O368" s="1" t="s">
        <v>68</v>
      </c>
      <c r="P368" s="1" t="s">
        <v>7647</v>
      </c>
      <c r="Q368" s="1" t="s">
        <v>7648</v>
      </c>
      <c r="R368" s="1" t="s">
        <v>7649</v>
      </c>
      <c r="S368" s="1" t="s">
        <v>7650</v>
      </c>
      <c r="T368" s="1" t="s">
        <v>7651</v>
      </c>
      <c r="U368" s="1" t="s">
        <v>7652</v>
      </c>
      <c r="V368" s="1" t="s">
        <v>68</v>
      </c>
      <c r="W368" s="1" t="s">
        <v>68</v>
      </c>
      <c r="X368" s="1" t="s">
        <v>68</v>
      </c>
      <c r="Y368" s="1" t="s">
        <v>68</v>
      </c>
      <c r="Z368" s="1">
        <v>27.0</v>
      </c>
      <c r="AA368" s="1">
        <v>0.0</v>
      </c>
      <c r="AB368" s="1">
        <v>0.0</v>
      </c>
      <c r="AC368" s="1">
        <v>2.0</v>
      </c>
      <c r="AD368" s="1">
        <v>2.0</v>
      </c>
      <c r="AE368" s="1" t="s">
        <v>7653</v>
      </c>
      <c r="AF368" s="1" t="s">
        <v>7654</v>
      </c>
      <c r="AG368" s="1" t="s">
        <v>7655</v>
      </c>
      <c r="AH368" s="1" t="s">
        <v>7656</v>
      </c>
      <c r="AI368" s="1" t="s">
        <v>68</v>
      </c>
      <c r="AJ368" s="1" t="s">
        <v>68</v>
      </c>
      <c r="AK368" s="1" t="s">
        <v>7645</v>
      </c>
      <c r="AL368" s="1" t="s">
        <v>7645</v>
      </c>
      <c r="AM368" s="1" t="s">
        <v>68</v>
      </c>
      <c r="AN368" s="1">
        <v>2025.0</v>
      </c>
      <c r="AO368" s="1">
        <v>16.0</v>
      </c>
      <c r="AP368" s="1" t="s">
        <v>68</v>
      </c>
      <c r="AQ368" s="1" t="s">
        <v>68</v>
      </c>
      <c r="AR368" s="1" t="s">
        <v>68</v>
      </c>
      <c r="AS368" s="1" t="s">
        <v>68</v>
      </c>
      <c r="AT368" s="1" t="s">
        <v>68</v>
      </c>
      <c r="AU368" s="1">
        <v>61.0</v>
      </c>
      <c r="AV368" s="1">
        <v>73.0</v>
      </c>
      <c r="AW368" s="1" t="s">
        <v>68</v>
      </c>
      <c r="AX368" s="1" t="s">
        <v>7657</v>
      </c>
      <c r="AY368" s="3" t="str">
        <f>HYPERLINK("http://dx.doi.org/10.26895/geosaberes.v16i0.1382","http://dx.doi.org/10.26895/geosaberes.v16i0.1382")</f>
        <v>http://dx.doi.org/10.26895/geosaberes.v16i0.1382</v>
      </c>
      <c r="AZ368" s="1" t="s">
        <v>68</v>
      </c>
      <c r="BA368" s="1" t="s">
        <v>68</v>
      </c>
      <c r="BB368" s="1">
        <v>13.0</v>
      </c>
      <c r="BC368" s="1" t="s">
        <v>1942</v>
      </c>
      <c r="BD368" s="1" t="s">
        <v>197</v>
      </c>
      <c r="BE368" s="1" t="s">
        <v>1942</v>
      </c>
      <c r="BF368" s="1" t="s">
        <v>7658</v>
      </c>
      <c r="BG368" s="1" t="s">
        <v>68</v>
      </c>
      <c r="BH368" s="1" t="s">
        <v>68</v>
      </c>
      <c r="BI368" s="1" t="s">
        <v>68</v>
      </c>
      <c r="BJ368" s="1" t="s">
        <v>68</v>
      </c>
      <c r="BK368" s="1" t="s">
        <v>95</v>
      </c>
      <c r="BL368" s="1" t="s">
        <v>7659</v>
      </c>
      <c r="BM368" s="1" t="str">
        <f>HYPERLINK("https%3A%2F%2Fwww.webofscience.com%2Fwos%2Fwoscc%2Ffull-record%2FWOS:001619104700001","View Full Record in Web of Science")</f>
        <v>View Full Record in Web of Science</v>
      </c>
    </row>
    <row r="369" ht="12.75" customHeight="1">
      <c r="A369" s="1" t="s">
        <v>65</v>
      </c>
      <c r="B369" s="1" t="s">
        <v>7660</v>
      </c>
      <c r="C369" s="1" t="s">
        <v>7661</v>
      </c>
      <c r="D369" s="1" t="s">
        <v>68</v>
      </c>
      <c r="E369" s="1" t="s">
        <v>7662</v>
      </c>
      <c r="F369" s="1" t="s">
        <v>1653</v>
      </c>
      <c r="G369" s="1" t="s">
        <v>68</v>
      </c>
      <c r="H369" s="1" t="s">
        <v>71</v>
      </c>
      <c r="I369" s="1" t="s">
        <v>72</v>
      </c>
      <c r="J369" s="1" t="s">
        <v>68</v>
      </c>
      <c r="K369" s="1" t="s">
        <v>68</v>
      </c>
      <c r="L369" s="1" t="s">
        <v>68</v>
      </c>
      <c r="M369" s="1" t="s">
        <v>68</v>
      </c>
      <c r="N369" s="1" t="s">
        <v>7663</v>
      </c>
      <c r="O369" s="1" t="s">
        <v>7664</v>
      </c>
      <c r="P369" s="1" t="s">
        <v>7665</v>
      </c>
      <c r="Q369" s="1" t="s">
        <v>7666</v>
      </c>
      <c r="R369" s="1" t="s">
        <v>7667</v>
      </c>
      <c r="S369" s="1" t="s">
        <v>7668</v>
      </c>
      <c r="T369" s="1" t="s">
        <v>7669</v>
      </c>
      <c r="U369" s="1" t="s">
        <v>7670</v>
      </c>
      <c r="V369" s="1" t="s">
        <v>7671</v>
      </c>
      <c r="W369" s="1" t="s">
        <v>7672</v>
      </c>
      <c r="X369" s="1" t="s">
        <v>7673</v>
      </c>
      <c r="Y369" s="1" t="s">
        <v>7674</v>
      </c>
      <c r="Z369" s="1">
        <v>66.0</v>
      </c>
      <c r="AA369" s="1">
        <v>14.0</v>
      </c>
      <c r="AB369" s="1">
        <v>17.0</v>
      </c>
      <c r="AC369" s="1">
        <v>1.0</v>
      </c>
      <c r="AD369" s="1">
        <v>19.0</v>
      </c>
      <c r="AE369" s="1" t="s">
        <v>811</v>
      </c>
      <c r="AF369" s="1" t="s">
        <v>1666</v>
      </c>
      <c r="AG369" s="1" t="s">
        <v>1667</v>
      </c>
      <c r="AH369" s="1" t="s">
        <v>1668</v>
      </c>
      <c r="AI369" s="1" t="s">
        <v>1669</v>
      </c>
      <c r="AJ369" s="1" t="s">
        <v>68</v>
      </c>
      <c r="AK369" s="1" t="s">
        <v>1670</v>
      </c>
      <c r="AL369" s="1" t="s">
        <v>1671</v>
      </c>
      <c r="AM369" s="1" t="s">
        <v>7675</v>
      </c>
      <c r="AN369" s="1">
        <v>2023.0</v>
      </c>
      <c r="AO369" s="1">
        <v>231.0</v>
      </c>
      <c r="AP369" s="1" t="s">
        <v>68</v>
      </c>
      <c r="AQ369" s="1" t="s">
        <v>68</v>
      </c>
      <c r="AR369" s="1" t="s">
        <v>68</v>
      </c>
      <c r="AS369" s="1" t="s">
        <v>68</v>
      </c>
      <c r="AT369" s="1" t="s">
        <v>68</v>
      </c>
      <c r="AU369" s="1" t="s">
        <v>68</v>
      </c>
      <c r="AV369" s="1" t="s">
        <v>68</v>
      </c>
      <c r="AW369" s="1">
        <v>106403.0</v>
      </c>
      <c r="AX369" s="1" t="s">
        <v>7676</v>
      </c>
      <c r="AY369" s="3" t="str">
        <f>HYPERLINK("http://dx.doi.org/10.1016/j.ocecoaman.2022.106403","http://dx.doi.org/10.1016/j.ocecoaman.2022.106403")</f>
        <v>http://dx.doi.org/10.1016/j.ocecoaman.2022.106403</v>
      </c>
      <c r="AZ369" s="1" t="s">
        <v>68</v>
      </c>
      <c r="BA369" s="1" t="s">
        <v>6300</v>
      </c>
      <c r="BB369" s="1">
        <v>10.0</v>
      </c>
      <c r="BC369" s="1" t="s">
        <v>1674</v>
      </c>
      <c r="BD369" s="1" t="s">
        <v>92</v>
      </c>
      <c r="BE369" s="1" t="s">
        <v>1674</v>
      </c>
      <c r="BF369" s="1" t="s">
        <v>7677</v>
      </c>
      <c r="BG369" s="1" t="s">
        <v>68</v>
      </c>
      <c r="BH369" s="1" t="s">
        <v>68</v>
      </c>
      <c r="BI369" s="1" t="s">
        <v>68</v>
      </c>
      <c r="BJ369" s="1" t="s">
        <v>68</v>
      </c>
      <c r="BK369" s="1" t="s">
        <v>95</v>
      </c>
      <c r="BL369" s="1" t="s">
        <v>7678</v>
      </c>
      <c r="BM369" s="1" t="str">
        <f>HYPERLINK("https%3A%2F%2Fwww.webofscience.com%2Fwos%2Fwoscc%2Ffull-record%2FWOS:000882333000001","View Full Record in Web of Science")</f>
        <v>View Full Record in Web of Science</v>
      </c>
    </row>
    <row r="370" ht="12.75" customHeight="1">
      <c r="A370" s="1" t="s">
        <v>65</v>
      </c>
      <c r="B370" s="1" t="s">
        <v>7679</v>
      </c>
      <c r="C370" s="1" t="s">
        <v>7680</v>
      </c>
      <c r="D370" s="1" t="s">
        <v>68</v>
      </c>
      <c r="E370" s="1" t="s">
        <v>7681</v>
      </c>
      <c r="F370" s="1" t="s">
        <v>798</v>
      </c>
      <c r="G370" s="1" t="s">
        <v>68</v>
      </c>
      <c r="H370" s="1" t="s">
        <v>71</v>
      </c>
      <c r="I370" s="1" t="s">
        <v>72</v>
      </c>
      <c r="J370" s="1" t="s">
        <v>68</v>
      </c>
      <c r="K370" s="1" t="s">
        <v>68</v>
      </c>
      <c r="L370" s="1" t="s">
        <v>68</v>
      </c>
      <c r="M370" s="1" t="s">
        <v>68</v>
      </c>
      <c r="N370" s="1" t="s">
        <v>7682</v>
      </c>
      <c r="O370" s="1" t="s">
        <v>7683</v>
      </c>
      <c r="P370" s="1" t="s">
        <v>7684</v>
      </c>
      <c r="Q370" s="1" t="s">
        <v>7685</v>
      </c>
      <c r="R370" s="1" t="s">
        <v>7686</v>
      </c>
      <c r="S370" s="1" t="s">
        <v>7687</v>
      </c>
      <c r="T370" s="1" t="s">
        <v>7688</v>
      </c>
      <c r="U370" s="1" t="s">
        <v>7689</v>
      </c>
      <c r="V370" s="1" t="s">
        <v>7690</v>
      </c>
      <c r="W370" s="1" t="s">
        <v>7691</v>
      </c>
      <c r="X370" s="1" t="s">
        <v>7692</v>
      </c>
      <c r="Y370" s="1" t="s">
        <v>7693</v>
      </c>
      <c r="Z370" s="1">
        <v>51.0</v>
      </c>
      <c r="AA370" s="1">
        <v>394.0</v>
      </c>
      <c r="AB370" s="1">
        <v>499.0</v>
      </c>
      <c r="AC370" s="1">
        <v>8.0</v>
      </c>
      <c r="AD370" s="1">
        <v>364.0</v>
      </c>
      <c r="AE370" s="1" t="s">
        <v>811</v>
      </c>
      <c r="AF370" s="1" t="s">
        <v>423</v>
      </c>
      <c r="AG370" s="1" t="s">
        <v>812</v>
      </c>
      <c r="AH370" s="1" t="s">
        <v>813</v>
      </c>
      <c r="AI370" s="1" t="s">
        <v>814</v>
      </c>
      <c r="AJ370" s="1" t="s">
        <v>68</v>
      </c>
      <c r="AK370" s="1" t="s">
        <v>815</v>
      </c>
      <c r="AL370" s="1" t="s">
        <v>816</v>
      </c>
      <c r="AM370" s="1" t="s">
        <v>1169</v>
      </c>
      <c r="AN370" s="1">
        <v>2015.0</v>
      </c>
      <c r="AO370" s="1">
        <v>183.0</v>
      </c>
      <c r="AP370" s="1" t="s">
        <v>68</v>
      </c>
      <c r="AQ370" s="1" t="s">
        <v>68</v>
      </c>
      <c r="AR370" s="1" t="s">
        <v>68</v>
      </c>
      <c r="AS370" s="1" t="s">
        <v>563</v>
      </c>
      <c r="AT370" s="1" t="s">
        <v>68</v>
      </c>
      <c r="AU370" s="1">
        <v>19.0</v>
      </c>
      <c r="AV370" s="1">
        <v>28.0</v>
      </c>
      <c r="AW370" s="1" t="s">
        <v>68</v>
      </c>
      <c r="AX370" s="1" t="s">
        <v>7694</v>
      </c>
      <c r="AY370" s="3" t="str">
        <f>HYPERLINK("http://dx.doi.org/10.1016/j.biocon.2014.11.029","http://dx.doi.org/10.1016/j.biocon.2014.11.029")</f>
        <v>http://dx.doi.org/10.1016/j.biocon.2014.11.029</v>
      </c>
      <c r="AZ370" s="1" t="s">
        <v>68</v>
      </c>
      <c r="BA370" s="1" t="s">
        <v>68</v>
      </c>
      <c r="BB370" s="1">
        <v>10.0</v>
      </c>
      <c r="BC370" s="1" t="s">
        <v>122</v>
      </c>
      <c r="BD370" s="1" t="s">
        <v>92</v>
      </c>
      <c r="BE370" s="1" t="s">
        <v>123</v>
      </c>
      <c r="BF370" s="1" t="s">
        <v>7695</v>
      </c>
      <c r="BG370" s="1" t="s">
        <v>68</v>
      </c>
      <c r="BH370" s="1" t="s">
        <v>68</v>
      </c>
      <c r="BI370" s="1" t="s">
        <v>820</v>
      </c>
      <c r="BJ370" s="1" t="s">
        <v>821</v>
      </c>
      <c r="BK370" s="1" t="s">
        <v>95</v>
      </c>
      <c r="BL370" s="1" t="s">
        <v>7696</v>
      </c>
      <c r="BM370" s="1" t="str">
        <f>HYPERLINK("https%3A%2F%2Fwww.webofscience.com%2Fwos%2Fwoscc%2Ffull-record%2FWOS:000349878700003","View Full Record in Web of Science")</f>
        <v>View Full Record in Web of Science</v>
      </c>
    </row>
    <row r="371" ht="12.75" customHeight="1">
      <c r="A371" s="1" t="s">
        <v>65</v>
      </c>
      <c r="B371" s="1" t="s">
        <v>7697</v>
      </c>
      <c r="C371" s="1" t="s">
        <v>7698</v>
      </c>
      <c r="D371" s="1" t="s">
        <v>68</v>
      </c>
      <c r="E371" s="1" t="s">
        <v>7699</v>
      </c>
      <c r="F371" s="1" t="s">
        <v>3546</v>
      </c>
      <c r="G371" s="1" t="s">
        <v>68</v>
      </c>
      <c r="H371" s="1" t="s">
        <v>71</v>
      </c>
      <c r="I371" s="1" t="s">
        <v>72</v>
      </c>
      <c r="J371" s="1" t="s">
        <v>68</v>
      </c>
      <c r="K371" s="1" t="s">
        <v>68</v>
      </c>
      <c r="L371" s="1" t="s">
        <v>68</v>
      </c>
      <c r="M371" s="1" t="s">
        <v>68</v>
      </c>
      <c r="N371" s="1" t="s">
        <v>7700</v>
      </c>
      <c r="O371" s="1" t="s">
        <v>7701</v>
      </c>
      <c r="P371" s="1" t="s">
        <v>7702</v>
      </c>
      <c r="Q371" s="1" t="s">
        <v>7703</v>
      </c>
      <c r="R371" s="1" t="s">
        <v>7704</v>
      </c>
      <c r="S371" s="1" t="s">
        <v>7705</v>
      </c>
      <c r="T371" s="1" t="s">
        <v>7706</v>
      </c>
      <c r="U371" s="1" t="s">
        <v>7707</v>
      </c>
      <c r="V371" s="1" t="s">
        <v>7708</v>
      </c>
      <c r="W371" s="1" t="s">
        <v>7709</v>
      </c>
      <c r="X371" s="1" t="s">
        <v>7710</v>
      </c>
      <c r="Y371" s="1" t="s">
        <v>7711</v>
      </c>
      <c r="Z371" s="1">
        <v>68.0</v>
      </c>
      <c r="AA371" s="1">
        <v>6.0</v>
      </c>
      <c r="AB371" s="1">
        <v>6.0</v>
      </c>
      <c r="AC371" s="1">
        <v>2.0</v>
      </c>
      <c r="AD371" s="1">
        <v>12.0</v>
      </c>
      <c r="AE371" s="1" t="s">
        <v>1596</v>
      </c>
      <c r="AF371" s="1" t="s">
        <v>1182</v>
      </c>
      <c r="AG371" s="1" t="s">
        <v>1597</v>
      </c>
      <c r="AH371" s="1" t="s">
        <v>3558</v>
      </c>
      <c r="AI371" s="1" t="s">
        <v>3559</v>
      </c>
      <c r="AJ371" s="1" t="s">
        <v>68</v>
      </c>
      <c r="AK371" s="1" t="s">
        <v>3560</v>
      </c>
      <c r="AL371" s="1" t="s">
        <v>3561</v>
      </c>
      <c r="AM371" s="1" t="s">
        <v>120</v>
      </c>
      <c r="AN371" s="1">
        <v>2022.0</v>
      </c>
      <c r="AO371" s="1">
        <v>72.0</v>
      </c>
      <c r="AP371" s="1" t="s">
        <v>68</v>
      </c>
      <c r="AQ371" s="1" t="s">
        <v>68</v>
      </c>
      <c r="AR371" s="1" t="s">
        <v>68</v>
      </c>
      <c r="AS371" s="1" t="s">
        <v>68</v>
      </c>
      <c r="AT371" s="1" t="s">
        <v>68</v>
      </c>
      <c r="AU371" s="1" t="s">
        <v>68</v>
      </c>
      <c r="AV371" s="1" t="s">
        <v>68</v>
      </c>
      <c r="AW371" s="1">
        <v>101916.0</v>
      </c>
      <c r="AX371" s="1" t="s">
        <v>7712</v>
      </c>
      <c r="AY371" s="3" t="str">
        <f>HYPERLINK("http://dx.doi.org/10.1016/j.ecoinf.2022.101916","http://dx.doi.org/10.1016/j.ecoinf.2022.101916")</f>
        <v>http://dx.doi.org/10.1016/j.ecoinf.2022.101916</v>
      </c>
      <c r="AZ371" s="1" t="s">
        <v>68</v>
      </c>
      <c r="BA371" s="1" t="s">
        <v>226</v>
      </c>
      <c r="BB371" s="1">
        <v>12.0</v>
      </c>
      <c r="BC371" s="1" t="s">
        <v>332</v>
      </c>
      <c r="BD371" s="1" t="s">
        <v>92</v>
      </c>
      <c r="BE371" s="1" t="s">
        <v>333</v>
      </c>
      <c r="BF371" s="1" t="s">
        <v>7713</v>
      </c>
      <c r="BG371" s="1" t="s">
        <v>68</v>
      </c>
      <c r="BH371" s="1" t="s">
        <v>68</v>
      </c>
      <c r="BI371" s="1" t="s">
        <v>68</v>
      </c>
      <c r="BJ371" s="1" t="s">
        <v>68</v>
      </c>
      <c r="BK371" s="1" t="s">
        <v>95</v>
      </c>
      <c r="BL371" s="1" t="s">
        <v>7714</v>
      </c>
      <c r="BM371" s="1" t="str">
        <f>HYPERLINK("https%3A%2F%2Fwww.webofscience.com%2Fwos%2Fwoscc%2Ffull-record%2FWOS:000896642200005","View Full Record in Web of Science")</f>
        <v>View Full Record in Web of Science</v>
      </c>
    </row>
    <row r="372" ht="12.75" customHeight="1">
      <c r="A372" s="1" t="s">
        <v>65</v>
      </c>
      <c r="B372" s="1" t="s">
        <v>7715</v>
      </c>
      <c r="C372" s="1" t="s">
        <v>7716</v>
      </c>
      <c r="D372" s="1" t="s">
        <v>68</v>
      </c>
      <c r="E372" s="1" t="s">
        <v>7717</v>
      </c>
      <c r="F372" s="1" t="s">
        <v>4549</v>
      </c>
      <c r="G372" s="1" t="s">
        <v>68</v>
      </c>
      <c r="H372" s="1" t="s">
        <v>71</v>
      </c>
      <c r="I372" s="1" t="s">
        <v>72</v>
      </c>
      <c r="J372" s="1" t="s">
        <v>68</v>
      </c>
      <c r="K372" s="1" t="s">
        <v>68</v>
      </c>
      <c r="L372" s="1" t="s">
        <v>68</v>
      </c>
      <c r="M372" s="1" t="s">
        <v>68</v>
      </c>
      <c r="N372" s="1" t="s">
        <v>7718</v>
      </c>
      <c r="O372" s="1" t="s">
        <v>7719</v>
      </c>
      <c r="P372" s="1" t="s">
        <v>7720</v>
      </c>
      <c r="Q372" s="1" t="s">
        <v>7721</v>
      </c>
      <c r="R372" s="1" t="s">
        <v>7614</v>
      </c>
      <c r="S372" s="1" t="s">
        <v>7722</v>
      </c>
      <c r="T372" s="1" t="s">
        <v>7723</v>
      </c>
      <c r="U372" s="1" t="s">
        <v>7724</v>
      </c>
      <c r="V372" s="1" t="s">
        <v>7725</v>
      </c>
      <c r="W372" s="1" t="s">
        <v>7726</v>
      </c>
      <c r="X372" s="1" t="s">
        <v>7727</v>
      </c>
      <c r="Y372" s="1" t="s">
        <v>7728</v>
      </c>
      <c r="Z372" s="1">
        <v>137.0</v>
      </c>
      <c r="AA372" s="1">
        <v>56.0</v>
      </c>
      <c r="AB372" s="1">
        <v>60.0</v>
      </c>
      <c r="AC372" s="1">
        <v>1.0</v>
      </c>
      <c r="AD372" s="1">
        <v>72.0</v>
      </c>
      <c r="AE372" s="1" t="s">
        <v>422</v>
      </c>
      <c r="AF372" s="1" t="s">
        <v>423</v>
      </c>
      <c r="AG372" s="1" t="s">
        <v>424</v>
      </c>
      <c r="AH372" s="1" t="s">
        <v>4562</v>
      </c>
      <c r="AI372" s="1" t="s">
        <v>4563</v>
      </c>
      <c r="AJ372" s="1" t="s">
        <v>68</v>
      </c>
      <c r="AK372" s="1" t="s">
        <v>4564</v>
      </c>
      <c r="AL372" s="1" t="s">
        <v>4565</v>
      </c>
      <c r="AM372" s="1" t="s">
        <v>252</v>
      </c>
      <c r="AN372" s="1">
        <v>2015.0</v>
      </c>
      <c r="AO372" s="1">
        <v>115.0</v>
      </c>
      <c r="AP372" s="1">
        <v>3.0</v>
      </c>
      <c r="AQ372" s="1" t="s">
        <v>68</v>
      </c>
      <c r="AR372" s="1" t="s">
        <v>68</v>
      </c>
      <c r="AS372" s="1" t="s">
        <v>563</v>
      </c>
      <c r="AT372" s="1" t="s">
        <v>68</v>
      </c>
      <c r="AU372" s="1">
        <v>505.0</v>
      </c>
      <c r="AV372" s="1">
        <v>521.0</v>
      </c>
      <c r="AW372" s="1" t="s">
        <v>68</v>
      </c>
      <c r="AX372" s="1" t="s">
        <v>7729</v>
      </c>
      <c r="AY372" s="3" t="str">
        <f>HYPERLINK("http://dx.doi.org/10.1111/bij.12581","http://dx.doi.org/10.1111/bij.12581")</f>
        <v>http://dx.doi.org/10.1111/bij.12581</v>
      </c>
      <c r="AZ372" s="1" t="s">
        <v>68</v>
      </c>
      <c r="BA372" s="1" t="s">
        <v>68</v>
      </c>
      <c r="BB372" s="1">
        <v>17.0</v>
      </c>
      <c r="BC372" s="1" t="s">
        <v>4567</v>
      </c>
      <c r="BD372" s="1" t="s">
        <v>92</v>
      </c>
      <c r="BE372" s="1" t="s">
        <v>4567</v>
      </c>
      <c r="BF372" s="1" t="s">
        <v>4568</v>
      </c>
      <c r="BG372" s="1" t="s">
        <v>68</v>
      </c>
      <c r="BH372" s="1" t="s">
        <v>512</v>
      </c>
      <c r="BI372" s="1" t="s">
        <v>68</v>
      </c>
      <c r="BJ372" s="1" t="s">
        <v>68</v>
      </c>
      <c r="BK372" s="1" t="s">
        <v>95</v>
      </c>
      <c r="BL372" s="1" t="s">
        <v>7730</v>
      </c>
      <c r="BM372" s="1" t="str">
        <f>HYPERLINK("https%3A%2F%2Fwww.webofscience.com%2Fwos%2Fwoscc%2Ffull-record%2FWOS:000356368400004","View Full Record in Web of Science")</f>
        <v>View Full Record in Web of Science</v>
      </c>
    </row>
    <row r="373" ht="12.75" customHeight="1">
      <c r="A373" s="1" t="s">
        <v>65</v>
      </c>
      <c r="B373" s="1" t="s">
        <v>7731</v>
      </c>
      <c r="C373" s="1" t="s">
        <v>7732</v>
      </c>
      <c r="D373" s="1" t="s">
        <v>68</v>
      </c>
      <c r="E373" s="1" t="s">
        <v>7733</v>
      </c>
      <c r="F373" s="1" t="s">
        <v>7734</v>
      </c>
      <c r="G373" s="1" t="s">
        <v>68</v>
      </c>
      <c r="H373" s="1" t="s">
        <v>71</v>
      </c>
      <c r="I373" s="1" t="s">
        <v>72</v>
      </c>
      <c r="J373" s="1" t="s">
        <v>68</v>
      </c>
      <c r="K373" s="1" t="s">
        <v>68</v>
      </c>
      <c r="L373" s="1" t="s">
        <v>68</v>
      </c>
      <c r="M373" s="1" t="s">
        <v>68</v>
      </c>
      <c r="N373" s="1" t="s">
        <v>7735</v>
      </c>
      <c r="O373" s="1" t="s">
        <v>7736</v>
      </c>
      <c r="P373" s="1" t="s">
        <v>7737</v>
      </c>
      <c r="Q373" s="1" t="s">
        <v>7738</v>
      </c>
      <c r="R373" s="1" t="s">
        <v>7739</v>
      </c>
      <c r="S373" s="1" t="s">
        <v>7740</v>
      </c>
      <c r="T373" s="1" t="s">
        <v>7741</v>
      </c>
      <c r="U373" s="1" t="s">
        <v>7742</v>
      </c>
      <c r="V373" s="1" t="s">
        <v>7743</v>
      </c>
      <c r="W373" s="1" t="s">
        <v>7744</v>
      </c>
      <c r="X373" s="1" t="s">
        <v>7745</v>
      </c>
      <c r="Y373" s="1" t="s">
        <v>7746</v>
      </c>
      <c r="Z373" s="1">
        <v>72.0</v>
      </c>
      <c r="AA373" s="1">
        <v>14.0</v>
      </c>
      <c r="AB373" s="1">
        <v>16.0</v>
      </c>
      <c r="AC373" s="1">
        <v>1.0</v>
      </c>
      <c r="AD373" s="1">
        <v>29.0</v>
      </c>
      <c r="AE373" s="1" t="s">
        <v>503</v>
      </c>
      <c r="AF373" s="1" t="s">
        <v>504</v>
      </c>
      <c r="AG373" s="1" t="s">
        <v>505</v>
      </c>
      <c r="AH373" s="1" t="s">
        <v>7747</v>
      </c>
      <c r="AI373" s="1" t="s">
        <v>7748</v>
      </c>
      <c r="AJ373" s="1" t="s">
        <v>68</v>
      </c>
      <c r="AK373" s="1" t="s">
        <v>7749</v>
      </c>
      <c r="AL373" s="1" t="s">
        <v>7750</v>
      </c>
      <c r="AM373" s="1" t="s">
        <v>224</v>
      </c>
      <c r="AN373" s="1">
        <v>2021.0</v>
      </c>
      <c r="AO373" s="1">
        <v>90.0</v>
      </c>
      <c r="AP373" s="1">
        <v>2.0</v>
      </c>
      <c r="AQ373" s="1" t="s">
        <v>68</v>
      </c>
      <c r="AR373" s="1" t="s">
        <v>68</v>
      </c>
      <c r="AS373" s="1" t="s">
        <v>68</v>
      </c>
      <c r="AT373" s="1" t="s">
        <v>68</v>
      </c>
      <c r="AU373" s="1">
        <v>330.0</v>
      </c>
      <c r="AV373" s="1">
        <v>342.0</v>
      </c>
      <c r="AW373" s="1" t="s">
        <v>68</v>
      </c>
      <c r="AX373" s="1" t="s">
        <v>7751</v>
      </c>
      <c r="AY373" s="3" t="str">
        <f>HYPERLINK("http://dx.doi.org/10.1111/1365-2656.13338","http://dx.doi.org/10.1111/1365-2656.13338")</f>
        <v>http://dx.doi.org/10.1111/1365-2656.13338</v>
      </c>
      <c r="AZ373" s="1" t="s">
        <v>68</v>
      </c>
      <c r="BA373" s="1" t="s">
        <v>5053</v>
      </c>
      <c r="BB373" s="1">
        <v>13.0</v>
      </c>
      <c r="BC373" s="1" t="s">
        <v>766</v>
      </c>
      <c r="BD373" s="1" t="s">
        <v>92</v>
      </c>
      <c r="BE373" s="1" t="s">
        <v>767</v>
      </c>
      <c r="BF373" s="1" t="s">
        <v>7752</v>
      </c>
      <c r="BG373" s="1">
        <v>3.2895962E7</v>
      </c>
      <c r="BH373" s="1" t="s">
        <v>5315</v>
      </c>
      <c r="BI373" s="1" t="s">
        <v>68</v>
      </c>
      <c r="BJ373" s="1" t="s">
        <v>68</v>
      </c>
      <c r="BK373" s="1" t="s">
        <v>95</v>
      </c>
      <c r="BL373" s="1" t="s">
        <v>7753</v>
      </c>
      <c r="BM373" s="1" t="str">
        <f>HYPERLINK("https%3A%2F%2Fwww.webofscience.com%2Fwos%2Fwoscc%2Ffull-record%2FWOS:000575019700001","View Full Record in Web of Science")</f>
        <v>View Full Record in Web of Science</v>
      </c>
    </row>
    <row r="374" ht="12.75" customHeight="1">
      <c r="A374" s="1" t="s">
        <v>65</v>
      </c>
      <c r="B374" s="1" t="s">
        <v>7754</v>
      </c>
      <c r="C374" s="1" t="s">
        <v>7755</v>
      </c>
      <c r="D374" s="1" t="s">
        <v>68</v>
      </c>
      <c r="E374" s="1" t="s">
        <v>7756</v>
      </c>
      <c r="F374" s="1" t="s">
        <v>7757</v>
      </c>
      <c r="G374" s="1" t="s">
        <v>68</v>
      </c>
      <c r="H374" s="1" t="s">
        <v>71</v>
      </c>
      <c r="I374" s="1" t="s">
        <v>72</v>
      </c>
      <c r="J374" s="1" t="s">
        <v>68</v>
      </c>
      <c r="K374" s="1" t="s">
        <v>68</v>
      </c>
      <c r="L374" s="1" t="s">
        <v>68</v>
      </c>
      <c r="M374" s="1" t="s">
        <v>68</v>
      </c>
      <c r="N374" s="1" t="s">
        <v>7758</v>
      </c>
      <c r="O374" s="1" t="s">
        <v>7759</v>
      </c>
      <c r="P374" s="1" t="s">
        <v>7760</v>
      </c>
      <c r="Q374" s="1" t="s">
        <v>7761</v>
      </c>
      <c r="R374" s="1" t="s">
        <v>7762</v>
      </c>
      <c r="S374" s="1" t="s">
        <v>7763</v>
      </c>
      <c r="T374" s="1" t="s">
        <v>7764</v>
      </c>
      <c r="U374" s="1" t="s">
        <v>7765</v>
      </c>
      <c r="V374" s="1" t="s">
        <v>7766</v>
      </c>
      <c r="W374" s="1" t="s">
        <v>7767</v>
      </c>
      <c r="X374" s="1" t="s">
        <v>7768</v>
      </c>
      <c r="Y374" s="1" t="s">
        <v>7769</v>
      </c>
      <c r="Z374" s="1">
        <v>33.0</v>
      </c>
      <c r="AA374" s="1">
        <v>5.0</v>
      </c>
      <c r="AB374" s="1">
        <v>6.0</v>
      </c>
      <c r="AC374" s="1">
        <v>5.0</v>
      </c>
      <c r="AD374" s="1">
        <v>18.0</v>
      </c>
      <c r="AE374" s="1" t="s">
        <v>2187</v>
      </c>
      <c r="AF374" s="1" t="s">
        <v>2188</v>
      </c>
      <c r="AG374" s="1" t="s">
        <v>2189</v>
      </c>
      <c r="AH374" s="1" t="s">
        <v>7770</v>
      </c>
      <c r="AI374" s="1" t="s">
        <v>7771</v>
      </c>
      <c r="AJ374" s="1" t="s">
        <v>68</v>
      </c>
      <c r="AK374" s="1" t="s">
        <v>7772</v>
      </c>
      <c r="AL374" s="1" t="s">
        <v>7773</v>
      </c>
      <c r="AM374" s="1" t="s">
        <v>2531</v>
      </c>
      <c r="AN374" s="1">
        <v>2022.0</v>
      </c>
      <c r="AO374" s="1">
        <v>148.0</v>
      </c>
      <c r="AP374" s="1">
        <v>10.0</v>
      </c>
      <c r="AQ374" s="1" t="s">
        <v>68</v>
      </c>
      <c r="AR374" s="1" t="s">
        <v>68</v>
      </c>
      <c r="AS374" s="1" t="s">
        <v>68</v>
      </c>
      <c r="AT374" s="1" t="s">
        <v>68</v>
      </c>
      <c r="AU374" s="1" t="s">
        <v>68</v>
      </c>
      <c r="AV374" s="1" t="s">
        <v>68</v>
      </c>
      <c r="AW374" s="1">
        <v>4022060.0</v>
      </c>
      <c r="AX374" s="1" t="s">
        <v>7774</v>
      </c>
      <c r="AY374" s="3" t="str">
        <f>HYPERLINK("http://dx.doi.org/10.1061/(ASCE)EE.1943-7870.0002055","http://dx.doi.org/10.1061/(ASCE)EE.1943-7870.0002055")</f>
        <v>http://dx.doi.org/10.1061/(ASCE)EE.1943-7870.0002055</v>
      </c>
      <c r="AZ374" s="1" t="s">
        <v>68</v>
      </c>
      <c r="BA374" s="1" t="s">
        <v>68</v>
      </c>
      <c r="BB374" s="1">
        <v>10.0</v>
      </c>
      <c r="BC374" s="1" t="s">
        <v>7775</v>
      </c>
      <c r="BD374" s="1" t="s">
        <v>92</v>
      </c>
      <c r="BE374" s="1" t="s">
        <v>3987</v>
      </c>
      <c r="BF374" s="1" t="s">
        <v>7776</v>
      </c>
      <c r="BG374" s="1" t="s">
        <v>68</v>
      </c>
      <c r="BH374" s="1" t="s">
        <v>68</v>
      </c>
      <c r="BI374" s="1" t="s">
        <v>68</v>
      </c>
      <c r="BJ374" s="1" t="s">
        <v>68</v>
      </c>
      <c r="BK374" s="1" t="s">
        <v>95</v>
      </c>
      <c r="BL374" s="1" t="s">
        <v>7777</v>
      </c>
      <c r="BM374" s="1" t="str">
        <f>HYPERLINK("https%3A%2F%2Fwww.webofscience.com%2Fwos%2Fwoscc%2Ffull-record%2FWOS:000840873500002","View Full Record in Web of Science")</f>
        <v>View Full Record in Web of Science</v>
      </c>
    </row>
    <row r="375" ht="12.75" customHeight="1">
      <c r="A375" s="1" t="s">
        <v>65</v>
      </c>
      <c r="B375" s="1" t="s">
        <v>7778</v>
      </c>
      <c r="C375" s="1" t="s">
        <v>7779</v>
      </c>
      <c r="D375" s="1" t="s">
        <v>68</v>
      </c>
      <c r="E375" s="1" t="s">
        <v>7780</v>
      </c>
      <c r="F375" s="1" t="s">
        <v>1106</v>
      </c>
      <c r="G375" s="1" t="s">
        <v>68</v>
      </c>
      <c r="H375" s="1" t="s">
        <v>71</v>
      </c>
      <c r="I375" s="1" t="s">
        <v>72</v>
      </c>
      <c r="J375" s="1" t="s">
        <v>68</v>
      </c>
      <c r="K375" s="1" t="s">
        <v>68</v>
      </c>
      <c r="L375" s="1" t="s">
        <v>68</v>
      </c>
      <c r="M375" s="1" t="s">
        <v>68</v>
      </c>
      <c r="N375" s="1" t="s">
        <v>7781</v>
      </c>
      <c r="O375" s="1" t="s">
        <v>7782</v>
      </c>
      <c r="P375" s="1" t="s">
        <v>7783</v>
      </c>
      <c r="Q375" s="1" t="s">
        <v>7784</v>
      </c>
      <c r="R375" s="1" t="s">
        <v>7785</v>
      </c>
      <c r="S375" s="1" t="s">
        <v>7786</v>
      </c>
      <c r="T375" s="1" t="s">
        <v>7787</v>
      </c>
      <c r="U375" s="1" t="s">
        <v>7788</v>
      </c>
      <c r="V375" s="1" t="s">
        <v>7789</v>
      </c>
      <c r="W375" s="1" t="s">
        <v>7790</v>
      </c>
      <c r="X375" s="1" t="s">
        <v>7791</v>
      </c>
      <c r="Y375" s="1" t="s">
        <v>7792</v>
      </c>
      <c r="Z375" s="1">
        <v>41.0</v>
      </c>
      <c r="AA375" s="1">
        <v>8.0</v>
      </c>
      <c r="AB375" s="1">
        <v>8.0</v>
      </c>
      <c r="AC375" s="1">
        <v>6.0</v>
      </c>
      <c r="AD375" s="1">
        <v>22.0</v>
      </c>
      <c r="AE375" s="1" t="s">
        <v>83</v>
      </c>
      <c r="AF375" s="1" t="s">
        <v>84</v>
      </c>
      <c r="AG375" s="1" t="s">
        <v>85</v>
      </c>
      <c r="AH375" s="1" t="s">
        <v>68</v>
      </c>
      <c r="AI375" s="1" t="s">
        <v>1119</v>
      </c>
      <c r="AJ375" s="1" t="s">
        <v>68</v>
      </c>
      <c r="AK375" s="1" t="s">
        <v>1120</v>
      </c>
      <c r="AL375" s="1" t="s">
        <v>1121</v>
      </c>
      <c r="AM375" s="1" t="s">
        <v>611</v>
      </c>
      <c r="AN375" s="1">
        <v>2024.0</v>
      </c>
      <c r="AO375" s="1">
        <v>11.0</v>
      </c>
      <c r="AP375" s="1" t="s">
        <v>68</v>
      </c>
      <c r="AQ375" s="1" t="s">
        <v>68</v>
      </c>
      <c r="AR375" s="1" t="s">
        <v>68</v>
      </c>
      <c r="AS375" s="1" t="s">
        <v>68</v>
      </c>
      <c r="AT375" s="1" t="s">
        <v>68</v>
      </c>
      <c r="AU375" s="1" t="s">
        <v>68</v>
      </c>
      <c r="AV375" s="1" t="s">
        <v>68</v>
      </c>
      <c r="AW375" s="1">
        <v>1347298.0</v>
      </c>
      <c r="AX375" s="1" t="s">
        <v>7793</v>
      </c>
      <c r="AY375" s="3" t="str">
        <f>HYPERLINK("http://dx.doi.org/10.3389/fmars.2024.1347298","http://dx.doi.org/10.3389/fmars.2024.1347298")</f>
        <v>http://dx.doi.org/10.3389/fmars.2024.1347298</v>
      </c>
      <c r="AZ375" s="1" t="s">
        <v>68</v>
      </c>
      <c r="BA375" s="1" t="s">
        <v>68</v>
      </c>
      <c r="BB375" s="1">
        <v>14.0</v>
      </c>
      <c r="BC375" s="1" t="s">
        <v>1124</v>
      </c>
      <c r="BD375" s="1" t="s">
        <v>92</v>
      </c>
      <c r="BE375" s="1" t="s">
        <v>1125</v>
      </c>
      <c r="BF375" s="1" t="s">
        <v>7794</v>
      </c>
      <c r="BG375" s="1" t="s">
        <v>68</v>
      </c>
      <c r="BH375" s="1" t="s">
        <v>94</v>
      </c>
      <c r="BI375" s="1" t="s">
        <v>68</v>
      </c>
      <c r="BJ375" s="1" t="s">
        <v>68</v>
      </c>
      <c r="BK375" s="1" t="s">
        <v>95</v>
      </c>
      <c r="BL375" s="1" t="s">
        <v>7795</v>
      </c>
      <c r="BM375" s="1" t="str">
        <f>HYPERLINK("https%3A%2F%2Fwww.webofscience.com%2Fwos%2Fwoscc%2Ffull-record%2FWOS:001186826800001","View Full Record in Web of Science")</f>
        <v>View Full Record in Web of Science</v>
      </c>
    </row>
    <row r="376" ht="12.75" customHeight="1">
      <c r="A376" s="1" t="s">
        <v>65</v>
      </c>
      <c r="B376" s="1" t="s">
        <v>7796</v>
      </c>
      <c r="C376" s="1" t="s">
        <v>7797</v>
      </c>
      <c r="D376" s="1" t="s">
        <v>68</v>
      </c>
      <c r="E376" s="1" t="s">
        <v>7798</v>
      </c>
      <c r="F376" s="1" t="s">
        <v>7799</v>
      </c>
      <c r="G376" s="1" t="s">
        <v>68</v>
      </c>
      <c r="H376" s="1" t="s">
        <v>71</v>
      </c>
      <c r="I376" s="1" t="s">
        <v>72</v>
      </c>
      <c r="J376" s="1" t="s">
        <v>68</v>
      </c>
      <c r="K376" s="1" t="s">
        <v>68</v>
      </c>
      <c r="L376" s="1" t="s">
        <v>68</v>
      </c>
      <c r="M376" s="1" t="s">
        <v>68</v>
      </c>
      <c r="N376" s="1" t="s">
        <v>7800</v>
      </c>
      <c r="O376" s="1" t="s">
        <v>7801</v>
      </c>
      <c r="P376" s="1" t="s">
        <v>7802</v>
      </c>
      <c r="Q376" s="1" t="s">
        <v>7803</v>
      </c>
      <c r="R376" s="1" t="s">
        <v>7804</v>
      </c>
      <c r="S376" s="1" t="s">
        <v>7805</v>
      </c>
      <c r="T376" s="1" t="s">
        <v>7806</v>
      </c>
      <c r="U376" s="1" t="s">
        <v>7807</v>
      </c>
      <c r="V376" s="1" t="s">
        <v>7808</v>
      </c>
      <c r="W376" s="1" t="s">
        <v>7809</v>
      </c>
      <c r="X376" s="1" t="s">
        <v>4608</v>
      </c>
      <c r="Y376" s="1" t="s">
        <v>7810</v>
      </c>
      <c r="Z376" s="1">
        <v>81.0</v>
      </c>
      <c r="AA376" s="1">
        <v>12.0</v>
      </c>
      <c r="AB376" s="1">
        <v>16.0</v>
      </c>
      <c r="AC376" s="1">
        <v>3.0</v>
      </c>
      <c r="AD376" s="1">
        <v>27.0</v>
      </c>
      <c r="AE376" s="1" t="s">
        <v>1932</v>
      </c>
      <c r="AF376" s="1" t="s">
        <v>1933</v>
      </c>
      <c r="AG376" s="1" t="s">
        <v>1934</v>
      </c>
      <c r="AH376" s="1" t="s">
        <v>7811</v>
      </c>
      <c r="AI376" s="1" t="s">
        <v>7812</v>
      </c>
      <c r="AJ376" s="1" t="s">
        <v>68</v>
      </c>
      <c r="AK376" s="1" t="s">
        <v>7813</v>
      </c>
      <c r="AL376" s="1" t="s">
        <v>7814</v>
      </c>
      <c r="AM376" s="1" t="s">
        <v>7815</v>
      </c>
      <c r="AN376" s="1">
        <v>2022.0</v>
      </c>
      <c r="AO376" s="1">
        <v>27.0</v>
      </c>
      <c r="AP376" s="1">
        <v>5.0</v>
      </c>
      <c r="AQ376" s="1" t="s">
        <v>68</v>
      </c>
      <c r="AR376" s="1" t="s">
        <v>68</v>
      </c>
      <c r="AS376" s="1" t="s">
        <v>68</v>
      </c>
      <c r="AT376" s="1" t="s">
        <v>68</v>
      </c>
      <c r="AU376" s="1">
        <v>622.0</v>
      </c>
      <c r="AV376" s="1">
        <v>638.0</v>
      </c>
      <c r="AW376" s="1" t="s">
        <v>68</v>
      </c>
      <c r="AX376" s="1" t="s">
        <v>7816</v>
      </c>
      <c r="AY376" s="3" t="str">
        <f>HYPERLINK("http://dx.doi.org/10.1080/13549839.2022.2068143","http://dx.doi.org/10.1080/13549839.2022.2068143")</f>
        <v>http://dx.doi.org/10.1080/13549839.2022.2068143</v>
      </c>
      <c r="AZ376" s="1" t="s">
        <v>68</v>
      </c>
      <c r="BA376" s="1" t="s">
        <v>6493</v>
      </c>
      <c r="BB376" s="1">
        <v>17.0</v>
      </c>
      <c r="BC376" s="1" t="s">
        <v>7817</v>
      </c>
      <c r="BD376" s="1" t="s">
        <v>1438</v>
      </c>
      <c r="BE376" s="1" t="s">
        <v>7818</v>
      </c>
      <c r="BF376" s="1" t="s">
        <v>7819</v>
      </c>
      <c r="BG376" s="1" t="s">
        <v>68</v>
      </c>
      <c r="BH376" s="1" t="s">
        <v>68</v>
      </c>
      <c r="BI376" s="1" t="s">
        <v>68</v>
      </c>
      <c r="BJ376" s="1" t="s">
        <v>68</v>
      </c>
      <c r="BK376" s="1" t="s">
        <v>95</v>
      </c>
      <c r="BL376" s="1" t="s">
        <v>7820</v>
      </c>
      <c r="BM376" s="1" t="str">
        <f>HYPERLINK("https%3A%2F%2Fwww.webofscience.com%2Fwos%2Fwoscc%2Ffull-record%2FWOS:000788398200001","View Full Record in Web of Science")</f>
        <v>View Full Record in Web of Science</v>
      </c>
    </row>
    <row r="377" ht="12.75" customHeight="1">
      <c r="A377" s="1" t="s">
        <v>65</v>
      </c>
      <c r="B377" s="1" t="s">
        <v>7821</v>
      </c>
      <c r="C377" s="1" t="s">
        <v>7822</v>
      </c>
      <c r="D377" s="1" t="s">
        <v>68</v>
      </c>
      <c r="E377" s="1" t="s">
        <v>7823</v>
      </c>
      <c r="F377" s="1" t="s">
        <v>7824</v>
      </c>
      <c r="G377" s="1" t="s">
        <v>68</v>
      </c>
      <c r="H377" s="1" t="s">
        <v>71</v>
      </c>
      <c r="I377" s="1" t="s">
        <v>101</v>
      </c>
      <c r="J377" s="1" t="s">
        <v>68</v>
      </c>
      <c r="K377" s="1" t="s">
        <v>68</v>
      </c>
      <c r="L377" s="1" t="s">
        <v>68</v>
      </c>
      <c r="M377" s="1" t="s">
        <v>68</v>
      </c>
      <c r="N377" s="1" t="s">
        <v>7825</v>
      </c>
      <c r="O377" s="1" t="s">
        <v>7826</v>
      </c>
      <c r="P377" s="1" t="s">
        <v>7827</v>
      </c>
      <c r="Q377" s="1" t="s">
        <v>7828</v>
      </c>
      <c r="R377" s="1" t="s">
        <v>7829</v>
      </c>
      <c r="S377" s="1" t="s">
        <v>7830</v>
      </c>
      <c r="T377" s="1" t="s">
        <v>7831</v>
      </c>
      <c r="U377" s="1" t="s">
        <v>7832</v>
      </c>
      <c r="V377" s="1" t="s">
        <v>7833</v>
      </c>
      <c r="W377" s="1" t="s">
        <v>7834</v>
      </c>
      <c r="X377" s="1" t="s">
        <v>7835</v>
      </c>
      <c r="Y377" s="1" t="s">
        <v>7836</v>
      </c>
      <c r="Z377" s="1">
        <v>130.0</v>
      </c>
      <c r="AA377" s="1">
        <v>27.0</v>
      </c>
      <c r="AB377" s="1">
        <v>32.0</v>
      </c>
      <c r="AC377" s="1">
        <v>0.0</v>
      </c>
      <c r="AD377" s="1">
        <v>61.0</v>
      </c>
      <c r="AE377" s="1" t="s">
        <v>503</v>
      </c>
      <c r="AF377" s="1" t="s">
        <v>504</v>
      </c>
      <c r="AG377" s="1" t="s">
        <v>505</v>
      </c>
      <c r="AH377" s="1" t="s">
        <v>7837</v>
      </c>
      <c r="AI377" s="1" t="s">
        <v>7838</v>
      </c>
      <c r="AJ377" s="1" t="s">
        <v>68</v>
      </c>
      <c r="AK377" s="1" t="s">
        <v>7839</v>
      </c>
      <c r="AL377" s="1" t="s">
        <v>7840</v>
      </c>
      <c r="AM377" s="1" t="s">
        <v>224</v>
      </c>
      <c r="AN377" s="1">
        <v>2021.0</v>
      </c>
      <c r="AO377" s="1">
        <v>60.0</v>
      </c>
      <c r="AP377" s="1">
        <v>1.0</v>
      </c>
      <c r="AQ377" s="1" t="s">
        <v>68</v>
      </c>
      <c r="AR377" s="1" t="s">
        <v>68</v>
      </c>
      <c r="AS377" s="1" t="s">
        <v>68</v>
      </c>
      <c r="AT377" s="1" t="s">
        <v>68</v>
      </c>
      <c r="AU377" s="1">
        <v>111.0</v>
      </c>
      <c r="AV377" s="1">
        <v>127.0</v>
      </c>
      <c r="AW377" s="1" t="s">
        <v>68</v>
      </c>
      <c r="AX377" s="1" t="s">
        <v>7841</v>
      </c>
      <c r="AY377" s="3" t="str">
        <f>HYPERLINK("http://dx.doi.org/10.1111/aen.12513","http://dx.doi.org/10.1111/aen.12513")</f>
        <v>http://dx.doi.org/10.1111/aen.12513</v>
      </c>
      <c r="AZ377" s="1" t="s">
        <v>68</v>
      </c>
      <c r="BA377" s="1" t="s">
        <v>6703</v>
      </c>
      <c r="BB377" s="1">
        <v>17.0</v>
      </c>
      <c r="BC377" s="1" t="s">
        <v>309</v>
      </c>
      <c r="BD377" s="1" t="s">
        <v>92</v>
      </c>
      <c r="BE377" s="1" t="s">
        <v>309</v>
      </c>
      <c r="BF377" s="1" t="s">
        <v>7842</v>
      </c>
      <c r="BG377" s="1" t="s">
        <v>68</v>
      </c>
      <c r="BH377" s="1" t="s">
        <v>68</v>
      </c>
      <c r="BI377" s="1" t="s">
        <v>68</v>
      </c>
      <c r="BJ377" s="1" t="s">
        <v>68</v>
      </c>
      <c r="BK377" s="1" t="s">
        <v>95</v>
      </c>
      <c r="BL377" s="1" t="s">
        <v>7843</v>
      </c>
      <c r="BM377" s="1" t="str">
        <f>HYPERLINK("https%3A%2F%2Fwww.webofscience.com%2Fwos%2Fwoscc%2Ffull-record%2FWOS:000607588600001","View Full Record in Web of Science")</f>
        <v>View Full Record in Web of Science</v>
      </c>
    </row>
    <row r="378" ht="12.75" customHeight="1">
      <c r="A378" s="1" t="s">
        <v>65</v>
      </c>
      <c r="B378" s="1" t="s">
        <v>7844</v>
      </c>
      <c r="C378" s="1" t="s">
        <v>7845</v>
      </c>
      <c r="D378" s="1" t="s">
        <v>68</v>
      </c>
      <c r="E378" s="1" t="s">
        <v>7846</v>
      </c>
      <c r="F378" s="1" t="s">
        <v>7460</v>
      </c>
      <c r="G378" s="1" t="s">
        <v>68</v>
      </c>
      <c r="H378" s="1" t="s">
        <v>71</v>
      </c>
      <c r="I378" s="1" t="s">
        <v>45</v>
      </c>
      <c r="J378" s="1" t="s">
        <v>68</v>
      </c>
      <c r="K378" s="1" t="s">
        <v>68</v>
      </c>
      <c r="L378" s="1" t="s">
        <v>68</v>
      </c>
      <c r="M378" s="1" t="s">
        <v>68</v>
      </c>
      <c r="N378" s="1" t="s">
        <v>68</v>
      </c>
      <c r="O378" s="1" t="s">
        <v>68</v>
      </c>
      <c r="P378" s="1" t="s">
        <v>68</v>
      </c>
      <c r="Q378" s="1" t="s">
        <v>7847</v>
      </c>
      <c r="R378" s="1" t="s">
        <v>7848</v>
      </c>
      <c r="S378" s="1" t="s">
        <v>68</v>
      </c>
      <c r="T378" s="1" t="s">
        <v>68</v>
      </c>
      <c r="U378" s="1" t="s">
        <v>68</v>
      </c>
      <c r="V378" s="1" t="s">
        <v>68</v>
      </c>
      <c r="W378" s="1" t="s">
        <v>68</v>
      </c>
      <c r="X378" s="1" t="s">
        <v>68</v>
      </c>
      <c r="Y378" s="1" t="s">
        <v>68</v>
      </c>
      <c r="Z378" s="1">
        <v>0.0</v>
      </c>
      <c r="AA378" s="1">
        <v>0.0</v>
      </c>
      <c r="AB378" s="1">
        <v>0.0</v>
      </c>
      <c r="AC378" s="1">
        <v>0.0</v>
      </c>
      <c r="AD378" s="1">
        <v>21.0</v>
      </c>
      <c r="AE378" s="1" t="s">
        <v>7462</v>
      </c>
      <c r="AF378" s="1" t="s">
        <v>7463</v>
      </c>
      <c r="AG378" s="1" t="s">
        <v>7464</v>
      </c>
      <c r="AH378" s="1" t="s">
        <v>7465</v>
      </c>
      <c r="AI378" s="1" t="s">
        <v>7466</v>
      </c>
      <c r="AJ378" s="1" t="s">
        <v>68</v>
      </c>
      <c r="AK378" s="1" t="s">
        <v>7467</v>
      </c>
      <c r="AL378" s="1" t="s">
        <v>7468</v>
      </c>
      <c r="AM378" s="1" t="s">
        <v>790</v>
      </c>
      <c r="AN378" s="1">
        <v>2015.0</v>
      </c>
      <c r="AO378" s="1">
        <v>34.0</v>
      </c>
      <c r="AP378" s="1">
        <v>2.0</v>
      </c>
      <c r="AQ378" s="1" t="s">
        <v>68</v>
      </c>
      <c r="AR378" s="1" t="s">
        <v>68</v>
      </c>
      <c r="AS378" s="1" t="s">
        <v>68</v>
      </c>
      <c r="AT378" s="1" t="s">
        <v>68</v>
      </c>
      <c r="AU378" s="1">
        <v>661.0</v>
      </c>
      <c r="AV378" s="1">
        <v>661.0</v>
      </c>
      <c r="AW378" s="1" t="s">
        <v>68</v>
      </c>
      <c r="AX378" s="1" t="s">
        <v>68</v>
      </c>
      <c r="AY378" s="1" t="s">
        <v>68</v>
      </c>
      <c r="AZ378" s="1" t="s">
        <v>68</v>
      </c>
      <c r="BA378" s="1" t="s">
        <v>68</v>
      </c>
      <c r="BB378" s="1">
        <v>1.0</v>
      </c>
      <c r="BC378" s="1" t="s">
        <v>4529</v>
      </c>
      <c r="BD378" s="1" t="s">
        <v>92</v>
      </c>
      <c r="BE378" s="1" t="s">
        <v>4529</v>
      </c>
      <c r="BF378" s="1" t="s">
        <v>7849</v>
      </c>
      <c r="BG378" s="1" t="s">
        <v>68</v>
      </c>
      <c r="BH378" s="1" t="s">
        <v>68</v>
      </c>
      <c r="BI378" s="1" t="s">
        <v>68</v>
      </c>
      <c r="BJ378" s="1" t="s">
        <v>68</v>
      </c>
      <c r="BK378" s="1" t="s">
        <v>95</v>
      </c>
      <c r="BL378" s="1" t="s">
        <v>7850</v>
      </c>
      <c r="BM378" s="1" t="str">
        <f>HYPERLINK("https%3A%2F%2Fwww.webofscience.com%2Fwos%2Fwoscc%2Ffull-record%2FWOS:000360410500217","View Full Record in Web of Science")</f>
        <v>View Full Record in Web of Science</v>
      </c>
    </row>
    <row r="379" ht="12.75" customHeight="1">
      <c r="A379" s="1" t="s">
        <v>65</v>
      </c>
      <c r="B379" s="1" t="s">
        <v>7851</v>
      </c>
      <c r="C379" s="1" t="s">
        <v>7852</v>
      </c>
      <c r="D379" s="1" t="s">
        <v>68</v>
      </c>
      <c r="E379" s="1" t="s">
        <v>7853</v>
      </c>
      <c r="F379" s="1" t="s">
        <v>1518</v>
      </c>
      <c r="G379" s="1" t="s">
        <v>68</v>
      </c>
      <c r="H379" s="1" t="s">
        <v>71</v>
      </c>
      <c r="I379" s="1" t="s">
        <v>72</v>
      </c>
      <c r="J379" s="1" t="s">
        <v>68</v>
      </c>
      <c r="K379" s="1" t="s">
        <v>68</v>
      </c>
      <c r="L379" s="1" t="s">
        <v>68</v>
      </c>
      <c r="M379" s="1" t="s">
        <v>68</v>
      </c>
      <c r="N379" s="1" t="s">
        <v>7854</v>
      </c>
      <c r="O379" s="1" t="s">
        <v>7855</v>
      </c>
      <c r="P379" s="1" t="s">
        <v>7856</v>
      </c>
      <c r="Q379" s="1" t="s">
        <v>7857</v>
      </c>
      <c r="R379" s="1" t="s">
        <v>7858</v>
      </c>
      <c r="S379" s="1" t="s">
        <v>7859</v>
      </c>
      <c r="T379" s="1" t="s">
        <v>7860</v>
      </c>
      <c r="U379" s="1" t="s">
        <v>7861</v>
      </c>
      <c r="V379" s="1" t="s">
        <v>7862</v>
      </c>
      <c r="W379" s="1" t="s">
        <v>7863</v>
      </c>
      <c r="X379" s="1" t="s">
        <v>7864</v>
      </c>
      <c r="Y379" s="1" t="s">
        <v>7865</v>
      </c>
      <c r="Z379" s="1">
        <v>58.0</v>
      </c>
      <c r="AA379" s="1">
        <v>3.0</v>
      </c>
      <c r="AB379" s="1">
        <v>3.0</v>
      </c>
      <c r="AC379" s="1">
        <v>2.0</v>
      </c>
      <c r="AD379" s="1">
        <v>2.0</v>
      </c>
      <c r="AE379" s="1" t="s">
        <v>1527</v>
      </c>
      <c r="AF379" s="1" t="s">
        <v>663</v>
      </c>
      <c r="AG379" s="1" t="s">
        <v>1528</v>
      </c>
      <c r="AH379" s="1" t="s">
        <v>1529</v>
      </c>
      <c r="AI379" s="1" t="s">
        <v>68</v>
      </c>
      <c r="AJ379" s="1" t="s">
        <v>68</v>
      </c>
      <c r="AK379" s="1" t="s">
        <v>1530</v>
      </c>
      <c r="AL379" s="1" t="s">
        <v>1531</v>
      </c>
      <c r="AM379" s="1" t="s">
        <v>68</v>
      </c>
      <c r="AN379" s="1">
        <v>2024.0</v>
      </c>
      <c r="AO379" s="1">
        <v>9.0</v>
      </c>
      <c r="AP379" s="1">
        <v>1.0</v>
      </c>
      <c r="AQ379" s="1" t="s">
        <v>68</v>
      </c>
      <c r="AR379" s="1" t="s">
        <v>68</v>
      </c>
      <c r="AS379" s="1" t="s">
        <v>68</v>
      </c>
      <c r="AT379" s="1" t="s">
        <v>68</v>
      </c>
      <c r="AU379" s="1" t="s">
        <v>68</v>
      </c>
      <c r="AV379" s="1" t="s">
        <v>68</v>
      </c>
      <c r="AW379" s="1">
        <v>632.0</v>
      </c>
      <c r="AX379" s="1" t="s">
        <v>7866</v>
      </c>
      <c r="AY379" s="3" t="str">
        <f>HYPERLINK("http://dx.doi.org/10.5334/cstp.632","http://dx.doi.org/10.5334/cstp.632")</f>
        <v>http://dx.doi.org/10.5334/cstp.632</v>
      </c>
      <c r="AZ379" s="1" t="s">
        <v>68</v>
      </c>
      <c r="BA379" s="1" t="s">
        <v>68</v>
      </c>
      <c r="BB379" s="1">
        <v>12.0</v>
      </c>
      <c r="BC379" s="1" t="s">
        <v>1533</v>
      </c>
      <c r="BD379" s="1" t="s">
        <v>197</v>
      </c>
      <c r="BE379" s="1" t="s">
        <v>1534</v>
      </c>
      <c r="BF379" s="1" t="s">
        <v>7867</v>
      </c>
      <c r="BG379" s="1" t="s">
        <v>68</v>
      </c>
      <c r="BH379" s="1" t="s">
        <v>1767</v>
      </c>
      <c r="BI379" s="1" t="s">
        <v>68</v>
      </c>
      <c r="BJ379" s="1" t="s">
        <v>68</v>
      </c>
      <c r="BK379" s="1" t="s">
        <v>95</v>
      </c>
      <c r="BL379" s="1" t="s">
        <v>7868</v>
      </c>
      <c r="BM379" s="1" t="str">
        <f>HYPERLINK("https%3A%2F%2Fwww.webofscience.com%2Fwos%2Fwoscc%2Ffull-record%2FWOS:001571994600005","View Full Record in Web of Science")</f>
        <v>View Full Record in Web of Science</v>
      </c>
    </row>
    <row r="380" ht="12.75" customHeight="1">
      <c r="A380" s="1" t="s">
        <v>65</v>
      </c>
      <c r="B380" s="1" t="s">
        <v>7869</v>
      </c>
      <c r="C380" s="1" t="s">
        <v>7870</v>
      </c>
      <c r="D380" s="1" t="s">
        <v>68</v>
      </c>
      <c r="E380" s="1" t="s">
        <v>7871</v>
      </c>
      <c r="F380" s="1" t="s">
        <v>7872</v>
      </c>
      <c r="G380" s="1" t="s">
        <v>68</v>
      </c>
      <c r="H380" s="1" t="s">
        <v>71</v>
      </c>
      <c r="I380" s="1" t="s">
        <v>72</v>
      </c>
      <c r="J380" s="1" t="s">
        <v>68</v>
      </c>
      <c r="K380" s="1" t="s">
        <v>68</v>
      </c>
      <c r="L380" s="1" t="s">
        <v>68</v>
      </c>
      <c r="M380" s="1" t="s">
        <v>68</v>
      </c>
      <c r="N380" s="1" t="s">
        <v>7873</v>
      </c>
      <c r="O380" s="1" t="s">
        <v>7874</v>
      </c>
      <c r="P380" s="1" t="s">
        <v>7875</v>
      </c>
      <c r="Q380" s="1" t="s">
        <v>7876</v>
      </c>
      <c r="R380" s="1" t="s">
        <v>7877</v>
      </c>
      <c r="S380" s="1" t="s">
        <v>7878</v>
      </c>
      <c r="T380" s="1" t="s">
        <v>7879</v>
      </c>
      <c r="U380" s="1" t="s">
        <v>68</v>
      </c>
      <c r="V380" s="1" t="s">
        <v>7880</v>
      </c>
      <c r="W380" s="1" t="s">
        <v>7881</v>
      </c>
      <c r="X380" s="1" t="s">
        <v>7882</v>
      </c>
      <c r="Y380" s="1" t="s">
        <v>7883</v>
      </c>
      <c r="Z380" s="1">
        <v>70.0</v>
      </c>
      <c r="AA380" s="1">
        <v>1.0</v>
      </c>
      <c r="AB380" s="1">
        <v>1.0</v>
      </c>
      <c r="AC380" s="1">
        <v>2.0</v>
      </c>
      <c r="AD380" s="1">
        <v>2.0</v>
      </c>
      <c r="AE380" s="1" t="s">
        <v>1596</v>
      </c>
      <c r="AF380" s="1" t="s">
        <v>1182</v>
      </c>
      <c r="AG380" s="1" t="s">
        <v>1597</v>
      </c>
      <c r="AH380" s="1" t="s">
        <v>7884</v>
      </c>
      <c r="AI380" s="1" t="s">
        <v>7885</v>
      </c>
      <c r="AJ380" s="1" t="s">
        <v>68</v>
      </c>
      <c r="AK380" s="1" t="s">
        <v>7872</v>
      </c>
      <c r="AL380" s="1" t="s">
        <v>7886</v>
      </c>
      <c r="AM380" s="1" t="s">
        <v>1264</v>
      </c>
      <c r="AN380" s="1">
        <v>2025.0</v>
      </c>
      <c r="AO380" s="1">
        <v>149.0</v>
      </c>
      <c r="AP380" s="1" t="s">
        <v>68</v>
      </c>
      <c r="AQ380" s="1" t="s">
        <v>68</v>
      </c>
      <c r="AR380" s="1" t="s">
        <v>68</v>
      </c>
      <c r="AS380" s="1" t="s">
        <v>68</v>
      </c>
      <c r="AT380" s="1" t="s">
        <v>68</v>
      </c>
      <c r="AU380" s="1" t="s">
        <v>68</v>
      </c>
      <c r="AV380" s="1" t="s">
        <v>68</v>
      </c>
      <c r="AW380" s="1">
        <v>102939.0</v>
      </c>
      <c r="AX380" s="1" t="s">
        <v>7887</v>
      </c>
      <c r="AY380" s="3" t="str">
        <f>HYPERLINK("http://dx.doi.org/10.1016/j.hal.2025.102939","http://dx.doi.org/10.1016/j.hal.2025.102939")</f>
        <v>http://dx.doi.org/10.1016/j.hal.2025.102939</v>
      </c>
      <c r="AZ380" s="1" t="s">
        <v>68</v>
      </c>
      <c r="BA380" s="1" t="s">
        <v>4148</v>
      </c>
      <c r="BB380" s="1">
        <v>14.0</v>
      </c>
      <c r="BC380" s="1" t="s">
        <v>3239</v>
      </c>
      <c r="BD380" s="1" t="s">
        <v>92</v>
      </c>
      <c r="BE380" s="1" t="s">
        <v>3239</v>
      </c>
      <c r="BF380" s="1" t="s">
        <v>7888</v>
      </c>
      <c r="BG380" s="1">
        <v>4.0935528E7</v>
      </c>
      <c r="BH380" s="1" t="s">
        <v>68</v>
      </c>
      <c r="BI380" s="1" t="s">
        <v>68</v>
      </c>
      <c r="BJ380" s="1" t="s">
        <v>68</v>
      </c>
      <c r="BK380" s="1" t="s">
        <v>95</v>
      </c>
      <c r="BL380" s="1" t="s">
        <v>7889</v>
      </c>
      <c r="BM380" s="1" t="str">
        <f>HYPERLINK("https%3A%2F%2Fwww.webofscience.com%2Fwos%2Fwoscc%2Ffull-record%2FWOS:001566683600001","View Full Record in Web of Science")</f>
        <v>View Full Record in Web of Science</v>
      </c>
    </row>
    <row r="381" ht="12.75" customHeight="1">
      <c r="A381" s="1" t="s">
        <v>65</v>
      </c>
      <c r="B381" s="1" t="s">
        <v>7890</v>
      </c>
      <c r="C381" s="1" t="s">
        <v>7891</v>
      </c>
      <c r="D381" s="1" t="s">
        <v>68</v>
      </c>
      <c r="E381" s="1" t="s">
        <v>7892</v>
      </c>
      <c r="F381" s="1" t="s">
        <v>7893</v>
      </c>
      <c r="G381" s="1" t="s">
        <v>68</v>
      </c>
      <c r="H381" s="1" t="s">
        <v>71</v>
      </c>
      <c r="I381" s="1" t="s">
        <v>72</v>
      </c>
      <c r="J381" s="1" t="s">
        <v>68</v>
      </c>
      <c r="K381" s="1" t="s">
        <v>68</v>
      </c>
      <c r="L381" s="1" t="s">
        <v>68</v>
      </c>
      <c r="M381" s="1" t="s">
        <v>68</v>
      </c>
      <c r="N381" s="1" t="s">
        <v>7894</v>
      </c>
      <c r="O381" s="1" t="s">
        <v>7895</v>
      </c>
      <c r="P381" s="1" t="s">
        <v>7896</v>
      </c>
      <c r="Q381" s="1" t="s">
        <v>7897</v>
      </c>
      <c r="R381" s="1" t="s">
        <v>7898</v>
      </c>
      <c r="S381" s="1" t="s">
        <v>7899</v>
      </c>
      <c r="T381" s="1" t="s">
        <v>7900</v>
      </c>
      <c r="U381" s="1" t="s">
        <v>7901</v>
      </c>
      <c r="V381" s="1" t="s">
        <v>7902</v>
      </c>
      <c r="W381" s="1" t="s">
        <v>7903</v>
      </c>
      <c r="X381" s="1" t="s">
        <v>7904</v>
      </c>
      <c r="Y381" s="1" t="s">
        <v>7905</v>
      </c>
      <c r="Z381" s="1">
        <v>28.0</v>
      </c>
      <c r="AA381" s="1">
        <v>6.0</v>
      </c>
      <c r="AB381" s="1">
        <v>6.0</v>
      </c>
      <c r="AC381" s="1">
        <v>0.0</v>
      </c>
      <c r="AD381" s="1">
        <v>20.0</v>
      </c>
      <c r="AE381" s="1" t="s">
        <v>1596</v>
      </c>
      <c r="AF381" s="1" t="s">
        <v>1182</v>
      </c>
      <c r="AG381" s="1" t="s">
        <v>1597</v>
      </c>
      <c r="AH381" s="1" t="s">
        <v>68</v>
      </c>
      <c r="AI381" s="1" t="s">
        <v>7906</v>
      </c>
      <c r="AJ381" s="1" t="s">
        <v>68</v>
      </c>
      <c r="AK381" s="1" t="s">
        <v>7893</v>
      </c>
      <c r="AL381" s="1" t="s">
        <v>7907</v>
      </c>
      <c r="AM381" s="1" t="s">
        <v>68</v>
      </c>
      <c r="AN381" s="1">
        <v>2021.0</v>
      </c>
      <c r="AO381" s="1">
        <v>8.0</v>
      </c>
      <c r="AP381" s="1" t="s">
        <v>68</v>
      </c>
      <c r="AQ381" s="1" t="s">
        <v>68</v>
      </c>
      <c r="AR381" s="1" t="s">
        <v>68</v>
      </c>
      <c r="AS381" s="1" t="s">
        <v>68</v>
      </c>
      <c r="AT381" s="1" t="s">
        <v>68</v>
      </c>
      <c r="AU381" s="1" t="s">
        <v>68</v>
      </c>
      <c r="AV381" s="1" t="s">
        <v>68</v>
      </c>
      <c r="AW381" s="1">
        <v>101303.0</v>
      </c>
      <c r="AX381" s="1" t="s">
        <v>7908</v>
      </c>
      <c r="AY381" s="3" t="str">
        <f>HYPERLINK("http://dx.doi.org/10.1016/j.mex.2021.101303","http://dx.doi.org/10.1016/j.mex.2021.101303")</f>
        <v>http://dx.doi.org/10.1016/j.mex.2021.101303</v>
      </c>
      <c r="AZ381" s="1" t="s">
        <v>68</v>
      </c>
      <c r="BA381" s="1" t="s">
        <v>2555</v>
      </c>
      <c r="BB381" s="1">
        <v>7.0</v>
      </c>
      <c r="BC381" s="1" t="s">
        <v>742</v>
      </c>
      <c r="BD381" s="1" t="s">
        <v>197</v>
      </c>
      <c r="BE381" s="1" t="s">
        <v>743</v>
      </c>
      <c r="BF381" s="1" t="s">
        <v>7909</v>
      </c>
      <c r="BG381" s="1">
        <v>3.4434823E7</v>
      </c>
      <c r="BH381" s="1" t="s">
        <v>94</v>
      </c>
      <c r="BI381" s="1" t="s">
        <v>68</v>
      </c>
      <c r="BJ381" s="1" t="s">
        <v>68</v>
      </c>
      <c r="BK381" s="1" t="s">
        <v>95</v>
      </c>
      <c r="BL381" s="1" t="s">
        <v>7910</v>
      </c>
      <c r="BM381" s="1" t="str">
        <f>HYPERLINK("https%3A%2F%2Fwww.webofscience.com%2Fwos%2Fwoscc%2Ffull-record%2FWOS:000707181600003","View Full Record in Web of Science")</f>
        <v>View Full Record in Web of Science</v>
      </c>
    </row>
    <row r="382" ht="12.75" customHeight="1">
      <c r="A382" s="1" t="s">
        <v>65</v>
      </c>
      <c r="B382" s="1" t="s">
        <v>7911</v>
      </c>
      <c r="C382" s="1" t="s">
        <v>7912</v>
      </c>
      <c r="D382" s="1" t="s">
        <v>68</v>
      </c>
      <c r="E382" s="1" t="s">
        <v>7913</v>
      </c>
      <c r="F382" s="1" t="s">
        <v>826</v>
      </c>
      <c r="G382" s="1" t="s">
        <v>68</v>
      </c>
      <c r="H382" s="1" t="s">
        <v>71</v>
      </c>
      <c r="I382" s="1" t="s">
        <v>72</v>
      </c>
      <c r="J382" s="1" t="s">
        <v>68</v>
      </c>
      <c r="K382" s="1" t="s">
        <v>68</v>
      </c>
      <c r="L382" s="1" t="s">
        <v>68</v>
      </c>
      <c r="M382" s="1" t="s">
        <v>68</v>
      </c>
      <c r="N382" s="1" t="s">
        <v>68</v>
      </c>
      <c r="O382" s="1" t="s">
        <v>7914</v>
      </c>
      <c r="P382" s="1" t="s">
        <v>7915</v>
      </c>
      <c r="Q382" s="1" t="s">
        <v>7916</v>
      </c>
      <c r="R382" s="1" t="s">
        <v>7917</v>
      </c>
      <c r="S382" s="1" t="s">
        <v>7918</v>
      </c>
      <c r="T382" s="1" t="s">
        <v>7919</v>
      </c>
      <c r="U382" s="1" t="s">
        <v>7920</v>
      </c>
      <c r="V382" s="1" t="s">
        <v>7921</v>
      </c>
      <c r="W382" s="1" t="s">
        <v>68</v>
      </c>
      <c r="X382" s="1" t="s">
        <v>68</v>
      </c>
      <c r="Y382" s="1" t="s">
        <v>68</v>
      </c>
      <c r="Z382" s="1">
        <v>46.0</v>
      </c>
      <c r="AA382" s="1">
        <v>19.0</v>
      </c>
      <c r="AB382" s="1">
        <v>21.0</v>
      </c>
      <c r="AC382" s="1">
        <v>2.0</v>
      </c>
      <c r="AD382" s="1">
        <v>22.0</v>
      </c>
      <c r="AE382" s="1" t="s">
        <v>838</v>
      </c>
      <c r="AF382" s="1" t="s">
        <v>839</v>
      </c>
      <c r="AG382" s="1" t="s">
        <v>840</v>
      </c>
      <c r="AH382" s="1" t="s">
        <v>841</v>
      </c>
      <c r="AI382" s="1" t="s">
        <v>68</v>
      </c>
      <c r="AJ382" s="1" t="s">
        <v>68</v>
      </c>
      <c r="AK382" s="1" t="s">
        <v>842</v>
      </c>
      <c r="AL382" s="1" t="s">
        <v>843</v>
      </c>
      <c r="AM382" s="1" t="s">
        <v>7922</v>
      </c>
      <c r="AN382" s="1">
        <v>2020.0</v>
      </c>
      <c r="AO382" s="1">
        <v>10.0</v>
      </c>
      <c r="AP382" s="1">
        <v>1.0</v>
      </c>
      <c r="AQ382" s="1" t="s">
        <v>68</v>
      </c>
      <c r="AR382" s="1" t="s">
        <v>68</v>
      </c>
      <c r="AS382" s="1" t="s">
        <v>68</v>
      </c>
      <c r="AT382" s="1" t="s">
        <v>68</v>
      </c>
      <c r="AU382" s="1" t="s">
        <v>68</v>
      </c>
      <c r="AV382" s="1" t="s">
        <v>68</v>
      </c>
      <c r="AW382" s="1">
        <v>291.0</v>
      </c>
      <c r="AX382" s="1" t="s">
        <v>7923</v>
      </c>
      <c r="AY382" s="3" t="str">
        <f>HYPERLINK("http://dx.doi.org/10.1038/s41598-019-57251-8","http://dx.doi.org/10.1038/s41598-019-57251-8")</f>
        <v>http://dx.doi.org/10.1038/s41598-019-57251-8</v>
      </c>
      <c r="AZ382" s="1" t="s">
        <v>68</v>
      </c>
      <c r="BA382" s="1" t="s">
        <v>68</v>
      </c>
      <c r="BB382" s="1">
        <v>10.0</v>
      </c>
      <c r="BC382" s="1" t="s">
        <v>742</v>
      </c>
      <c r="BD382" s="1" t="s">
        <v>92</v>
      </c>
      <c r="BE382" s="1" t="s">
        <v>743</v>
      </c>
      <c r="BF382" s="1" t="s">
        <v>7924</v>
      </c>
      <c r="BG382" s="1">
        <v>3.1937842E7</v>
      </c>
      <c r="BH382" s="1" t="s">
        <v>94</v>
      </c>
      <c r="BI382" s="1" t="s">
        <v>68</v>
      </c>
      <c r="BJ382" s="1" t="s">
        <v>68</v>
      </c>
      <c r="BK382" s="1" t="s">
        <v>95</v>
      </c>
      <c r="BL382" s="1" t="s">
        <v>7925</v>
      </c>
      <c r="BM382" s="1" t="str">
        <f>HYPERLINK("https%3A%2F%2Fwww.webofscience.com%2Fwos%2Fwoscc%2Ffull-record%2FWOS:000551365200002","View Full Record in Web of Science")</f>
        <v>View Full Record in Web of Science</v>
      </c>
    </row>
    <row r="383" ht="12.75" customHeight="1">
      <c r="A383" s="1" t="s">
        <v>65</v>
      </c>
      <c r="B383" s="1" t="s">
        <v>7926</v>
      </c>
      <c r="C383" s="1" t="s">
        <v>7927</v>
      </c>
      <c r="D383" s="1" t="s">
        <v>68</v>
      </c>
      <c r="E383" s="1" t="s">
        <v>7928</v>
      </c>
      <c r="F383" s="1" t="s">
        <v>1468</v>
      </c>
      <c r="G383" s="1" t="s">
        <v>68</v>
      </c>
      <c r="H383" s="1" t="s">
        <v>71</v>
      </c>
      <c r="I383" s="1" t="s">
        <v>72</v>
      </c>
      <c r="J383" s="1" t="s">
        <v>68</v>
      </c>
      <c r="K383" s="1" t="s">
        <v>68</v>
      </c>
      <c r="L383" s="1" t="s">
        <v>68</v>
      </c>
      <c r="M383" s="1" t="s">
        <v>68</v>
      </c>
      <c r="N383" s="1" t="s">
        <v>7929</v>
      </c>
      <c r="O383" s="1" t="s">
        <v>7930</v>
      </c>
      <c r="P383" s="1" t="s">
        <v>7931</v>
      </c>
      <c r="Q383" s="1" t="s">
        <v>7932</v>
      </c>
      <c r="R383" s="1" t="s">
        <v>7933</v>
      </c>
      <c r="S383" s="1" t="s">
        <v>7934</v>
      </c>
      <c r="T383" s="1" t="s">
        <v>7935</v>
      </c>
      <c r="U383" s="1" t="s">
        <v>7936</v>
      </c>
      <c r="V383" s="1" t="s">
        <v>7937</v>
      </c>
      <c r="W383" s="1" t="s">
        <v>68</v>
      </c>
      <c r="X383" s="1" t="s">
        <v>68</v>
      </c>
      <c r="Y383" s="1" t="s">
        <v>68</v>
      </c>
      <c r="Z383" s="1">
        <v>111.0</v>
      </c>
      <c r="AA383" s="1">
        <v>1.0</v>
      </c>
      <c r="AB383" s="1">
        <v>2.0</v>
      </c>
      <c r="AC383" s="1">
        <v>3.0</v>
      </c>
      <c r="AD383" s="1">
        <v>6.0</v>
      </c>
      <c r="AE383" s="1" t="s">
        <v>1481</v>
      </c>
      <c r="AF383" s="1" t="s">
        <v>663</v>
      </c>
      <c r="AG383" s="1" t="s">
        <v>1482</v>
      </c>
      <c r="AH383" s="1" t="s">
        <v>1483</v>
      </c>
      <c r="AI383" s="1" t="s">
        <v>68</v>
      </c>
      <c r="AJ383" s="1" t="s">
        <v>68</v>
      </c>
      <c r="AK383" s="1" t="s">
        <v>1468</v>
      </c>
      <c r="AL383" s="1" t="s">
        <v>1484</v>
      </c>
      <c r="AM383" s="1" t="s">
        <v>6393</v>
      </c>
      <c r="AN383" s="1">
        <v>2024.0</v>
      </c>
      <c r="AO383" s="1">
        <v>12.0</v>
      </c>
      <c r="AP383" s="1" t="s">
        <v>68</v>
      </c>
      <c r="AQ383" s="1" t="s">
        <v>68</v>
      </c>
      <c r="AR383" s="1" t="s">
        <v>68</v>
      </c>
      <c r="AS383" s="1" t="s">
        <v>68</v>
      </c>
      <c r="AT383" s="1" t="s">
        <v>68</v>
      </c>
      <c r="AU383" s="1" t="s">
        <v>68</v>
      </c>
      <c r="AV383" s="1" t="s">
        <v>68</v>
      </c>
      <c r="AW383" s="1" t="s">
        <v>7938</v>
      </c>
      <c r="AX383" s="1" t="s">
        <v>7939</v>
      </c>
      <c r="AY383" s="3" t="str">
        <f>HYPERLINK("http://dx.doi.org/10.7717/peerj.17357","http://dx.doi.org/10.7717/peerj.17357")</f>
        <v>http://dx.doi.org/10.7717/peerj.17357</v>
      </c>
      <c r="AZ383" s="1" t="s">
        <v>68</v>
      </c>
      <c r="BA383" s="1" t="s">
        <v>68</v>
      </c>
      <c r="BB383" s="1">
        <v>20.0</v>
      </c>
      <c r="BC383" s="1" t="s">
        <v>742</v>
      </c>
      <c r="BD383" s="1" t="s">
        <v>92</v>
      </c>
      <c r="BE383" s="1" t="s">
        <v>743</v>
      </c>
      <c r="BF383" s="1" t="s">
        <v>7940</v>
      </c>
      <c r="BG383" s="1">
        <v>3.9184396E7</v>
      </c>
      <c r="BH383" s="1" t="s">
        <v>94</v>
      </c>
      <c r="BI383" s="1" t="s">
        <v>68</v>
      </c>
      <c r="BJ383" s="1" t="s">
        <v>68</v>
      </c>
      <c r="BK383" s="1" t="s">
        <v>95</v>
      </c>
      <c r="BL383" s="1" t="s">
        <v>7941</v>
      </c>
      <c r="BM383" s="1" t="str">
        <f>HYPERLINK("https%3A%2F%2Fwww.webofscience.com%2Fwos%2Fwoscc%2Ffull-record%2FWOS:001299112500008","View Full Record in Web of Science")</f>
        <v>View Full Record in Web of Science</v>
      </c>
    </row>
    <row r="384" ht="12.75" customHeight="1">
      <c r="A384" s="1" t="s">
        <v>65</v>
      </c>
      <c r="B384" s="1" t="s">
        <v>7942</v>
      </c>
      <c r="C384" s="1" t="s">
        <v>7943</v>
      </c>
      <c r="D384" s="1" t="s">
        <v>68</v>
      </c>
      <c r="E384" s="1" t="s">
        <v>7944</v>
      </c>
      <c r="F384" s="1" t="s">
        <v>2956</v>
      </c>
      <c r="G384" s="1" t="s">
        <v>68</v>
      </c>
      <c r="H384" s="1" t="s">
        <v>71</v>
      </c>
      <c r="I384" s="1" t="s">
        <v>72</v>
      </c>
      <c r="J384" s="1" t="s">
        <v>68</v>
      </c>
      <c r="K384" s="1" t="s">
        <v>68</v>
      </c>
      <c r="L384" s="1" t="s">
        <v>68</v>
      </c>
      <c r="M384" s="1" t="s">
        <v>68</v>
      </c>
      <c r="N384" s="1" t="s">
        <v>7945</v>
      </c>
      <c r="O384" s="1" t="s">
        <v>7946</v>
      </c>
      <c r="P384" s="1" t="s">
        <v>7947</v>
      </c>
      <c r="Q384" s="1" t="s">
        <v>7948</v>
      </c>
      <c r="R384" s="1" t="s">
        <v>7949</v>
      </c>
      <c r="S384" s="1" t="s">
        <v>7950</v>
      </c>
      <c r="T384" s="1" t="s">
        <v>7951</v>
      </c>
      <c r="U384" s="1" t="s">
        <v>68</v>
      </c>
      <c r="V384" s="1" t="s">
        <v>7952</v>
      </c>
      <c r="W384" s="1" t="s">
        <v>68</v>
      </c>
      <c r="X384" s="1" t="s">
        <v>68</v>
      </c>
      <c r="Y384" s="1" t="s">
        <v>68</v>
      </c>
      <c r="Z384" s="1">
        <v>31.0</v>
      </c>
      <c r="AA384" s="1">
        <v>10.0</v>
      </c>
      <c r="AB384" s="1">
        <v>11.0</v>
      </c>
      <c r="AC384" s="1">
        <v>3.0</v>
      </c>
      <c r="AD384" s="1">
        <v>26.0</v>
      </c>
      <c r="AE384" s="1" t="s">
        <v>247</v>
      </c>
      <c r="AF384" s="1" t="s">
        <v>248</v>
      </c>
      <c r="AG384" s="1" t="s">
        <v>351</v>
      </c>
      <c r="AH384" s="1" t="s">
        <v>68</v>
      </c>
      <c r="AI384" s="1" t="s">
        <v>2969</v>
      </c>
      <c r="AJ384" s="1" t="s">
        <v>68</v>
      </c>
      <c r="AK384" s="1" t="s">
        <v>2970</v>
      </c>
      <c r="AL384" s="1" t="s">
        <v>2971</v>
      </c>
      <c r="AM384" s="1" t="s">
        <v>1789</v>
      </c>
      <c r="AN384" s="1">
        <v>2023.0</v>
      </c>
      <c r="AO384" s="1">
        <v>15.0</v>
      </c>
      <c r="AP384" s="1">
        <v>2.0</v>
      </c>
      <c r="AQ384" s="1" t="s">
        <v>68</v>
      </c>
      <c r="AR384" s="1" t="s">
        <v>68</v>
      </c>
      <c r="AS384" s="1" t="s">
        <v>68</v>
      </c>
      <c r="AT384" s="1" t="s">
        <v>68</v>
      </c>
      <c r="AU384" s="1" t="s">
        <v>68</v>
      </c>
      <c r="AV384" s="1" t="s">
        <v>68</v>
      </c>
      <c r="AW384" s="1">
        <v>238.0</v>
      </c>
      <c r="AX384" s="1" t="s">
        <v>7953</v>
      </c>
      <c r="AY384" s="3" t="str">
        <f>HYPERLINK("http://dx.doi.org/10.3390/w15020238","http://dx.doi.org/10.3390/w15020238")</f>
        <v>http://dx.doi.org/10.3390/w15020238</v>
      </c>
      <c r="AZ384" s="1" t="s">
        <v>68</v>
      </c>
      <c r="BA384" s="1" t="s">
        <v>68</v>
      </c>
      <c r="BB384" s="1">
        <v>15.0</v>
      </c>
      <c r="BC384" s="1" t="s">
        <v>2973</v>
      </c>
      <c r="BD384" s="1" t="s">
        <v>92</v>
      </c>
      <c r="BE384" s="1" t="s">
        <v>2974</v>
      </c>
      <c r="BF384" s="1" t="s">
        <v>7954</v>
      </c>
      <c r="BG384" s="1" t="s">
        <v>68</v>
      </c>
      <c r="BH384" s="1" t="s">
        <v>94</v>
      </c>
      <c r="BI384" s="1" t="s">
        <v>68</v>
      </c>
      <c r="BJ384" s="1" t="s">
        <v>68</v>
      </c>
      <c r="BK384" s="1" t="s">
        <v>95</v>
      </c>
      <c r="BL384" s="1" t="s">
        <v>7955</v>
      </c>
      <c r="BM384" s="1" t="str">
        <f>HYPERLINK("https%3A%2F%2Fwww.webofscience.com%2Fwos%2Fwoscc%2Ffull-record%2FWOS:000916386700001","View Full Record in Web of Science")</f>
        <v>View Full Record in Web of Science</v>
      </c>
    </row>
    <row r="385" ht="12.75" customHeight="1">
      <c r="A385" s="1" t="s">
        <v>65</v>
      </c>
      <c r="B385" s="1" t="s">
        <v>7956</v>
      </c>
      <c r="C385" s="1" t="s">
        <v>7957</v>
      </c>
      <c r="D385" s="1" t="s">
        <v>68</v>
      </c>
      <c r="E385" s="1" t="s">
        <v>7958</v>
      </c>
      <c r="F385" s="1" t="s">
        <v>261</v>
      </c>
      <c r="G385" s="1" t="s">
        <v>68</v>
      </c>
      <c r="H385" s="1" t="s">
        <v>71</v>
      </c>
      <c r="I385" s="1" t="s">
        <v>72</v>
      </c>
      <c r="J385" s="1" t="s">
        <v>68</v>
      </c>
      <c r="K385" s="1" t="s">
        <v>68</v>
      </c>
      <c r="L385" s="1" t="s">
        <v>68</v>
      </c>
      <c r="M385" s="1" t="s">
        <v>68</v>
      </c>
      <c r="N385" s="1" t="s">
        <v>7959</v>
      </c>
      <c r="O385" s="1" t="s">
        <v>7960</v>
      </c>
      <c r="P385" s="1" t="s">
        <v>7961</v>
      </c>
      <c r="Q385" s="1" t="s">
        <v>7962</v>
      </c>
      <c r="R385" s="1" t="s">
        <v>7963</v>
      </c>
      <c r="S385" s="1" t="s">
        <v>7964</v>
      </c>
      <c r="T385" s="1" t="s">
        <v>7965</v>
      </c>
      <c r="U385" s="1" t="s">
        <v>7966</v>
      </c>
      <c r="V385" s="1" t="s">
        <v>7967</v>
      </c>
      <c r="W385" s="1" t="s">
        <v>7968</v>
      </c>
      <c r="X385" s="1" t="s">
        <v>7969</v>
      </c>
      <c r="Y385" s="1" t="s">
        <v>7970</v>
      </c>
      <c r="Z385" s="1">
        <v>33.0</v>
      </c>
      <c r="AA385" s="1">
        <v>22.0</v>
      </c>
      <c r="AB385" s="1">
        <v>23.0</v>
      </c>
      <c r="AC385" s="1">
        <v>0.0</v>
      </c>
      <c r="AD385" s="1">
        <v>13.0</v>
      </c>
      <c r="AE385" s="1" t="s">
        <v>247</v>
      </c>
      <c r="AF385" s="1" t="s">
        <v>248</v>
      </c>
      <c r="AG385" s="1" t="s">
        <v>249</v>
      </c>
      <c r="AH385" s="1" t="s">
        <v>68</v>
      </c>
      <c r="AI385" s="1" t="s">
        <v>274</v>
      </c>
      <c r="AJ385" s="1" t="s">
        <v>68</v>
      </c>
      <c r="AK385" s="1" t="s">
        <v>275</v>
      </c>
      <c r="AL385" s="1" t="s">
        <v>276</v>
      </c>
      <c r="AM385" s="1" t="s">
        <v>1264</v>
      </c>
      <c r="AN385" s="1">
        <v>2020.0</v>
      </c>
      <c r="AO385" s="1">
        <v>17.0</v>
      </c>
      <c r="AP385" s="1">
        <v>21.0</v>
      </c>
      <c r="AQ385" s="1" t="s">
        <v>68</v>
      </c>
      <c r="AR385" s="1" t="s">
        <v>68</v>
      </c>
      <c r="AS385" s="1" t="s">
        <v>68</v>
      </c>
      <c r="AT385" s="1" t="s">
        <v>68</v>
      </c>
      <c r="AU385" s="1" t="s">
        <v>68</v>
      </c>
      <c r="AV385" s="1" t="s">
        <v>68</v>
      </c>
      <c r="AW385" s="1">
        <v>7872.0</v>
      </c>
      <c r="AX385" s="1" t="s">
        <v>7971</v>
      </c>
      <c r="AY385" s="3" t="str">
        <f>HYPERLINK("http://dx.doi.org/10.3390/ijerph17217872","http://dx.doi.org/10.3390/ijerph17217872")</f>
        <v>http://dx.doi.org/10.3390/ijerph17217872</v>
      </c>
      <c r="AZ385" s="1" t="s">
        <v>68</v>
      </c>
      <c r="BA385" s="1" t="s">
        <v>68</v>
      </c>
      <c r="BB385" s="1">
        <v>19.0</v>
      </c>
      <c r="BC385" s="1" t="s">
        <v>278</v>
      </c>
      <c r="BD385" s="1" t="s">
        <v>279</v>
      </c>
      <c r="BE385" s="1" t="s">
        <v>280</v>
      </c>
      <c r="BF385" s="1" t="s">
        <v>7972</v>
      </c>
      <c r="BG385" s="1">
        <v>3.312106E7</v>
      </c>
      <c r="BH385" s="1" t="s">
        <v>94</v>
      </c>
      <c r="BI385" s="1" t="s">
        <v>68</v>
      </c>
      <c r="BJ385" s="1" t="s">
        <v>68</v>
      </c>
      <c r="BK385" s="1" t="s">
        <v>95</v>
      </c>
      <c r="BL385" s="1" t="s">
        <v>7973</v>
      </c>
      <c r="BM385" s="1" t="str">
        <f>HYPERLINK("https%3A%2F%2Fwww.webofscience.com%2Fwos%2Fwoscc%2Ffull-record%2FWOS:000588934000001","View Full Record in Web of Science")</f>
        <v>View Full Record in Web of Science</v>
      </c>
    </row>
    <row r="386" ht="12.75" customHeight="1">
      <c r="A386" s="1" t="s">
        <v>65</v>
      </c>
      <c r="B386" s="1" t="s">
        <v>7974</v>
      </c>
      <c r="C386" s="1" t="s">
        <v>7975</v>
      </c>
      <c r="D386" s="1" t="s">
        <v>68</v>
      </c>
      <c r="E386" s="1" t="s">
        <v>7976</v>
      </c>
      <c r="F386" s="1" t="s">
        <v>7977</v>
      </c>
      <c r="G386" s="1" t="s">
        <v>68</v>
      </c>
      <c r="H386" s="1" t="s">
        <v>71</v>
      </c>
      <c r="I386" s="1" t="s">
        <v>72</v>
      </c>
      <c r="J386" s="1" t="s">
        <v>68</v>
      </c>
      <c r="K386" s="1" t="s">
        <v>68</v>
      </c>
      <c r="L386" s="1" t="s">
        <v>68</v>
      </c>
      <c r="M386" s="1" t="s">
        <v>68</v>
      </c>
      <c r="N386" s="1" t="s">
        <v>68</v>
      </c>
      <c r="O386" s="1" t="s">
        <v>7978</v>
      </c>
      <c r="P386" s="1" t="s">
        <v>7979</v>
      </c>
      <c r="Q386" s="1" t="s">
        <v>7980</v>
      </c>
      <c r="R386" s="1" t="s">
        <v>7981</v>
      </c>
      <c r="S386" s="1" t="s">
        <v>7982</v>
      </c>
      <c r="T386" s="1" t="s">
        <v>7983</v>
      </c>
      <c r="U386" s="1" t="s">
        <v>7984</v>
      </c>
      <c r="V386" s="1" t="s">
        <v>68</v>
      </c>
      <c r="W386" s="1" t="s">
        <v>7985</v>
      </c>
      <c r="X386" s="1" t="s">
        <v>7986</v>
      </c>
      <c r="Y386" s="1" t="s">
        <v>7987</v>
      </c>
      <c r="Z386" s="1">
        <v>57.0</v>
      </c>
      <c r="AA386" s="1">
        <v>2.0</v>
      </c>
      <c r="AB386" s="1">
        <v>3.0</v>
      </c>
      <c r="AC386" s="1">
        <v>0.0</v>
      </c>
      <c r="AD386" s="1">
        <v>2.0</v>
      </c>
      <c r="AE386" s="1" t="s">
        <v>7988</v>
      </c>
      <c r="AF386" s="1" t="s">
        <v>736</v>
      </c>
      <c r="AG386" s="1" t="s">
        <v>7989</v>
      </c>
      <c r="AH386" s="1" t="s">
        <v>68</v>
      </c>
      <c r="AI386" s="1" t="s">
        <v>7990</v>
      </c>
      <c r="AJ386" s="1" t="s">
        <v>68</v>
      </c>
      <c r="AK386" s="1" t="s">
        <v>7991</v>
      </c>
      <c r="AL386" s="1" t="s">
        <v>7992</v>
      </c>
      <c r="AM386" s="1" t="s">
        <v>2998</v>
      </c>
      <c r="AN386" s="1">
        <v>2024.0</v>
      </c>
      <c r="AO386" s="1">
        <v>3.0</v>
      </c>
      <c r="AP386" s="1">
        <v>6.0</v>
      </c>
      <c r="AQ386" s="1" t="s">
        <v>68</v>
      </c>
      <c r="AR386" s="1" t="s">
        <v>68</v>
      </c>
      <c r="AS386" s="1" t="s">
        <v>68</v>
      </c>
      <c r="AT386" s="1" t="s">
        <v>68</v>
      </c>
      <c r="AU386" s="1">
        <v>885.0</v>
      </c>
      <c r="AV386" s="1">
        <v>896.0</v>
      </c>
      <c r="AW386" s="1" t="s">
        <v>68</v>
      </c>
      <c r="AX386" s="1" t="s">
        <v>7993</v>
      </c>
      <c r="AY386" s="3" t="str">
        <f>HYPERLINK("http://dx.doi.org/10.1039/d4va00008k","http://dx.doi.org/10.1039/d4va00008k")</f>
        <v>http://dx.doi.org/10.1039/d4va00008k</v>
      </c>
      <c r="AZ386" s="1" t="s">
        <v>68</v>
      </c>
      <c r="BA386" s="1" t="s">
        <v>4287</v>
      </c>
      <c r="BB386" s="1">
        <v>12.0</v>
      </c>
      <c r="BC386" s="1" t="s">
        <v>3986</v>
      </c>
      <c r="BD386" s="1" t="s">
        <v>197</v>
      </c>
      <c r="BE386" s="1" t="s">
        <v>3987</v>
      </c>
      <c r="BF386" s="1" t="s">
        <v>7994</v>
      </c>
      <c r="BG386" s="1" t="s">
        <v>68</v>
      </c>
      <c r="BH386" s="1" t="s">
        <v>462</v>
      </c>
      <c r="BI386" s="1" t="s">
        <v>68</v>
      </c>
      <c r="BJ386" s="1" t="s">
        <v>68</v>
      </c>
      <c r="BK386" s="1" t="s">
        <v>95</v>
      </c>
      <c r="BL386" s="1" t="s">
        <v>7995</v>
      </c>
      <c r="BM386" s="1" t="str">
        <f>HYPERLINK("https%3A%2F%2Fwww.webofscience.com%2Fwos%2Fwoscc%2Ffull-record%2FWOS:001219702000001","View Full Record in Web of Science")</f>
        <v>View Full Record in Web of Science</v>
      </c>
    </row>
    <row r="387" ht="12.75" customHeight="1">
      <c r="A387" s="1" t="s">
        <v>65</v>
      </c>
      <c r="B387" s="1" t="s">
        <v>7996</v>
      </c>
      <c r="C387" s="1" t="s">
        <v>7997</v>
      </c>
      <c r="D387" s="1" t="s">
        <v>68</v>
      </c>
      <c r="E387" s="1" t="s">
        <v>7998</v>
      </c>
      <c r="F387" s="1" t="s">
        <v>1493</v>
      </c>
      <c r="G387" s="1" t="s">
        <v>68</v>
      </c>
      <c r="H387" s="1" t="s">
        <v>71</v>
      </c>
      <c r="I387" s="1" t="s">
        <v>72</v>
      </c>
      <c r="J387" s="1" t="s">
        <v>68</v>
      </c>
      <c r="K387" s="1" t="s">
        <v>68</v>
      </c>
      <c r="L387" s="1" t="s">
        <v>68</v>
      </c>
      <c r="M387" s="1" t="s">
        <v>68</v>
      </c>
      <c r="N387" s="1" t="s">
        <v>7999</v>
      </c>
      <c r="O387" s="1" t="s">
        <v>8000</v>
      </c>
      <c r="P387" s="1" t="s">
        <v>8001</v>
      </c>
      <c r="Q387" s="1" t="s">
        <v>8002</v>
      </c>
      <c r="R387" s="1" t="s">
        <v>8003</v>
      </c>
      <c r="S387" s="1" t="s">
        <v>8004</v>
      </c>
      <c r="T387" s="1" t="s">
        <v>8005</v>
      </c>
      <c r="U387" s="1" t="s">
        <v>8006</v>
      </c>
      <c r="V387" s="1" t="s">
        <v>8007</v>
      </c>
      <c r="W387" s="1" t="s">
        <v>8008</v>
      </c>
      <c r="X387" s="1" t="s">
        <v>8008</v>
      </c>
      <c r="Y387" s="1" t="s">
        <v>8009</v>
      </c>
      <c r="Z387" s="1">
        <v>89.0</v>
      </c>
      <c r="AA387" s="1">
        <v>5.0</v>
      </c>
      <c r="AB387" s="1">
        <v>6.0</v>
      </c>
      <c r="AC387" s="1">
        <v>3.0</v>
      </c>
      <c r="AD387" s="1">
        <v>8.0</v>
      </c>
      <c r="AE387" s="1" t="s">
        <v>114</v>
      </c>
      <c r="AF387" s="1" t="s">
        <v>1505</v>
      </c>
      <c r="AG387" s="1" t="s">
        <v>1506</v>
      </c>
      <c r="AH387" s="1" t="s">
        <v>1507</v>
      </c>
      <c r="AI387" s="1" t="s">
        <v>1508</v>
      </c>
      <c r="AJ387" s="1" t="s">
        <v>68</v>
      </c>
      <c r="AK387" s="1" t="s">
        <v>1509</v>
      </c>
      <c r="AL387" s="1" t="s">
        <v>1510</v>
      </c>
      <c r="AM387" s="1" t="s">
        <v>2194</v>
      </c>
      <c r="AN387" s="1">
        <v>2024.0</v>
      </c>
      <c r="AO387" s="1">
        <v>33.0</v>
      </c>
      <c r="AP387" s="1">
        <v>5.0</v>
      </c>
      <c r="AQ387" s="1" t="s">
        <v>68</v>
      </c>
      <c r="AR387" s="1" t="s">
        <v>68</v>
      </c>
      <c r="AS387" s="1" t="s">
        <v>68</v>
      </c>
      <c r="AT387" s="1" t="s">
        <v>68</v>
      </c>
      <c r="AU387" s="1">
        <v>1623.0</v>
      </c>
      <c r="AV387" s="1">
        <v>1643.0</v>
      </c>
      <c r="AW387" s="1" t="s">
        <v>68</v>
      </c>
      <c r="AX387" s="1" t="s">
        <v>8010</v>
      </c>
      <c r="AY387" s="3" t="str">
        <f>HYPERLINK("http://dx.doi.org/10.1007/s10531-024-02818-9","http://dx.doi.org/10.1007/s10531-024-02818-9")</f>
        <v>http://dx.doi.org/10.1007/s10531-024-02818-9</v>
      </c>
      <c r="AZ387" s="1" t="s">
        <v>68</v>
      </c>
      <c r="BA387" s="1" t="s">
        <v>614</v>
      </c>
      <c r="BB387" s="1">
        <v>21.0</v>
      </c>
      <c r="BC387" s="1" t="s">
        <v>122</v>
      </c>
      <c r="BD387" s="1" t="s">
        <v>92</v>
      </c>
      <c r="BE387" s="1" t="s">
        <v>123</v>
      </c>
      <c r="BF387" s="1" t="s">
        <v>8011</v>
      </c>
      <c r="BG387" s="1" t="s">
        <v>68</v>
      </c>
      <c r="BH387" s="1" t="s">
        <v>867</v>
      </c>
      <c r="BI387" s="1" t="s">
        <v>68</v>
      </c>
      <c r="BJ387" s="1" t="s">
        <v>68</v>
      </c>
      <c r="BK387" s="1" t="s">
        <v>95</v>
      </c>
      <c r="BL387" s="1" t="s">
        <v>8012</v>
      </c>
      <c r="BM387" s="1" t="str">
        <f>HYPERLINK("https%3A%2F%2Fwww.webofscience.com%2Fwos%2Fwoscc%2Ffull-record%2FWOS:001186166500002","View Full Record in Web of Science")</f>
        <v>View Full Record in Web of Science</v>
      </c>
    </row>
    <row r="388" ht="12.75" customHeight="1">
      <c r="A388" s="1" t="s">
        <v>65</v>
      </c>
      <c r="B388" s="1" t="s">
        <v>8013</v>
      </c>
      <c r="C388" s="1" t="s">
        <v>8014</v>
      </c>
      <c r="D388" s="1" t="s">
        <v>68</v>
      </c>
      <c r="E388" s="1" t="s">
        <v>8015</v>
      </c>
      <c r="F388" s="1" t="s">
        <v>3294</v>
      </c>
      <c r="G388" s="1" t="s">
        <v>68</v>
      </c>
      <c r="H388" s="1" t="s">
        <v>71</v>
      </c>
      <c r="I388" s="1" t="s">
        <v>101</v>
      </c>
      <c r="J388" s="1" t="s">
        <v>68</v>
      </c>
      <c r="K388" s="1" t="s">
        <v>68</v>
      </c>
      <c r="L388" s="1" t="s">
        <v>68</v>
      </c>
      <c r="M388" s="1" t="s">
        <v>68</v>
      </c>
      <c r="N388" s="1" t="s">
        <v>8016</v>
      </c>
      <c r="O388" s="1" t="s">
        <v>8017</v>
      </c>
      <c r="P388" s="1" t="s">
        <v>8018</v>
      </c>
      <c r="Q388" s="1" t="s">
        <v>8019</v>
      </c>
      <c r="R388" s="1" t="s">
        <v>8020</v>
      </c>
      <c r="S388" s="1" t="s">
        <v>8021</v>
      </c>
      <c r="T388" s="1" t="s">
        <v>8022</v>
      </c>
      <c r="U388" s="1" t="s">
        <v>8023</v>
      </c>
      <c r="V388" s="1" t="s">
        <v>8024</v>
      </c>
      <c r="W388" s="1" t="s">
        <v>68</v>
      </c>
      <c r="X388" s="1" t="s">
        <v>68</v>
      </c>
      <c r="Y388" s="1" t="s">
        <v>68</v>
      </c>
      <c r="Z388" s="1">
        <v>123.0</v>
      </c>
      <c r="AA388" s="1">
        <v>9.0</v>
      </c>
      <c r="AB388" s="1">
        <v>11.0</v>
      </c>
      <c r="AC388" s="1">
        <v>0.0</v>
      </c>
      <c r="AD388" s="1">
        <v>15.0</v>
      </c>
      <c r="AE388" s="1" t="s">
        <v>247</v>
      </c>
      <c r="AF388" s="1" t="s">
        <v>248</v>
      </c>
      <c r="AG388" s="1" t="s">
        <v>249</v>
      </c>
      <c r="AH388" s="1" t="s">
        <v>68</v>
      </c>
      <c r="AI388" s="1" t="s">
        <v>3307</v>
      </c>
      <c r="AJ388" s="1" t="s">
        <v>68</v>
      </c>
      <c r="AK388" s="1" t="s">
        <v>3294</v>
      </c>
      <c r="AL388" s="1" t="s">
        <v>3308</v>
      </c>
      <c r="AM388" s="1" t="s">
        <v>3782</v>
      </c>
      <c r="AN388" s="1">
        <v>2022.0</v>
      </c>
      <c r="AO388" s="1">
        <v>13.0</v>
      </c>
      <c r="AP388" s="1">
        <v>6.0</v>
      </c>
      <c r="AQ388" s="1" t="s">
        <v>68</v>
      </c>
      <c r="AR388" s="1" t="s">
        <v>68</v>
      </c>
      <c r="AS388" s="1" t="s">
        <v>68</v>
      </c>
      <c r="AT388" s="1" t="s">
        <v>68</v>
      </c>
      <c r="AU388" s="1" t="s">
        <v>68</v>
      </c>
      <c r="AV388" s="1" t="s">
        <v>68</v>
      </c>
      <c r="AW388" s="1">
        <v>492.0</v>
      </c>
      <c r="AX388" s="1" t="s">
        <v>8025</v>
      </c>
      <c r="AY388" s="3" t="str">
        <f>HYPERLINK("http://dx.doi.org/10.3390/insects13060492","http://dx.doi.org/10.3390/insects13060492")</f>
        <v>http://dx.doi.org/10.3390/insects13060492</v>
      </c>
      <c r="AZ388" s="1" t="s">
        <v>68</v>
      </c>
      <c r="BA388" s="1" t="s">
        <v>68</v>
      </c>
      <c r="BB388" s="1">
        <v>20.0</v>
      </c>
      <c r="BC388" s="1" t="s">
        <v>309</v>
      </c>
      <c r="BD388" s="1" t="s">
        <v>92</v>
      </c>
      <c r="BE388" s="1" t="s">
        <v>309</v>
      </c>
      <c r="BF388" s="1" t="s">
        <v>8026</v>
      </c>
      <c r="BG388" s="1">
        <v>3.5735829E7</v>
      </c>
      <c r="BH388" s="1" t="s">
        <v>94</v>
      </c>
      <c r="BI388" s="1" t="s">
        <v>68</v>
      </c>
      <c r="BJ388" s="1" t="s">
        <v>68</v>
      </c>
      <c r="BK388" s="1" t="s">
        <v>95</v>
      </c>
      <c r="BL388" s="1" t="s">
        <v>8027</v>
      </c>
      <c r="BM388" s="1" t="str">
        <f>HYPERLINK("https%3A%2F%2Fwww.webofscience.com%2Fwos%2Fwoscc%2Ffull-record%2FWOS:000817387000001","View Full Record in Web of Science")</f>
        <v>View Full Record in Web of Science</v>
      </c>
    </row>
    <row r="389" ht="12.75" customHeight="1">
      <c r="A389" s="1" t="s">
        <v>65</v>
      </c>
      <c r="B389" s="1" t="s">
        <v>8028</v>
      </c>
      <c r="C389" s="1" t="s">
        <v>8029</v>
      </c>
      <c r="D389" s="1" t="s">
        <v>68</v>
      </c>
      <c r="E389" s="1" t="s">
        <v>8030</v>
      </c>
      <c r="F389" s="1" t="s">
        <v>2980</v>
      </c>
      <c r="G389" s="1" t="s">
        <v>68</v>
      </c>
      <c r="H389" s="1" t="s">
        <v>71</v>
      </c>
      <c r="I389" s="1" t="s">
        <v>72</v>
      </c>
      <c r="J389" s="1" t="s">
        <v>68</v>
      </c>
      <c r="K389" s="1" t="s">
        <v>68</v>
      </c>
      <c r="L389" s="1" t="s">
        <v>68</v>
      </c>
      <c r="M389" s="1" t="s">
        <v>68</v>
      </c>
      <c r="N389" s="1" t="s">
        <v>8031</v>
      </c>
      <c r="O389" s="1" t="s">
        <v>8032</v>
      </c>
      <c r="P389" s="1" t="s">
        <v>8033</v>
      </c>
      <c r="Q389" s="1" t="s">
        <v>8034</v>
      </c>
      <c r="R389" s="1" t="s">
        <v>8035</v>
      </c>
      <c r="S389" s="1" t="s">
        <v>8036</v>
      </c>
      <c r="T389" s="1" t="s">
        <v>8037</v>
      </c>
      <c r="U389" s="1" t="s">
        <v>8038</v>
      </c>
      <c r="V389" s="1" t="s">
        <v>8039</v>
      </c>
      <c r="W389" s="1" t="s">
        <v>8040</v>
      </c>
      <c r="X389" s="1" t="s">
        <v>8041</v>
      </c>
      <c r="Y389" s="1" t="s">
        <v>8042</v>
      </c>
      <c r="Z389" s="1">
        <v>35.0</v>
      </c>
      <c r="AA389" s="1">
        <v>10.0</v>
      </c>
      <c r="AB389" s="1">
        <v>10.0</v>
      </c>
      <c r="AC389" s="1">
        <v>0.0</v>
      </c>
      <c r="AD389" s="1">
        <v>4.0</v>
      </c>
      <c r="AE389" s="1" t="s">
        <v>114</v>
      </c>
      <c r="AF389" s="1" t="s">
        <v>115</v>
      </c>
      <c r="AG389" s="1" t="s">
        <v>2993</v>
      </c>
      <c r="AH389" s="1" t="s">
        <v>2994</v>
      </c>
      <c r="AI389" s="1" t="s">
        <v>2995</v>
      </c>
      <c r="AJ389" s="1" t="s">
        <v>68</v>
      </c>
      <c r="AK389" s="1" t="s">
        <v>2996</v>
      </c>
      <c r="AL389" s="1" t="s">
        <v>2997</v>
      </c>
      <c r="AM389" s="1" t="s">
        <v>8043</v>
      </c>
      <c r="AN389" s="1">
        <v>2020.0</v>
      </c>
      <c r="AO389" s="1">
        <v>66.0</v>
      </c>
      <c r="AP389" s="1">
        <v>4.0</v>
      </c>
      <c r="AQ389" s="1" t="s">
        <v>68</v>
      </c>
      <c r="AR389" s="1" t="s">
        <v>68</v>
      </c>
      <c r="AS389" s="1" t="s">
        <v>68</v>
      </c>
      <c r="AT389" s="1" t="s">
        <v>68</v>
      </c>
      <c r="AU389" s="1" t="s">
        <v>68</v>
      </c>
      <c r="AV389" s="1" t="s">
        <v>68</v>
      </c>
      <c r="AW389" s="1">
        <v>65.0</v>
      </c>
      <c r="AX389" s="1" t="s">
        <v>8044</v>
      </c>
      <c r="AY389" s="3" t="str">
        <f>HYPERLINK("http://dx.doi.org/10.1007/s10344-020-01408-8","http://dx.doi.org/10.1007/s10344-020-01408-8")</f>
        <v>http://dx.doi.org/10.1007/s10344-020-01408-8</v>
      </c>
      <c r="AZ389" s="1" t="s">
        <v>68</v>
      </c>
      <c r="BA389" s="1" t="s">
        <v>68</v>
      </c>
      <c r="BB389" s="1">
        <v>5.0</v>
      </c>
      <c r="BC389" s="1" t="s">
        <v>766</v>
      </c>
      <c r="BD389" s="1" t="s">
        <v>92</v>
      </c>
      <c r="BE389" s="1" t="s">
        <v>767</v>
      </c>
      <c r="BF389" s="1" t="s">
        <v>8045</v>
      </c>
      <c r="BG389" s="1" t="s">
        <v>68</v>
      </c>
      <c r="BH389" s="1" t="s">
        <v>512</v>
      </c>
      <c r="BI389" s="1" t="s">
        <v>68</v>
      </c>
      <c r="BJ389" s="1" t="s">
        <v>68</v>
      </c>
      <c r="BK389" s="1" t="s">
        <v>95</v>
      </c>
      <c r="BL389" s="1" t="s">
        <v>8046</v>
      </c>
      <c r="BM389" s="1" t="str">
        <f>HYPERLINK("https%3A%2F%2Fwww.webofscience.com%2Fwos%2Fwoscc%2Ffull-record%2FWOS:000552420600001","View Full Record in Web of Science")</f>
        <v>View Full Record in Web of Science</v>
      </c>
    </row>
    <row r="390" ht="12.75" customHeight="1">
      <c r="A390" s="1" t="s">
        <v>65</v>
      </c>
      <c r="B390" s="1" t="s">
        <v>8047</v>
      </c>
      <c r="C390" s="1" t="s">
        <v>8048</v>
      </c>
      <c r="D390" s="1" t="s">
        <v>68</v>
      </c>
      <c r="E390" s="1" t="s">
        <v>8049</v>
      </c>
      <c r="F390" s="1" t="s">
        <v>8050</v>
      </c>
      <c r="G390" s="1" t="s">
        <v>68</v>
      </c>
      <c r="H390" s="1" t="s">
        <v>71</v>
      </c>
      <c r="I390" s="1" t="s">
        <v>72</v>
      </c>
      <c r="J390" s="1" t="s">
        <v>68</v>
      </c>
      <c r="K390" s="1" t="s">
        <v>68</v>
      </c>
      <c r="L390" s="1" t="s">
        <v>68</v>
      </c>
      <c r="M390" s="1" t="s">
        <v>68</v>
      </c>
      <c r="N390" s="1" t="s">
        <v>8051</v>
      </c>
      <c r="O390" s="1" t="s">
        <v>8052</v>
      </c>
      <c r="P390" s="1" t="s">
        <v>8053</v>
      </c>
      <c r="Q390" s="1" t="s">
        <v>8054</v>
      </c>
      <c r="R390" s="1" t="s">
        <v>8055</v>
      </c>
      <c r="S390" s="1" t="s">
        <v>8056</v>
      </c>
      <c r="T390" s="1" t="s">
        <v>8057</v>
      </c>
      <c r="U390" s="1" t="s">
        <v>8058</v>
      </c>
      <c r="V390" s="1" t="s">
        <v>8059</v>
      </c>
      <c r="W390" s="1" t="s">
        <v>8060</v>
      </c>
      <c r="X390" s="1" t="s">
        <v>8061</v>
      </c>
      <c r="Y390" s="1" t="s">
        <v>8062</v>
      </c>
      <c r="Z390" s="1">
        <v>75.0</v>
      </c>
      <c r="AA390" s="1">
        <v>8.0</v>
      </c>
      <c r="AB390" s="1">
        <v>18.0</v>
      </c>
      <c r="AC390" s="1">
        <v>1.0</v>
      </c>
      <c r="AD390" s="1">
        <v>43.0</v>
      </c>
      <c r="AE390" s="1" t="s">
        <v>8063</v>
      </c>
      <c r="AF390" s="1" t="s">
        <v>8064</v>
      </c>
      <c r="AG390" s="1" t="s">
        <v>8065</v>
      </c>
      <c r="AH390" s="1" t="s">
        <v>8066</v>
      </c>
      <c r="AI390" s="1" t="s">
        <v>68</v>
      </c>
      <c r="AJ390" s="1" t="s">
        <v>68</v>
      </c>
      <c r="AK390" s="1" t="s">
        <v>8067</v>
      </c>
      <c r="AL390" s="1" t="s">
        <v>8068</v>
      </c>
      <c r="AM390" s="1" t="s">
        <v>68</v>
      </c>
      <c r="AN390" s="1">
        <v>2021.0</v>
      </c>
      <c r="AO390" s="1">
        <v>20.0</v>
      </c>
      <c r="AP390" s="1">
        <v>6.0</v>
      </c>
      <c r="AQ390" s="1" t="s">
        <v>68</v>
      </c>
      <c r="AR390" s="1" t="s">
        <v>68</v>
      </c>
      <c r="AS390" s="1" t="s">
        <v>68</v>
      </c>
      <c r="AT390" s="1" t="s">
        <v>68</v>
      </c>
      <c r="AU390" s="1">
        <v>881.0</v>
      </c>
      <c r="AV390" s="1">
        <v>893.0</v>
      </c>
      <c r="AW390" s="1" t="s">
        <v>68</v>
      </c>
      <c r="AX390" s="1" t="s">
        <v>8069</v>
      </c>
      <c r="AY390" s="3" t="str">
        <f>HYPERLINK("http://dx.doi.org/10.33225/jbse/21.20.881","http://dx.doi.org/10.33225/jbse/21.20.881")</f>
        <v>http://dx.doi.org/10.33225/jbse/21.20.881</v>
      </c>
      <c r="AZ390" s="1" t="s">
        <v>68</v>
      </c>
      <c r="BA390" s="1" t="s">
        <v>68</v>
      </c>
      <c r="BB390" s="1">
        <v>13.0</v>
      </c>
      <c r="BC390" s="1" t="s">
        <v>1942</v>
      </c>
      <c r="BD390" s="1" t="s">
        <v>1438</v>
      </c>
      <c r="BE390" s="1" t="s">
        <v>1942</v>
      </c>
      <c r="BF390" s="1" t="s">
        <v>8070</v>
      </c>
      <c r="BG390" s="1" t="s">
        <v>68</v>
      </c>
      <c r="BH390" s="1" t="s">
        <v>462</v>
      </c>
      <c r="BI390" s="1" t="s">
        <v>68</v>
      </c>
      <c r="BJ390" s="1" t="s">
        <v>68</v>
      </c>
      <c r="BK390" s="1" t="s">
        <v>95</v>
      </c>
      <c r="BL390" s="1" t="s">
        <v>8071</v>
      </c>
      <c r="BM390" s="1" t="str">
        <f>HYPERLINK("https%3A%2F%2Fwww.webofscience.com%2Fwos%2Fwoscc%2Ffull-record%2FWOS:000730808300003","View Full Record in Web of Science")</f>
        <v>View Full Record in Web of Science</v>
      </c>
    </row>
    <row r="391" ht="12.75" customHeight="1">
      <c r="A391" s="1" t="s">
        <v>65</v>
      </c>
      <c r="B391" s="1" t="s">
        <v>8072</v>
      </c>
      <c r="C391" s="1" t="s">
        <v>8073</v>
      </c>
      <c r="D391" s="1" t="s">
        <v>68</v>
      </c>
      <c r="E391" s="1" t="s">
        <v>8074</v>
      </c>
      <c r="F391" s="1" t="s">
        <v>2980</v>
      </c>
      <c r="G391" s="1" t="s">
        <v>68</v>
      </c>
      <c r="H391" s="1" t="s">
        <v>71</v>
      </c>
      <c r="I391" s="1" t="s">
        <v>72</v>
      </c>
      <c r="J391" s="1" t="s">
        <v>68</v>
      </c>
      <c r="K391" s="1" t="s">
        <v>68</v>
      </c>
      <c r="L391" s="1" t="s">
        <v>68</v>
      </c>
      <c r="M391" s="1" t="s">
        <v>68</v>
      </c>
      <c r="N391" s="1" t="s">
        <v>8075</v>
      </c>
      <c r="O391" s="1" t="s">
        <v>8076</v>
      </c>
      <c r="P391" s="1" t="s">
        <v>8077</v>
      </c>
      <c r="Q391" s="1" t="s">
        <v>8078</v>
      </c>
      <c r="R391" s="1" t="s">
        <v>8079</v>
      </c>
      <c r="S391" s="1" t="s">
        <v>8080</v>
      </c>
      <c r="T391" s="1" t="s">
        <v>8081</v>
      </c>
      <c r="U391" s="1" t="s">
        <v>8082</v>
      </c>
      <c r="V391" s="1" t="s">
        <v>8083</v>
      </c>
      <c r="W391" s="1" t="s">
        <v>8084</v>
      </c>
      <c r="X391" s="1" t="s">
        <v>8085</v>
      </c>
      <c r="Y391" s="1" t="s">
        <v>8086</v>
      </c>
      <c r="Z391" s="1">
        <v>86.0</v>
      </c>
      <c r="AA391" s="1">
        <v>0.0</v>
      </c>
      <c r="AB391" s="1">
        <v>0.0</v>
      </c>
      <c r="AC391" s="1">
        <v>3.0</v>
      </c>
      <c r="AD391" s="1">
        <v>5.0</v>
      </c>
      <c r="AE391" s="1" t="s">
        <v>114</v>
      </c>
      <c r="AF391" s="1" t="s">
        <v>115</v>
      </c>
      <c r="AG391" s="1" t="s">
        <v>2993</v>
      </c>
      <c r="AH391" s="1" t="s">
        <v>2994</v>
      </c>
      <c r="AI391" s="1" t="s">
        <v>2995</v>
      </c>
      <c r="AJ391" s="1" t="s">
        <v>68</v>
      </c>
      <c r="AK391" s="1" t="s">
        <v>2996</v>
      </c>
      <c r="AL391" s="1" t="s">
        <v>2997</v>
      </c>
      <c r="AM391" s="1" t="s">
        <v>8087</v>
      </c>
      <c r="AN391" s="1">
        <v>2025.0</v>
      </c>
      <c r="AO391" s="1">
        <v>71.0</v>
      </c>
      <c r="AP391" s="1">
        <v>4.0</v>
      </c>
      <c r="AQ391" s="1" t="s">
        <v>68</v>
      </c>
      <c r="AR391" s="1" t="s">
        <v>68</v>
      </c>
      <c r="AS391" s="1" t="s">
        <v>68</v>
      </c>
      <c r="AT391" s="1" t="s">
        <v>68</v>
      </c>
      <c r="AU391" s="1" t="s">
        <v>68</v>
      </c>
      <c r="AV391" s="1" t="s">
        <v>68</v>
      </c>
      <c r="AW391" s="1">
        <v>65.0</v>
      </c>
      <c r="AX391" s="1" t="s">
        <v>8088</v>
      </c>
      <c r="AY391" s="3" t="str">
        <f>HYPERLINK("http://dx.doi.org/10.1007/s10344-025-01930-7","http://dx.doi.org/10.1007/s10344-025-01930-7")</f>
        <v>http://dx.doi.org/10.1007/s10344-025-01930-7</v>
      </c>
      <c r="AZ391" s="1" t="s">
        <v>68</v>
      </c>
      <c r="BA391" s="1" t="s">
        <v>68</v>
      </c>
      <c r="BB391" s="1">
        <v>13.0</v>
      </c>
      <c r="BC391" s="1" t="s">
        <v>766</v>
      </c>
      <c r="BD391" s="1" t="s">
        <v>92</v>
      </c>
      <c r="BE391" s="1" t="s">
        <v>767</v>
      </c>
      <c r="BF391" s="1" t="s">
        <v>8089</v>
      </c>
      <c r="BG391" s="1" t="s">
        <v>68</v>
      </c>
      <c r="BH391" s="1" t="s">
        <v>644</v>
      </c>
      <c r="BI391" s="1" t="s">
        <v>68</v>
      </c>
      <c r="BJ391" s="1" t="s">
        <v>68</v>
      </c>
      <c r="BK391" s="1" t="s">
        <v>95</v>
      </c>
      <c r="BL391" s="1" t="s">
        <v>8090</v>
      </c>
      <c r="BM391" s="1" t="str">
        <f>HYPERLINK("https%3A%2F%2Fwww.webofscience.com%2Fwos%2Fwoscc%2Ffull-record%2FWOS:001503679600001","View Full Record in Web of Science")</f>
        <v>View Full Record in Web of Science</v>
      </c>
    </row>
    <row r="392" ht="12.75" customHeight="1">
      <c r="A392" s="1" t="s">
        <v>65</v>
      </c>
      <c r="B392" s="1" t="s">
        <v>8091</v>
      </c>
      <c r="C392" s="1" t="s">
        <v>8092</v>
      </c>
      <c r="D392" s="1" t="s">
        <v>68</v>
      </c>
      <c r="E392" s="1" t="s">
        <v>8093</v>
      </c>
      <c r="F392" s="1" t="s">
        <v>8094</v>
      </c>
      <c r="G392" s="1" t="s">
        <v>68</v>
      </c>
      <c r="H392" s="1" t="s">
        <v>71</v>
      </c>
      <c r="I392" s="1" t="s">
        <v>72</v>
      </c>
      <c r="J392" s="1" t="s">
        <v>68</v>
      </c>
      <c r="K392" s="1" t="s">
        <v>68</v>
      </c>
      <c r="L392" s="1" t="s">
        <v>68</v>
      </c>
      <c r="M392" s="1" t="s">
        <v>68</v>
      </c>
      <c r="N392" s="1" t="s">
        <v>8095</v>
      </c>
      <c r="O392" s="1" t="s">
        <v>8096</v>
      </c>
      <c r="P392" s="1" t="s">
        <v>8097</v>
      </c>
      <c r="Q392" s="1" t="s">
        <v>8098</v>
      </c>
      <c r="R392" s="1" t="s">
        <v>8099</v>
      </c>
      <c r="S392" s="1" t="s">
        <v>8100</v>
      </c>
      <c r="T392" s="1" t="s">
        <v>8101</v>
      </c>
      <c r="U392" s="1" t="s">
        <v>8102</v>
      </c>
      <c r="V392" s="1" t="s">
        <v>8103</v>
      </c>
      <c r="W392" s="1" t="s">
        <v>8104</v>
      </c>
      <c r="X392" s="1" t="s">
        <v>8104</v>
      </c>
      <c r="Y392" s="1" t="s">
        <v>8105</v>
      </c>
      <c r="Z392" s="1">
        <v>48.0</v>
      </c>
      <c r="AA392" s="1">
        <v>15.0</v>
      </c>
      <c r="AB392" s="1">
        <v>16.0</v>
      </c>
      <c r="AC392" s="1">
        <v>0.0</v>
      </c>
      <c r="AD392" s="1">
        <v>23.0</v>
      </c>
      <c r="AE392" s="1" t="s">
        <v>1960</v>
      </c>
      <c r="AF392" s="1" t="s">
        <v>663</v>
      </c>
      <c r="AG392" s="1" t="s">
        <v>1961</v>
      </c>
      <c r="AH392" s="1" t="s">
        <v>8106</v>
      </c>
      <c r="AI392" s="1" t="s">
        <v>8107</v>
      </c>
      <c r="AJ392" s="1" t="s">
        <v>68</v>
      </c>
      <c r="AK392" s="1" t="s">
        <v>8108</v>
      </c>
      <c r="AL392" s="1" t="s">
        <v>8109</v>
      </c>
      <c r="AM392" s="1" t="s">
        <v>8110</v>
      </c>
      <c r="AN392" s="1">
        <v>2018.0</v>
      </c>
      <c r="AO392" s="1">
        <v>200.0</v>
      </c>
      <c r="AP392" s="1" t="s">
        <v>68</v>
      </c>
      <c r="AQ392" s="1" t="s">
        <v>68</v>
      </c>
      <c r="AR392" s="1" t="s">
        <v>68</v>
      </c>
      <c r="AS392" s="1" t="s">
        <v>68</v>
      </c>
      <c r="AT392" s="1" t="s">
        <v>68</v>
      </c>
      <c r="AU392" s="1">
        <v>420.0</v>
      </c>
      <c r="AV392" s="1">
        <v>427.0</v>
      </c>
      <c r="AW392" s="1" t="s">
        <v>68</v>
      </c>
      <c r="AX392" s="1" t="s">
        <v>8111</v>
      </c>
      <c r="AY392" s="3" t="str">
        <f>HYPERLINK("http://dx.doi.org/10.1016/j.ecss.2017.11.031","http://dx.doi.org/10.1016/j.ecss.2017.11.031")</f>
        <v>http://dx.doi.org/10.1016/j.ecss.2017.11.031</v>
      </c>
      <c r="AZ392" s="1" t="s">
        <v>68</v>
      </c>
      <c r="BA392" s="1" t="s">
        <v>68</v>
      </c>
      <c r="BB392" s="1">
        <v>8.0</v>
      </c>
      <c r="BC392" s="1" t="s">
        <v>2657</v>
      </c>
      <c r="BD392" s="1" t="s">
        <v>279</v>
      </c>
      <c r="BE392" s="1" t="s">
        <v>2657</v>
      </c>
      <c r="BF392" s="1" t="s">
        <v>8112</v>
      </c>
      <c r="BG392" s="1" t="s">
        <v>68</v>
      </c>
      <c r="BH392" s="1" t="s">
        <v>68</v>
      </c>
      <c r="BI392" s="1" t="s">
        <v>68</v>
      </c>
      <c r="BJ392" s="1" t="s">
        <v>68</v>
      </c>
      <c r="BK392" s="1" t="s">
        <v>95</v>
      </c>
      <c r="BL392" s="1" t="s">
        <v>8113</v>
      </c>
      <c r="BM392" s="1" t="str">
        <f>HYPERLINK("https%3A%2F%2Fwww.webofscience.com%2Fwos%2Fwoscc%2Ffull-record%2FWOS:000424308600037","View Full Record in Web of Science")</f>
        <v>View Full Record in Web of Science</v>
      </c>
    </row>
    <row r="393" ht="12.75" customHeight="1">
      <c r="A393" s="1" t="s">
        <v>65</v>
      </c>
      <c r="B393" s="1" t="s">
        <v>8114</v>
      </c>
      <c r="C393" s="1" t="s">
        <v>8115</v>
      </c>
      <c r="D393" s="1" t="s">
        <v>68</v>
      </c>
      <c r="E393" s="1" t="s">
        <v>8116</v>
      </c>
      <c r="F393" s="1" t="s">
        <v>2956</v>
      </c>
      <c r="G393" s="1" t="s">
        <v>68</v>
      </c>
      <c r="H393" s="1" t="s">
        <v>71</v>
      </c>
      <c r="I393" s="1" t="s">
        <v>101</v>
      </c>
      <c r="J393" s="1" t="s">
        <v>68</v>
      </c>
      <c r="K393" s="1" t="s">
        <v>68</v>
      </c>
      <c r="L393" s="1" t="s">
        <v>68</v>
      </c>
      <c r="M393" s="1" t="s">
        <v>68</v>
      </c>
      <c r="N393" s="1" t="s">
        <v>8117</v>
      </c>
      <c r="O393" s="1" t="s">
        <v>8118</v>
      </c>
      <c r="P393" s="1" t="s">
        <v>8119</v>
      </c>
      <c r="Q393" s="1" t="s">
        <v>8120</v>
      </c>
      <c r="R393" s="1" t="s">
        <v>8121</v>
      </c>
      <c r="S393" s="1" t="s">
        <v>8122</v>
      </c>
      <c r="T393" s="1" t="s">
        <v>8123</v>
      </c>
      <c r="U393" s="1" t="s">
        <v>8124</v>
      </c>
      <c r="V393" s="1" t="s">
        <v>8125</v>
      </c>
      <c r="W393" s="1" t="s">
        <v>8126</v>
      </c>
      <c r="X393" s="1" t="s">
        <v>8127</v>
      </c>
      <c r="Y393" s="1" t="s">
        <v>8128</v>
      </c>
      <c r="Z393" s="1">
        <v>113.0</v>
      </c>
      <c r="AA393" s="1">
        <v>3.0</v>
      </c>
      <c r="AB393" s="1">
        <v>4.0</v>
      </c>
      <c r="AC393" s="1">
        <v>4.0</v>
      </c>
      <c r="AD393" s="1">
        <v>4.0</v>
      </c>
      <c r="AE393" s="1" t="s">
        <v>247</v>
      </c>
      <c r="AF393" s="1" t="s">
        <v>248</v>
      </c>
      <c r="AG393" s="1" t="s">
        <v>249</v>
      </c>
      <c r="AH393" s="1" t="s">
        <v>68</v>
      </c>
      <c r="AI393" s="1" t="s">
        <v>2969</v>
      </c>
      <c r="AJ393" s="1" t="s">
        <v>68</v>
      </c>
      <c r="AK393" s="1" t="s">
        <v>2970</v>
      </c>
      <c r="AL393" s="1" t="s">
        <v>2971</v>
      </c>
      <c r="AM393" s="1" t="s">
        <v>6550</v>
      </c>
      <c r="AN393" s="1">
        <v>2025.0</v>
      </c>
      <c r="AO393" s="1">
        <v>17.0</v>
      </c>
      <c r="AP393" s="1">
        <v>18.0</v>
      </c>
      <c r="AQ393" s="1" t="s">
        <v>68</v>
      </c>
      <c r="AR393" s="1" t="s">
        <v>68</v>
      </c>
      <c r="AS393" s="1" t="s">
        <v>68</v>
      </c>
      <c r="AT393" s="1" t="s">
        <v>68</v>
      </c>
      <c r="AU393" s="1" t="s">
        <v>68</v>
      </c>
      <c r="AV393" s="1" t="s">
        <v>68</v>
      </c>
      <c r="AW393" s="1">
        <v>2668.0</v>
      </c>
      <c r="AX393" s="1" t="s">
        <v>8129</v>
      </c>
      <c r="AY393" s="3" t="str">
        <f>HYPERLINK("http://dx.doi.org/10.3390/w17182668","http://dx.doi.org/10.3390/w17182668")</f>
        <v>http://dx.doi.org/10.3390/w17182668</v>
      </c>
      <c r="AZ393" s="1" t="s">
        <v>68</v>
      </c>
      <c r="BA393" s="1" t="s">
        <v>68</v>
      </c>
      <c r="BB393" s="1">
        <v>42.0</v>
      </c>
      <c r="BC393" s="1" t="s">
        <v>2973</v>
      </c>
      <c r="BD393" s="1" t="s">
        <v>92</v>
      </c>
      <c r="BE393" s="1" t="s">
        <v>2974</v>
      </c>
      <c r="BF393" s="1" t="s">
        <v>8130</v>
      </c>
      <c r="BG393" s="1" t="s">
        <v>68</v>
      </c>
      <c r="BH393" s="1" t="s">
        <v>462</v>
      </c>
      <c r="BI393" s="1" t="s">
        <v>68</v>
      </c>
      <c r="BJ393" s="1" t="s">
        <v>68</v>
      </c>
      <c r="BK393" s="1" t="s">
        <v>95</v>
      </c>
      <c r="BL393" s="1" t="s">
        <v>8131</v>
      </c>
      <c r="BM393" s="1" t="str">
        <f>HYPERLINK("https%3A%2F%2Fwww.webofscience.com%2Fwos%2Fwoscc%2Ffull-record%2FWOS:001579567500001","View Full Record in Web of Science")</f>
        <v>View Full Record in Web of Science</v>
      </c>
    </row>
    <row r="394" ht="12.75" customHeight="1">
      <c r="A394" s="1" t="s">
        <v>65</v>
      </c>
      <c r="B394" s="1" t="s">
        <v>8132</v>
      </c>
      <c r="C394" s="1" t="s">
        <v>8133</v>
      </c>
      <c r="D394" s="1" t="s">
        <v>68</v>
      </c>
      <c r="E394" s="1" t="s">
        <v>8134</v>
      </c>
      <c r="F394" s="1" t="s">
        <v>5871</v>
      </c>
      <c r="G394" s="1" t="s">
        <v>68</v>
      </c>
      <c r="H394" s="1" t="s">
        <v>71</v>
      </c>
      <c r="I394" s="1" t="s">
        <v>72</v>
      </c>
      <c r="J394" s="1" t="s">
        <v>68</v>
      </c>
      <c r="K394" s="1" t="s">
        <v>68</v>
      </c>
      <c r="L394" s="1" t="s">
        <v>68</v>
      </c>
      <c r="M394" s="1" t="s">
        <v>68</v>
      </c>
      <c r="N394" s="1" t="s">
        <v>68</v>
      </c>
      <c r="O394" s="1" t="s">
        <v>8135</v>
      </c>
      <c r="P394" s="1" t="s">
        <v>8136</v>
      </c>
      <c r="Q394" s="1" t="s">
        <v>8137</v>
      </c>
      <c r="R394" s="1" t="s">
        <v>5875</v>
      </c>
      <c r="S394" s="1" t="s">
        <v>8138</v>
      </c>
      <c r="T394" s="1" t="s">
        <v>5877</v>
      </c>
      <c r="U394" s="1" t="s">
        <v>68</v>
      </c>
      <c r="V394" s="1" t="s">
        <v>8139</v>
      </c>
      <c r="W394" s="1" t="s">
        <v>8140</v>
      </c>
      <c r="X394" s="1" t="s">
        <v>8141</v>
      </c>
      <c r="Y394" s="1" t="s">
        <v>8142</v>
      </c>
      <c r="Z394" s="1">
        <v>108.0</v>
      </c>
      <c r="AA394" s="1">
        <v>1.0</v>
      </c>
      <c r="AB394" s="1">
        <v>1.0</v>
      </c>
      <c r="AC394" s="1">
        <v>1.0</v>
      </c>
      <c r="AD394" s="1">
        <v>3.0</v>
      </c>
      <c r="AE394" s="1" t="s">
        <v>1906</v>
      </c>
      <c r="AF394" s="1" t="s">
        <v>1907</v>
      </c>
      <c r="AG394" s="1" t="s">
        <v>1908</v>
      </c>
      <c r="AH394" s="1" t="s">
        <v>68</v>
      </c>
      <c r="AI394" s="1" t="s">
        <v>5881</v>
      </c>
      <c r="AJ394" s="1" t="s">
        <v>68</v>
      </c>
      <c r="AK394" s="1" t="s">
        <v>5882</v>
      </c>
      <c r="AL394" s="1" t="s">
        <v>5883</v>
      </c>
      <c r="AM394" s="1" t="s">
        <v>457</v>
      </c>
      <c r="AN394" s="1">
        <v>2025.0</v>
      </c>
      <c r="AO394" s="1">
        <v>4.0</v>
      </c>
      <c r="AP394" s="1">
        <v>5.0</v>
      </c>
      <c r="AQ394" s="1" t="s">
        <v>68</v>
      </c>
      <c r="AR394" s="1" t="s">
        <v>68</v>
      </c>
      <c r="AS394" s="1" t="s">
        <v>68</v>
      </c>
      <c r="AT394" s="1" t="s">
        <v>68</v>
      </c>
      <c r="AU394" s="1" t="s">
        <v>68</v>
      </c>
      <c r="AV394" s="1" t="s">
        <v>68</v>
      </c>
      <c r="AW394" s="1" t="s">
        <v>8143</v>
      </c>
      <c r="AX394" s="1" t="s">
        <v>8144</v>
      </c>
      <c r="AY394" s="3" t="str">
        <f>HYPERLINK("http://dx.doi.org/10.1371/journal.pdig.0000840","http://dx.doi.org/10.1371/journal.pdig.0000840")</f>
        <v>http://dx.doi.org/10.1371/journal.pdig.0000840</v>
      </c>
      <c r="AZ394" s="1" t="s">
        <v>68</v>
      </c>
      <c r="BA394" s="1" t="s">
        <v>68</v>
      </c>
      <c r="BB394" s="1">
        <v>20.0</v>
      </c>
      <c r="BC394" s="1" t="s">
        <v>5886</v>
      </c>
      <c r="BD394" s="1" t="s">
        <v>197</v>
      </c>
      <c r="BE394" s="1" t="s">
        <v>5886</v>
      </c>
      <c r="BF394" s="1" t="s">
        <v>8145</v>
      </c>
      <c r="BG394" s="1">
        <v>4.0315264E7</v>
      </c>
      <c r="BH394" s="1" t="s">
        <v>94</v>
      </c>
      <c r="BI394" s="1" t="s">
        <v>68</v>
      </c>
      <c r="BJ394" s="1" t="s">
        <v>68</v>
      </c>
      <c r="BK394" s="1" t="s">
        <v>95</v>
      </c>
      <c r="BL394" s="1" t="s">
        <v>8146</v>
      </c>
      <c r="BM394" s="1" t="str">
        <f>HYPERLINK("https%3A%2F%2Fwww.webofscience.com%2Fwos%2Fwoscc%2Ffull-record%2FWOS:001480645500001","View Full Record in Web of Science")</f>
        <v>View Full Record in Web of Science</v>
      </c>
    </row>
    <row r="395" ht="12.75" customHeight="1">
      <c r="A395" s="1" t="s">
        <v>65</v>
      </c>
      <c r="B395" s="1" t="s">
        <v>8147</v>
      </c>
      <c r="C395" s="1" t="s">
        <v>8148</v>
      </c>
      <c r="D395" s="1" t="s">
        <v>68</v>
      </c>
      <c r="E395" s="1" t="s">
        <v>8149</v>
      </c>
      <c r="F395" s="1" t="s">
        <v>8150</v>
      </c>
      <c r="G395" s="1" t="s">
        <v>68</v>
      </c>
      <c r="H395" s="1" t="s">
        <v>71</v>
      </c>
      <c r="I395" s="1" t="s">
        <v>72</v>
      </c>
      <c r="J395" s="1" t="s">
        <v>68</v>
      </c>
      <c r="K395" s="1" t="s">
        <v>68</v>
      </c>
      <c r="L395" s="1" t="s">
        <v>68</v>
      </c>
      <c r="M395" s="1" t="s">
        <v>68</v>
      </c>
      <c r="N395" s="1" t="s">
        <v>8151</v>
      </c>
      <c r="O395" s="1" t="s">
        <v>8152</v>
      </c>
      <c r="P395" s="1" t="s">
        <v>8153</v>
      </c>
      <c r="Q395" s="1" t="s">
        <v>8154</v>
      </c>
      <c r="R395" s="1" t="s">
        <v>8155</v>
      </c>
      <c r="S395" s="1" t="s">
        <v>8156</v>
      </c>
      <c r="T395" s="1" t="s">
        <v>8157</v>
      </c>
      <c r="U395" s="1" t="s">
        <v>8158</v>
      </c>
      <c r="V395" s="1" t="s">
        <v>8159</v>
      </c>
      <c r="W395" s="1" t="s">
        <v>8160</v>
      </c>
      <c r="X395" s="1" t="s">
        <v>8161</v>
      </c>
      <c r="Y395" s="1" t="s">
        <v>8162</v>
      </c>
      <c r="Z395" s="1">
        <v>62.0</v>
      </c>
      <c r="AA395" s="1">
        <v>29.0</v>
      </c>
      <c r="AB395" s="1">
        <v>35.0</v>
      </c>
      <c r="AC395" s="1">
        <v>1.0</v>
      </c>
      <c r="AD395" s="1">
        <v>40.0</v>
      </c>
      <c r="AE395" s="1" t="s">
        <v>662</v>
      </c>
      <c r="AF395" s="1" t="s">
        <v>663</v>
      </c>
      <c r="AG395" s="1" t="s">
        <v>664</v>
      </c>
      <c r="AH395" s="1" t="s">
        <v>68</v>
      </c>
      <c r="AI395" s="1" t="s">
        <v>8163</v>
      </c>
      <c r="AJ395" s="1" t="s">
        <v>68</v>
      </c>
      <c r="AK395" s="1" t="s">
        <v>8164</v>
      </c>
      <c r="AL395" s="1" t="s">
        <v>8165</v>
      </c>
      <c r="AM395" s="1" t="s">
        <v>8166</v>
      </c>
      <c r="AN395" s="1">
        <v>2017.0</v>
      </c>
      <c r="AO395" s="1">
        <v>17.0</v>
      </c>
      <c r="AP395" s="1" t="s">
        <v>68</v>
      </c>
      <c r="AQ395" s="1" t="s">
        <v>68</v>
      </c>
      <c r="AR395" s="1" t="s">
        <v>68</v>
      </c>
      <c r="AS395" s="1" t="s">
        <v>68</v>
      </c>
      <c r="AT395" s="1" t="s">
        <v>68</v>
      </c>
      <c r="AU395" s="1" t="s">
        <v>68</v>
      </c>
      <c r="AV395" s="1" t="s">
        <v>68</v>
      </c>
      <c r="AW395" s="1">
        <v>44.0</v>
      </c>
      <c r="AX395" s="1" t="s">
        <v>8167</v>
      </c>
      <c r="AY395" s="3" t="str">
        <f>HYPERLINK("http://dx.doi.org/10.1186/s12898-017-0154-8","http://dx.doi.org/10.1186/s12898-017-0154-8")</f>
        <v>http://dx.doi.org/10.1186/s12898-017-0154-8</v>
      </c>
      <c r="AZ395" s="1" t="s">
        <v>68</v>
      </c>
      <c r="BA395" s="1" t="s">
        <v>68</v>
      </c>
      <c r="BB395" s="1">
        <v>15.0</v>
      </c>
      <c r="BC395" s="1" t="s">
        <v>332</v>
      </c>
      <c r="BD395" s="1" t="s">
        <v>92</v>
      </c>
      <c r="BE395" s="1" t="s">
        <v>333</v>
      </c>
      <c r="BF395" s="1" t="s">
        <v>8168</v>
      </c>
      <c r="BG395" s="1">
        <v>2.9258497E7</v>
      </c>
      <c r="BH395" s="1" t="s">
        <v>94</v>
      </c>
      <c r="BI395" s="1" t="s">
        <v>68</v>
      </c>
      <c r="BJ395" s="1" t="s">
        <v>68</v>
      </c>
      <c r="BK395" s="1" t="s">
        <v>95</v>
      </c>
      <c r="BL395" s="1" t="s">
        <v>8169</v>
      </c>
      <c r="BM395" s="1" t="str">
        <f>HYPERLINK("https%3A%2F%2Fwww.webofscience.com%2Fwos%2Fwoscc%2Ffull-record%2FWOS:000418844900004","View Full Record in Web of Science")</f>
        <v>View Full Record in Web of Science</v>
      </c>
    </row>
    <row r="396" ht="12.75" customHeight="1">
      <c r="A396" s="1" t="s">
        <v>65</v>
      </c>
      <c r="B396" s="1" t="s">
        <v>8170</v>
      </c>
      <c r="C396" s="1" t="s">
        <v>8171</v>
      </c>
      <c r="D396" s="1" t="s">
        <v>68</v>
      </c>
      <c r="E396" s="1" t="s">
        <v>8172</v>
      </c>
      <c r="F396" s="1" t="s">
        <v>1996</v>
      </c>
      <c r="G396" s="1" t="s">
        <v>68</v>
      </c>
      <c r="H396" s="1" t="s">
        <v>71</v>
      </c>
      <c r="I396" s="1" t="s">
        <v>101</v>
      </c>
      <c r="J396" s="1" t="s">
        <v>68</v>
      </c>
      <c r="K396" s="1" t="s">
        <v>68</v>
      </c>
      <c r="L396" s="1" t="s">
        <v>68</v>
      </c>
      <c r="M396" s="1" t="s">
        <v>68</v>
      </c>
      <c r="N396" s="1" t="s">
        <v>8173</v>
      </c>
      <c r="O396" s="1" t="s">
        <v>68</v>
      </c>
      <c r="P396" s="1" t="s">
        <v>8174</v>
      </c>
      <c r="Q396" s="1" t="s">
        <v>8175</v>
      </c>
      <c r="R396" s="1" t="s">
        <v>8176</v>
      </c>
      <c r="S396" s="1" t="s">
        <v>8177</v>
      </c>
      <c r="T396" s="1" t="s">
        <v>8178</v>
      </c>
      <c r="U396" s="1" t="s">
        <v>8179</v>
      </c>
      <c r="V396" s="1" t="s">
        <v>8180</v>
      </c>
      <c r="W396" s="1" t="s">
        <v>8181</v>
      </c>
      <c r="X396" s="1" t="s">
        <v>8182</v>
      </c>
      <c r="Y396" s="1" t="s">
        <v>8183</v>
      </c>
      <c r="Z396" s="1">
        <v>55.0</v>
      </c>
      <c r="AA396" s="1">
        <v>1.0</v>
      </c>
      <c r="AB396" s="1">
        <v>1.0</v>
      </c>
      <c r="AC396" s="1">
        <v>2.0</v>
      </c>
      <c r="AD396" s="1">
        <v>4.0</v>
      </c>
      <c r="AE396" s="1" t="s">
        <v>247</v>
      </c>
      <c r="AF396" s="1" t="s">
        <v>248</v>
      </c>
      <c r="AG396" s="1" t="s">
        <v>249</v>
      </c>
      <c r="AH396" s="1" t="s">
        <v>68</v>
      </c>
      <c r="AI396" s="1" t="s">
        <v>2007</v>
      </c>
      <c r="AJ396" s="1" t="s">
        <v>68</v>
      </c>
      <c r="AK396" s="1" t="s">
        <v>2008</v>
      </c>
      <c r="AL396" s="1" t="s">
        <v>2009</v>
      </c>
      <c r="AM396" s="1" t="s">
        <v>8184</v>
      </c>
      <c r="AN396" s="1">
        <v>2025.0</v>
      </c>
      <c r="AO396" s="1">
        <v>17.0</v>
      </c>
      <c r="AP396" s="1">
        <v>11.0</v>
      </c>
      <c r="AQ396" s="1" t="s">
        <v>68</v>
      </c>
      <c r="AR396" s="1" t="s">
        <v>68</v>
      </c>
      <c r="AS396" s="1" t="s">
        <v>68</v>
      </c>
      <c r="AT396" s="1" t="s">
        <v>68</v>
      </c>
      <c r="AU396" s="1" t="s">
        <v>68</v>
      </c>
      <c r="AV396" s="1" t="s">
        <v>68</v>
      </c>
      <c r="AW396" s="1">
        <v>5042.0</v>
      </c>
      <c r="AX396" s="1" t="s">
        <v>8185</v>
      </c>
      <c r="AY396" s="3" t="str">
        <f>HYPERLINK("http://dx.doi.org/10.3390/su17115042","http://dx.doi.org/10.3390/su17115042")</f>
        <v>http://dx.doi.org/10.3390/su17115042</v>
      </c>
      <c r="AZ396" s="1" t="s">
        <v>68</v>
      </c>
      <c r="BA396" s="1" t="s">
        <v>68</v>
      </c>
      <c r="BB396" s="1">
        <v>24.0</v>
      </c>
      <c r="BC396" s="1" t="s">
        <v>1052</v>
      </c>
      <c r="BD396" s="1" t="s">
        <v>279</v>
      </c>
      <c r="BE396" s="1" t="s">
        <v>1053</v>
      </c>
      <c r="BF396" s="1" t="s">
        <v>8186</v>
      </c>
      <c r="BG396" s="1" t="s">
        <v>68</v>
      </c>
      <c r="BH396" s="1" t="s">
        <v>8187</v>
      </c>
      <c r="BI396" s="1" t="s">
        <v>68</v>
      </c>
      <c r="BJ396" s="1" t="s">
        <v>68</v>
      </c>
      <c r="BK396" s="1" t="s">
        <v>95</v>
      </c>
      <c r="BL396" s="1" t="s">
        <v>8188</v>
      </c>
      <c r="BM396" s="1" t="str">
        <f>HYPERLINK("https%3A%2F%2Fwww.webofscience.com%2Fwos%2Fwoscc%2Ffull-record%2FWOS:001506214200001","View Full Record in Web of Science")</f>
        <v>View Full Record in Web of Science</v>
      </c>
    </row>
    <row r="397" ht="12.75" customHeight="1">
      <c r="A397" s="1" t="s">
        <v>65</v>
      </c>
      <c r="B397" s="1" t="s">
        <v>8189</v>
      </c>
      <c r="C397" s="1" t="s">
        <v>8190</v>
      </c>
      <c r="D397" s="1" t="s">
        <v>68</v>
      </c>
      <c r="E397" s="1" t="s">
        <v>8191</v>
      </c>
      <c r="F397" s="1" t="s">
        <v>8192</v>
      </c>
      <c r="G397" s="1" t="s">
        <v>68</v>
      </c>
      <c r="H397" s="1" t="s">
        <v>71</v>
      </c>
      <c r="I397" s="1" t="s">
        <v>72</v>
      </c>
      <c r="J397" s="1" t="s">
        <v>68</v>
      </c>
      <c r="K397" s="1" t="s">
        <v>68</v>
      </c>
      <c r="L397" s="1" t="s">
        <v>68</v>
      </c>
      <c r="M397" s="1" t="s">
        <v>68</v>
      </c>
      <c r="N397" s="1" t="s">
        <v>8193</v>
      </c>
      <c r="O397" s="1" t="s">
        <v>8194</v>
      </c>
      <c r="P397" s="1" t="s">
        <v>8195</v>
      </c>
      <c r="Q397" s="1" t="s">
        <v>8196</v>
      </c>
      <c r="R397" s="1" t="s">
        <v>8197</v>
      </c>
      <c r="S397" s="1" t="s">
        <v>8198</v>
      </c>
      <c r="T397" s="1" t="s">
        <v>8199</v>
      </c>
      <c r="U397" s="1" t="s">
        <v>8200</v>
      </c>
      <c r="V397" s="1" t="s">
        <v>8201</v>
      </c>
      <c r="W397" s="1" t="s">
        <v>68</v>
      </c>
      <c r="X397" s="1" t="s">
        <v>68</v>
      </c>
      <c r="Y397" s="1" t="s">
        <v>68</v>
      </c>
      <c r="Z397" s="1">
        <v>71.0</v>
      </c>
      <c r="AA397" s="1">
        <v>17.0</v>
      </c>
      <c r="AB397" s="1">
        <v>18.0</v>
      </c>
      <c r="AC397" s="1">
        <v>1.0</v>
      </c>
      <c r="AD397" s="1">
        <v>34.0</v>
      </c>
      <c r="AE397" s="1" t="s">
        <v>503</v>
      </c>
      <c r="AF397" s="1" t="s">
        <v>504</v>
      </c>
      <c r="AG397" s="1" t="s">
        <v>505</v>
      </c>
      <c r="AH397" s="1" t="s">
        <v>8202</v>
      </c>
      <c r="AI397" s="1" t="s">
        <v>8203</v>
      </c>
      <c r="AJ397" s="1" t="s">
        <v>68</v>
      </c>
      <c r="AK397" s="1" t="s">
        <v>8204</v>
      </c>
      <c r="AL397" s="1" t="s">
        <v>8205</v>
      </c>
      <c r="AM397" s="1" t="s">
        <v>224</v>
      </c>
      <c r="AN397" s="1">
        <v>2023.0</v>
      </c>
      <c r="AO397" s="1">
        <v>31.0</v>
      </c>
      <c r="AP397" s="1">
        <v>1.0</v>
      </c>
      <c r="AQ397" s="1" t="s">
        <v>68</v>
      </c>
      <c r="AR397" s="1" t="s">
        <v>68</v>
      </c>
      <c r="AS397" s="1" t="s">
        <v>68</v>
      </c>
      <c r="AT397" s="1" t="s">
        <v>68</v>
      </c>
      <c r="AU397" s="1">
        <v>56.0</v>
      </c>
      <c r="AV397" s="1">
        <v>66.0</v>
      </c>
      <c r="AW397" s="1" t="s">
        <v>68</v>
      </c>
      <c r="AX397" s="1" t="s">
        <v>8206</v>
      </c>
      <c r="AY397" s="3" t="str">
        <f>HYPERLINK("http://dx.doi.org/10.1002/sd.2373","http://dx.doi.org/10.1002/sd.2373")</f>
        <v>http://dx.doi.org/10.1002/sd.2373</v>
      </c>
      <c r="AZ397" s="1" t="s">
        <v>68</v>
      </c>
      <c r="BA397" s="1" t="s">
        <v>565</v>
      </c>
      <c r="BB397" s="1">
        <v>11.0</v>
      </c>
      <c r="BC397" s="1" t="s">
        <v>8207</v>
      </c>
      <c r="BD397" s="1" t="s">
        <v>1438</v>
      </c>
      <c r="BE397" s="1" t="s">
        <v>8208</v>
      </c>
      <c r="BF397" s="1" t="s">
        <v>8209</v>
      </c>
      <c r="BG397" s="1" t="s">
        <v>68</v>
      </c>
      <c r="BH397" s="1" t="s">
        <v>68</v>
      </c>
      <c r="BI397" s="1" t="s">
        <v>68</v>
      </c>
      <c r="BJ397" s="1" t="s">
        <v>68</v>
      </c>
      <c r="BK397" s="1" t="s">
        <v>95</v>
      </c>
      <c r="BL397" s="1" t="s">
        <v>8210</v>
      </c>
      <c r="BM397" s="1" t="str">
        <f>HYPERLINK("https%3A%2F%2Fwww.webofscience.com%2Fwos%2Fwoscc%2Ffull-record%2FWOS:000851499700001","View Full Record in Web of Science")</f>
        <v>View Full Record in Web of Science</v>
      </c>
    </row>
    <row r="398" ht="12.75" customHeight="1">
      <c r="A398" s="1" t="s">
        <v>65</v>
      </c>
      <c r="B398" s="1" t="s">
        <v>8211</v>
      </c>
      <c r="C398" s="1" t="s">
        <v>8212</v>
      </c>
      <c r="D398" s="1" t="s">
        <v>68</v>
      </c>
      <c r="E398" s="1" t="s">
        <v>8213</v>
      </c>
      <c r="F398" s="1" t="s">
        <v>8214</v>
      </c>
      <c r="G398" s="1" t="s">
        <v>68</v>
      </c>
      <c r="H398" s="1" t="s">
        <v>71</v>
      </c>
      <c r="I398" s="1" t="s">
        <v>72</v>
      </c>
      <c r="J398" s="1" t="s">
        <v>68</v>
      </c>
      <c r="K398" s="1" t="s">
        <v>68</v>
      </c>
      <c r="L398" s="1" t="s">
        <v>68</v>
      </c>
      <c r="M398" s="1" t="s">
        <v>68</v>
      </c>
      <c r="N398" s="1" t="s">
        <v>8215</v>
      </c>
      <c r="O398" s="1" t="s">
        <v>8216</v>
      </c>
      <c r="P398" s="1" t="s">
        <v>8217</v>
      </c>
      <c r="Q398" s="1" t="s">
        <v>8218</v>
      </c>
      <c r="R398" s="1" t="s">
        <v>8219</v>
      </c>
      <c r="S398" s="1" t="s">
        <v>8220</v>
      </c>
      <c r="T398" s="1" t="s">
        <v>8221</v>
      </c>
      <c r="U398" s="1" t="s">
        <v>8222</v>
      </c>
      <c r="V398" s="1" t="s">
        <v>8223</v>
      </c>
      <c r="W398" s="1" t="s">
        <v>8224</v>
      </c>
      <c r="X398" s="1" t="s">
        <v>8224</v>
      </c>
      <c r="Y398" s="1" t="s">
        <v>8225</v>
      </c>
      <c r="Z398" s="1">
        <v>39.0</v>
      </c>
      <c r="AA398" s="1">
        <v>5.0</v>
      </c>
      <c r="AB398" s="1">
        <v>5.0</v>
      </c>
      <c r="AC398" s="1">
        <v>0.0</v>
      </c>
      <c r="AD398" s="1">
        <v>15.0</v>
      </c>
      <c r="AE398" s="1" t="s">
        <v>83</v>
      </c>
      <c r="AF398" s="1" t="s">
        <v>84</v>
      </c>
      <c r="AG398" s="1" t="s">
        <v>85</v>
      </c>
      <c r="AH398" s="1" t="s">
        <v>68</v>
      </c>
      <c r="AI398" s="1" t="s">
        <v>8226</v>
      </c>
      <c r="AJ398" s="1" t="s">
        <v>68</v>
      </c>
      <c r="AK398" s="1" t="s">
        <v>8227</v>
      </c>
      <c r="AL398" s="1" t="s">
        <v>8228</v>
      </c>
      <c r="AM398" s="1" t="s">
        <v>8229</v>
      </c>
      <c r="AN398" s="1">
        <v>2020.0</v>
      </c>
      <c r="AO398" s="1">
        <v>5.0</v>
      </c>
      <c r="AP398" s="1" t="s">
        <v>68</v>
      </c>
      <c r="AQ398" s="1" t="s">
        <v>68</v>
      </c>
      <c r="AR398" s="1" t="s">
        <v>68</v>
      </c>
      <c r="AS398" s="1" t="s">
        <v>68</v>
      </c>
      <c r="AT398" s="1" t="s">
        <v>68</v>
      </c>
      <c r="AU398" s="1" t="s">
        <v>68</v>
      </c>
      <c r="AV398" s="1" t="s">
        <v>68</v>
      </c>
      <c r="AW398" s="1">
        <v>116.0</v>
      </c>
      <c r="AX398" s="1" t="s">
        <v>8230</v>
      </c>
      <c r="AY398" s="3" t="str">
        <f>HYPERLINK("http://dx.doi.org/10.3389/feduc.2020.00116","http://dx.doi.org/10.3389/feduc.2020.00116")</f>
        <v>http://dx.doi.org/10.3389/feduc.2020.00116</v>
      </c>
      <c r="AZ398" s="1" t="s">
        <v>68</v>
      </c>
      <c r="BA398" s="1" t="s">
        <v>68</v>
      </c>
      <c r="BB398" s="1">
        <v>10.0</v>
      </c>
      <c r="BC398" s="1" t="s">
        <v>1942</v>
      </c>
      <c r="BD398" s="1" t="s">
        <v>197</v>
      </c>
      <c r="BE398" s="1" t="s">
        <v>1942</v>
      </c>
      <c r="BF398" s="1" t="s">
        <v>8231</v>
      </c>
      <c r="BG398" s="1" t="s">
        <v>68</v>
      </c>
      <c r="BH398" s="1" t="s">
        <v>94</v>
      </c>
      <c r="BI398" s="1" t="s">
        <v>68</v>
      </c>
      <c r="BJ398" s="1" t="s">
        <v>68</v>
      </c>
      <c r="BK398" s="1" t="s">
        <v>95</v>
      </c>
      <c r="BL398" s="1" t="s">
        <v>8232</v>
      </c>
      <c r="BM398" s="1" t="str">
        <f>HYPERLINK("https%3A%2F%2Fwww.webofscience.com%2Fwos%2Fwoscc%2Ffull-record%2FWOS:000682731000001","View Full Record in Web of Science")</f>
        <v>View Full Record in Web of Science</v>
      </c>
    </row>
    <row r="399" ht="12.75" customHeight="1">
      <c r="A399" s="1" t="s">
        <v>65</v>
      </c>
      <c r="B399" s="1" t="s">
        <v>8233</v>
      </c>
      <c r="C399" s="1" t="s">
        <v>8234</v>
      </c>
      <c r="D399" s="1" t="s">
        <v>68</v>
      </c>
      <c r="E399" s="1" t="s">
        <v>8235</v>
      </c>
      <c r="F399" s="1" t="s">
        <v>8236</v>
      </c>
      <c r="G399" s="1" t="s">
        <v>68</v>
      </c>
      <c r="H399" s="1" t="s">
        <v>71</v>
      </c>
      <c r="I399" s="1" t="s">
        <v>72</v>
      </c>
      <c r="J399" s="1" t="s">
        <v>68</v>
      </c>
      <c r="K399" s="1" t="s">
        <v>68</v>
      </c>
      <c r="L399" s="1" t="s">
        <v>68</v>
      </c>
      <c r="M399" s="1" t="s">
        <v>68</v>
      </c>
      <c r="N399" s="1" t="s">
        <v>8237</v>
      </c>
      <c r="O399" s="1" t="s">
        <v>68</v>
      </c>
      <c r="P399" s="1" t="s">
        <v>8238</v>
      </c>
      <c r="Q399" s="1" t="s">
        <v>8239</v>
      </c>
      <c r="R399" s="1" t="s">
        <v>8240</v>
      </c>
      <c r="S399" s="1" t="s">
        <v>8241</v>
      </c>
      <c r="T399" s="1" t="s">
        <v>8242</v>
      </c>
      <c r="U399" s="1" t="s">
        <v>68</v>
      </c>
      <c r="V399" s="1" t="s">
        <v>68</v>
      </c>
      <c r="W399" s="1" t="s">
        <v>8243</v>
      </c>
      <c r="X399" s="1" t="s">
        <v>8244</v>
      </c>
      <c r="Y399" s="1" t="s">
        <v>8245</v>
      </c>
      <c r="Z399" s="1">
        <v>14.0</v>
      </c>
      <c r="AA399" s="1">
        <v>2.0</v>
      </c>
      <c r="AB399" s="1">
        <v>2.0</v>
      </c>
      <c r="AC399" s="1">
        <v>1.0</v>
      </c>
      <c r="AD399" s="1">
        <v>7.0</v>
      </c>
      <c r="AE399" s="1" t="s">
        <v>8246</v>
      </c>
      <c r="AF399" s="1" t="s">
        <v>8247</v>
      </c>
      <c r="AG399" s="1" t="s">
        <v>8248</v>
      </c>
      <c r="AH399" s="1" t="s">
        <v>8249</v>
      </c>
      <c r="AI399" s="1" t="s">
        <v>68</v>
      </c>
      <c r="AJ399" s="1" t="s">
        <v>68</v>
      </c>
      <c r="AK399" s="1" t="s">
        <v>8250</v>
      </c>
      <c r="AL399" s="1" t="s">
        <v>8251</v>
      </c>
      <c r="AM399" s="1" t="s">
        <v>68</v>
      </c>
      <c r="AN399" s="1">
        <v>2018.0</v>
      </c>
      <c r="AO399" s="1">
        <v>13.0</v>
      </c>
      <c r="AP399" s="1" t="s">
        <v>68</v>
      </c>
      <c r="AQ399" s="1" t="s">
        <v>68</v>
      </c>
      <c r="AR399" s="1" t="s">
        <v>68</v>
      </c>
      <c r="AS399" s="1" t="s">
        <v>68</v>
      </c>
      <c r="AT399" s="1" t="s">
        <v>68</v>
      </c>
      <c r="AU399" s="1">
        <v>78.0</v>
      </c>
      <c r="AV399" s="1">
        <v>87.0</v>
      </c>
      <c r="AW399" s="1" t="s">
        <v>68</v>
      </c>
      <c r="AX399" s="1" t="s">
        <v>8252</v>
      </c>
      <c r="AY399" s="3" t="str">
        <f>HYPERLINK("http://dx.doi.org/10.2902/1725-0463.2018.13.art8","http://dx.doi.org/10.2902/1725-0463.2018.13.art8")</f>
        <v>http://dx.doi.org/10.2902/1725-0463.2018.13.art8</v>
      </c>
      <c r="AZ399" s="1" t="s">
        <v>68</v>
      </c>
      <c r="BA399" s="1" t="s">
        <v>68</v>
      </c>
      <c r="BB399" s="1">
        <v>10.0</v>
      </c>
      <c r="BC399" s="1" t="s">
        <v>4750</v>
      </c>
      <c r="BD399" s="1" t="s">
        <v>197</v>
      </c>
      <c r="BE399" s="1" t="s">
        <v>4750</v>
      </c>
      <c r="BF399" s="1" t="s">
        <v>8253</v>
      </c>
      <c r="BG399" s="1" t="s">
        <v>68</v>
      </c>
      <c r="BH399" s="1" t="s">
        <v>68</v>
      </c>
      <c r="BI399" s="1" t="s">
        <v>68</v>
      </c>
      <c r="BJ399" s="1" t="s">
        <v>68</v>
      </c>
      <c r="BK399" s="1" t="s">
        <v>95</v>
      </c>
      <c r="BL399" s="1" t="s">
        <v>8254</v>
      </c>
      <c r="BM399" s="1" t="str">
        <f>HYPERLINK("https%3A%2F%2Fwww.webofscience.com%2Fwos%2Fwoscc%2Ffull-record%2FWOS:000432215200007","View Full Record in Web of Science")</f>
        <v>View Full Record in Web of Science</v>
      </c>
    </row>
    <row r="400" ht="12.75" customHeight="1">
      <c r="A400" s="1" t="s">
        <v>65</v>
      </c>
      <c r="B400" s="1" t="s">
        <v>8255</v>
      </c>
      <c r="C400" s="1" t="s">
        <v>8256</v>
      </c>
      <c r="D400" s="1" t="s">
        <v>68</v>
      </c>
      <c r="E400" s="1" t="s">
        <v>8257</v>
      </c>
      <c r="F400" s="1" t="s">
        <v>8258</v>
      </c>
      <c r="G400" s="1" t="s">
        <v>68</v>
      </c>
      <c r="H400" s="1" t="s">
        <v>71</v>
      </c>
      <c r="I400" s="1" t="s">
        <v>72</v>
      </c>
      <c r="J400" s="1" t="s">
        <v>68</v>
      </c>
      <c r="K400" s="1" t="s">
        <v>68</v>
      </c>
      <c r="L400" s="1" t="s">
        <v>68</v>
      </c>
      <c r="M400" s="1" t="s">
        <v>68</v>
      </c>
      <c r="N400" s="1" t="s">
        <v>8259</v>
      </c>
      <c r="O400" s="1" t="s">
        <v>8260</v>
      </c>
      <c r="P400" s="1" t="s">
        <v>8261</v>
      </c>
      <c r="Q400" s="1" t="s">
        <v>8262</v>
      </c>
      <c r="R400" s="1" t="s">
        <v>8263</v>
      </c>
      <c r="S400" s="1" t="s">
        <v>8264</v>
      </c>
      <c r="T400" s="1" t="s">
        <v>8265</v>
      </c>
      <c r="U400" s="1" t="s">
        <v>8266</v>
      </c>
      <c r="V400" s="1" t="s">
        <v>8267</v>
      </c>
      <c r="W400" s="1" t="s">
        <v>8268</v>
      </c>
      <c r="X400" s="1" t="s">
        <v>8269</v>
      </c>
      <c r="Y400" s="1" t="s">
        <v>8270</v>
      </c>
      <c r="Z400" s="1">
        <v>28.0</v>
      </c>
      <c r="AA400" s="1">
        <v>78.0</v>
      </c>
      <c r="AB400" s="1">
        <v>96.0</v>
      </c>
      <c r="AC400" s="1">
        <v>2.0</v>
      </c>
      <c r="AD400" s="1">
        <v>197.0</v>
      </c>
      <c r="AE400" s="1" t="s">
        <v>114</v>
      </c>
      <c r="AF400" s="1" t="s">
        <v>1505</v>
      </c>
      <c r="AG400" s="1" t="s">
        <v>1506</v>
      </c>
      <c r="AH400" s="1" t="s">
        <v>8271</v>
      </c>
      <c r="AI400" s="1" t="s">
        <v>8272</v>
      </c>
      <c r="AJ400" s="1" t="s">
        <v>68</v>
      </c>
      <c r="AK400" s="1" t="s">
        <v>8273</v>
      </c>
      <c r="AL400" s="1" t="s">
        <v>8274</v>
      </c>
      <c r="AM400" s="1" t="s">
        <v>428</v>
      </c>
      <c r="AN400" s="1">
        <v>2012.0</v>
      </c>
      <c r="AO400" s="1">
        <v>16.0</v>
      </c>
      <c r="AP400" s="1">
        <v>5.0</v>
      </c>
      <c r="AQ400" s="1" t="s">
        <v>68</v>
      </c>
      <c r="AR400" s="1" t="s">
        <v>68</v>
      </c>
      <c r="AS400" s="1" t="s">
        <v>68</v>
      </c>
      <c r="AT400" s="1" t="s">
        <v>68</v>
      </c>
      <c r="AU400" s="1">
        <v>697.0</v>
      </c>
      <c r="AV400" s="1">
        <v>707.0</v>
      </c>
      <c r="AW400" s="1" t="s">
        <v>68</v>
      </c>
      <c r="AX400" s="1" t="s">
        <v>8275</v>
      </c>
      <c r="AY400" s="3" t="str">
        <f>HYPERLINK("http://dx.doi.org/10.1007/s10841-011-9450-3","http://dx.doi.org/10.1007/s10841-011-9450-3")</f>
        <v>http://dx.doi.org/10.1007/s10841-011-9450-3</v>
      </c>
      <c r="AZ400" s="1" t="s">
        <v>68</v>
      </c>
      <c r="BA400" s="1" t="s">
        <v>68</v>
      </c>
      <c r="BB400" s="1">
        <v>11.0</v>
      </c>
      <c r="BC400" s="1" t="s">
        <v>3698</v>
      </c>
      <c r="BD400" s="1" t="s">
        <v>92</v>
      </c>
      <c r="BE400" s="1" t="s">
        <v>3699</v>
      </c>
      <c r="BF400" s="1" t="s">
        <v>8276</v>
      </c>
      <c r="BG400" s="1" t="s">
        <v>68</v>
      </c>
      <c r="BH400" s="1" t="s">
        <v>68</v>
      </c>
      <c r="BI400" s="1" t="s">
        <v>68</v>
      </c>
      <c r="BJ400" s="1" t="s">
        <v>68</v>
      </c>
      <c r="BK400" s="1" t="s">
        <v>95</v>
      </c>
      <c r="BL400" s="1" t="s">
        <v>8277</v>
      </c>
      <c r="BM400" s="1" t="str">
        <f>HYPERLINK("https%3A%2F%2Fwww.webofscience.com%2Fwos%2Fwoscc%2Ffull-record%2FWOS:000308725900004","View Full Record in Web of Science")</f>
        <v>View Full Record in Web of Science</v>
      </c>
    </row>
    <row r="401" ht="12.75" customHeight="1">
      <c r="A401" s="1" t="s">
        <v>65</v>
      </c>
      <c r="B401" s="1" t="s">
        <v>8278</v>
      </c>
      <c r="C401" s="1" t="s">
        <v>8279</v>
      </c>
      <c r="D401" s="1" t="s">
        <v>68</v>
      </c>
      <c r="E401" s="1" t="s">
        <v>8280</v>
      </c>
      <c r="F401" s="1" t="s">
        <v>5946</v>
      </c>
      <c r="G401" s="1" t="s">
        <v>68</v>
      </c>
      <c r="H401" s="1" t="s">
        <v>71</v>
      </c>
      <c r="I401" s="1" t="s">
        <v>72</v>
      </c>
      <c r="J401" s="1" t="s">
        <v>68</v>
      </c>
      <c r="K401" s="1" t="s">
        <v>68</v>
      </c>
      <c r="L401" s="1" t="s">
        <v>68</v>
      </c>
      <c r="M401" s="1" t="s">
        <v>68</v>
      </c>
      <c r="N401" s="1" t="s">
        <v>8281</v>
      </c>
      <c r="O401" s="1" t="s">
        <v>8282</v>
      </c>
      <c r="P401" s="1" t="s">
        <v>8283</v>
      </c>
      <c r="Q401" s="1" t="s">
        <v>8284</v>
      </c>
      <c r="R401" s="1" t="s">
        <v>8285</v>
      </c>
      <c r="S401" s="1" t="s">
        <v>8286</v>
      </c>
      <c r="T401" s="1" t="s">
        <v>8287</v>
      </c>
      <c r="U401" s="1" t="s">
        <v>8288</v>
      </c>
      <c r="V401" s="1" t="s">
        <v>8289</v>
      </c>
      <c r="W401" s="1" t="s">
        <v>8290</v>
      </c>
      <c r="X401" s="1" t="s">
        <v>8291</v>
      </c>
      <c r="Y401" s="1" t="s">
        <v>8292</v>
      </c>
      <c r="Z401" s="1">
        <v>47.0</v>
      </c>
      <c r="AA401" s="1">
        <v>2.0</v>
      </c>
      <c r="AB401" s="1">
        <v>2.0</v>
      </c>
      <c r="AC401" s="1">
        <v>0.0</v>
      </c>
      <c r="AD401" s="1">
        <v>3.0</v>
      </c>
      <c r="AE401" s="1" t="s">
        <v>2239</v>
      </c>
      <c r="AF401" s="1" t="s">
        <v>2240</v>
      </c>
      <c r="AG401" s="1" t="s">
        <v>2241</v>
      </c>
      <c r="AH401" s="1" t="s">
        <v>5959</v>
      </c>
      <c r="AI401" s="1" t="s">
        <v>5960</v>
      </c>
      <c r="AJ401" s="1" t="s">
        <v>68</v>
      </c>
      <c r="AK401" s="1" t="s">
        <v>5961</v>
      </c>
      <c r="AL401" s="1" t="s">
        <v>5962</v>
      </c>
      <c r="AM401" s="1" t="s">
        <v>8293</v>
      </c>
      <c r="AN401" s="1">
        <v>2023.0</v>
      </c>
      <c r="AO401" s="1">
        <v>11.0</v>
      </c>
      <c r="AP401" s="1" t="s">
        <v>68</v>
      </c>
      <c r="AQ401" s="1" t="s">
        <v>68</v>
      </c>
      <c r="AR401" s="1" t="s">
        <v>68</v>
      </c>
      <c r="AS401" s="1" t="s">
        <v>68</v>
      </c>
      <c r="AT401" s="1" t="s">
        <v>68</v>
      </c>
      <c r="AU401" s="1" t="s">
        <v>68</v>
      </c>
      <c r="AV401" s="1" t="s">
        <v>68</v>
      </c>
      <c r="AW401" s="1" t="s">
        <v>8294</v>
      </c>
      <c r="AX401" s="1" t="s">
        <v>8295</v>
      </c>
      <c r="AY401" s="3" t="str">
        <f>HYPERLINK("http://dx.doi.org/10.3897/BDJ.11.e109851","http://dx.doi.org/10.3897/BDJ.11.e109851")</f>
        <v>http://dx.doi.org/10.3897/BDJ.11.e109851</v>
      </c>
      <c r="AZ401" s="1" t="s">
        <v>68</v>
      </c>
      <c r="BA401" s="1" t="s">
        <v>68</v>
      </c>
      <c r="BB401" s="1">
        <v>13.0</v>
      </c>
      <c r="BC401" s="1" t="s">
        <v>1171</v>
      </c>
      <c r="BD401" s="1" t="s">
        <v>92</v>
      </c>
      <c r="BE401" s="1" t="s">
        <v>1172</v>
      </c>
      <c r="BF401" s="1" t="s">
        <v>8296</v>
      </c>
      <c r="BG401" s="1">
        <v>3.8318523E7</v>
      </c>
      <c r="BH401" s="1" t="s">
        <v>94</v>
      </c>
      <c r="BI401" s="1" t="s">
        <v>68</v>
      </c>
      <c r="BJ401" s="1" t="s">
        <v>68</v>
      </c>
      <c r="BK401" s="1" t="s">
        <v>95</v>
      </c>
      <c r="BL401" s="1" t="s">
        <v>8297</v>
      </c>
      <c r="BM401" s="1" t="str">
        <f>HYPERLINK("https%3A%2F%2Fwww.webofscience.com%2Fwos%2Fwoscc%2Ffull-record%2FWOS:001072395600001","View Full Record in Web of Science")</f>
        <v>View Full Record in Web of Science</v>
      </c>
    </row>
    <row r="402" ht="12.75" customHeight="1">
      <c r="A402" s="1" t="s">
        <v>65</v>
      </c>
      <c r="B402" s="1" t="s">
        <v>8298</v>
      </c>
      <c r="C402" s="1" t="s">
        <v>8299</v>
      </c>
      <c r="D402" s="1" t="s">
        <v>68</v>
      </c>
      <c r="E402" s="1" t="s">
        <v>8300</v>
      </c>
      <c r="F402" s="1" t="s">
        <v>412</v>
      </c>
      <c r="G402" s="1" t="s">
        <v>68</v>
      </c>
      <c r="H402" s="1" t="s">
        <v>71</v>
      </c>
      <c r="I402" s="1" t="s">
        <v>72</v>
      </c>
      <c r="J402" s="1" t="s">
        <v>68</v>
      </c>
      <c r="K402" s="1" t="s">
        <v>68</v>
      </c>
      <c r="L402" s="1" t="s">
        <v>68</v>
      </c>
      <c r="M402" s="1" t="s">
        <v>68</v>
      </c>
      <c r="N402" s="1" t="s">
        <v>8301</v>
      </c>
      <c r="O402" s="1" t="s">
        <v>8302</v>
      </c>
      <c r="P402" s="1" t="s">
        <v>8303</v>
      </c>
      <c r="Q402" s="1" t="s">
        <v>8304</v>
      </c>
      <c r="R402" s="1" t="s">
        <v>8305</v>
      </c>
      <c r="S402" s="1" t="s">
        <v>8306</v>
      </c>
      <c r="T402" s="1" t="s">
        <v>8307</v>
      </c>
      <c r="U402" s="1" t="s">
        <v>8308</v>
      </c>
      <c r="V402" s="1" t="s">
        <v>8309</v>
      </c>
      <c r="W402" s="1" t="s">
        <v>8310</v>
      </c>
      <c r="X402" s="1" t="s">
        <v>8311</v>
      </c>
      <c r="Y402" s="1" t="s">
        <v>8312</v>
      </c>
      <c r="Z402" s="1">
        <v>71.0</v>
      </c>
      <c r="AA402" s="1">
        <v>77.0</v>
      </c>
      <c r="AB402" s="1">
        <v>81.0</v>
      </c>
      <c r="AC402" s="1">
        <v>3.0</v>
      </c>
      <c r="AD402" s="1">
        <v>64.0</v>
      </c>
      <c r="AE402" s="1" t="s">
        <v>422</v>
      </c>
      <c r="AF402" s="1" t="s">
        <v>423</v>
      </c>
      <c r="AG402" s="1" t="s">
        <v>424</v>
      </c>
      <c r="AH402" s="1" t="s">
        <v>425</v>
      </c>
      <c r="AI402" s="1" t="s">
        <v>426</v>
      </c>
      <c r="AJ402" s="1" t="s">
        <v>68</v>
      </c>
      <c r="AK402" s="1" t="s">
        <v>412</v>
      </c>
      <c r="AL402" s="1" t="s">
        <v>427</v>
      </c>
      <c r="AM402" s="1" t="s">
        <v>224</v>
      </c>
      <c r="AN402" s="1">
        <v>2017.0</v>
      </c>
      <c r="AO402" s="1">
        <v>67.0</v>
      </c>
      <c r="AP402" s="1">
        <v>2.0</v>
      </c>
      <c r="AQ402" s="1" t="s">
        <v>68</v>
      </c>
      <c r="AR402" s="1" t="s">
        <v>68</v>
      </c>
      <c r="AS402" s="1" t="s">
        <v>68</v>
      </c>
      <c r="AT402" s="1" t="s">
        <v>68</v>
      </c>
      <c r="AU402" s="1">
        <v>134.0</v>
      </c>
      <c r="AV402" s="1">
        <v>146.0</v>
      </c>
      <c r="AW402" s="1" t="s">
        <v>68</v>
      </c>
      <c r="AX402" s="1" t="s">
        <v>8313</v>
      </c>
      <c r="AY402" s="3" t="str">
        <f>HYPERLINK("http://dx.doi.org/10.1093/biosci/biw180","http://dx.doi.org/10.1093/biosci/biw180")</f>
        <v>http://dx.doi.org/10.1093/biosci/biw180</v>
      </c>
      <c r="AZ402" s="1" t="s">
        <v>68</v>
      </c>
      <c r="BA402" s="1" t="s">
        <v>68</v>
      </c>
      <c r="BB402" s="1">
        <v>13.0</v>
      </c>
      <c r="BC402" s="1" t="s">
        <v>430</v>
      </c>
      <c r="BD402" s="1" t="s">
        <v>92</v>
      </c>
      <c r="BE402" s="1" t="s">
        <v>431</v>
      </c>
      <c r="BF402" s="1" t="s">
        <v>8314</v>
      </c>
      <c r="BG402" s="1">
        <v>2.8596615E7</v>
      </c>
      <c r="BH402" s="1" t="s">
        <v>644</v>
      </c>
      <c r="BI402" s="1" t="s">
        <v>68</v>
      </c>
      <c r="BJ402" s="1" t="s">
        <v>68</v>
      </c>
      <c r="BK402" s="1" t="s">
        <v>95</v>
      </c>
      <c r="BL402" s="1" t="s">
        <v>8315</v>
      </c>
      <c r="BM402" s="1" t="str">
        <f>HYPERLINK("https%3A%2F%2Fwww.webofscience.com%2Fwos%2Fwoscc%2Ffull-record%2FWOS:000396895800007","View Full Record in Web of Science")</f>
        <v>View Full Record in Web of Science</v>
      </c>
    </row>
    <row r="403" ht="12.75" customHeight="1">
      <c r="A403" s="1" t="s">
        <v>65</v>
      </c>
      <c r="B403" s="1" t="s">
        <v>8316</v>
      </c>
      <c r="C403" s="1" t="s">
        <v>8317</v>
      </c>
      <c r="D403" s="1" t="s">
        <v>68</v>
      </c>
      <c r="E403" s="1" t="s">
        <v>8318</v>
      </c>
      <c r="F403" s="1" t="s">
        <v>1540</v>
      </c>
      <c r="G403" s="1" t="s">
        <v>68</v>
      </c>
      <c r="H403" s="1" t="s">
        <v>71</v>
      </c>
      <c r="I403" s="1" t="s">
        <v>72</v>
      </c>
      <c r="J403" s="1" t="s">
        <v>68</v>
      </c>
      <c r="K403" s="1" t="s">
        <v>68</v>
      </c>
      <c r="L403" s="1" t="s">
        <v>68</v>
      </c>
      <c r="M403" s="1" t="s">
        <v>68</v>
      </c>
      <c r="N403" s="1" t="s">
        <v>8319</v>
      </c>
      <c r="O403" s="1" t="s">
        <v>8320</v>
      </c>
      <c r="P403" s="1" t="s">
        <v>8321</v>
      </c>
      <c r="Q403" s="1" t="s">
        <v>8322</v>
      </c>
      <c r="R403" s="1" t="s">
        <v>8323</v>
      </c>
      <c r="S403" s="1" t="s">
        <v>8324</v>
      </c>
      <c r="T403" s="1" t="s">
        <v>8325</v>
      </c>
      <c r="U403" s="1" t="s">
        <v>8326</v>
      </c>
      <c r="V403" s="1" t="s">
        <v>8327</v>
      </c>
      <c r="W403" s="1" t="s">
        <v>8328</v>
      </c>
      <c r="X403" s="1" t="s">
        <v>8329</v>
      </c>
      <c r="Y403" s="1" t="s">
        <v>8330</v>
      </c>
      <c r="Z403" s="1">
        <v>67.0</v>
      </c>
      <c r="AA403" s="1">
        <v>0.0</v>
      </c>
      <c r="AB403" s="1">
        <v>0.0</v>
      </c>
      <c r="AC403" s="1">
        <v>4.0</v>
      </c>
      <c r="AD403" s="1">
        <v>4.0</v>
      </c>
      <c r="AE403" s="1" t="s">
        <v>662</v>
      </c>
      <c r="AF403" s="1" t="s">
        <v>663</v>
      </c>
      <c r="AG403" s="1" t="s">
        <v>664</v>
      </c>
      <c r="AH403" s="1" t="s">
        <v>68</v>
      </c>
      <c r="AI403" s="1" t="s">
        <v>1550</v>
      </c>
      <c r="AJ403" s="1" t="s">
        <v>68</v>
      </c>
      <c r="AK403" s="1" t="s">
        <v>1551</v>
      </c>
      <c r="AL403" s="1" t="s">
        <v>1552</v>
      </c>
      <c r="AM403" s="1" t="s">
        <v>8331</v>
      </c>
      <c r="AN403" s="1">
        <v>2025.0</v>
      </c>
      <c r="AO403" s="1">
        <v>25.0</v>
      </c>
      <c r="AP403" s="1">
        <v>1.0</v>
      </c>
      <c r="AQ403" s="1" t="s">
        <v>68</v>
      </c>
      <c r="AR403" s="1" t="s">
        <v>68</v>
      </c>
      <c r="AS403" s="1" t="s">
        <v>68</v>
      </c>
      <c r="AT403" s="1" t="s">
        <v>68</v>
      </c>
      <c r="AU403" s="1" t="s">
        <v>68</v>
      </c>
      <c r="AV403" s="1" t="s">
        <v>68</v>
      </c>
      <c r="AW403" s="1">
        <v>139.0</v>
      </c>
      <c r="AX403" s="1" t="s">
        <v>8332</v>
      </c>
      <c r="AY403" s="3" t="str">
        <f>HYPERLINK("http://dx.doi.org/10.1186/s12862-025-02472-x","http://dx.doi.org/10.1186/s12862-025-02472-x")</f>
        <v>http://dx.doi.org/10.1186/s12862-025-02472-x</v>
      </c>
      <c r="AZ403" s="1" t="s">
        <v>68</v>
      </c>
      <c r="BA403" s="1" t="s">
        <v>68</v>
      </c>
      <c r="BB403" s="1">
        <v>19.0</v>
      </c>
      <c r="BC403" s="1" t="s">
        <v>1555</v>
      </c>
      <c r="BD403" s="1" t="s">
        <v>92</v>
      </c>
      <c r="BE403" s="1" t="s">
        <v>1556</v>
      </c>
      <c r="BF403" s="1" t="s">
        <v>8333</v>
      </c>
      <c r="BG403" s="1">
        <v>4.1430553E7</v>
      </c>
      <c r="BH403" s="1" t="s">
        <v>94</v>
      </c>
      <c r="BI403" s="1" t="s">
        <v>68</v>
      </c>
      <c r="BJ403" s="1" t="s">
        <v>68</v>
      </c>
      <c r="BK403" s="1" t="s">
        <v>95</v>
      </c>
      <c r="BL403" s="1" t="s">
        <v>8334</v>
      </c>
      <c r="BM403" s="1" t="str">
        <f>HYPERLINK("https%3A%2F%2Fwww.webofscience.com%2Fwos%2Fwoscc%2Ffull-record%2FWOS:001644789300001","View Full Record in Web of Science")</f>
        <v>View Full Record in Web of Science</v>
      </c>
    </row>
    <row r="404" ht="12.75" customHeight="1">
      <c r="A404" s="1" t="s">
        <v>65</v>
      </c>
      <c r="B404" s="1" t="s">
        <v>8335</v>
      </c>
      <c r="C404" s="1" t="s">
        <v>8336</v>
      </c>
      <c r="D404" s="1" t="s">
        <v>68</v>
      </c>
      <c r="E404" s="1" t="s">
        <v>8337</v>
      </c>
      <c r="F404" s="1" t="s">
        <v>8236</v>
      </c>
      <c r="G404" s="1" t="s">
        <v>68</v>
      </c>
      <c r="H404" s="1" t="s">
        <v>71</v>
      </c>
      <c r="I404" s="1" t="s">
        <v>72</v>
      </c>
      <c r="J404" s="1" t="s">
        <v>68</v>
      </c>
      <c r="K404" s="1" t="s">
        <v>68</v>
      </c>
      <c r="L404" s="1" t="s">
        <v>68</v>
      </c>
      <c r="M404" s="1" t="s">
        <v>68</v>
      </c>
      <c r="N404" s="1" t="s">
        <v>8338</v>
      </c>
      <c r="O404" s="1" t="s">
        <v>68</v>
      </c>
      <c r="P404" s="1" t="s">
        <v>8339</v>
      </c>
      <c r="Q404" s="1" t="s">
        <v>8340</v>
      </c>
      <c r="R404" s="1" t="s">
        <v>8341</v>
      </c>
      <c r="S404" s="1" t="s">
        <v>8342</v>
      </c>
      <c r="T404" s="1" t="s">
        <v>8343</v>
      </c>
      <c r="U404" s="1" t="s">
        <v>8344</v>
      </c>
      <c r="V404" s="1" t="s">
        <v>8345</v>
      </c>
      <c r="W404" s="1" t="s">
        <v>8346</v>
      </c>
      <c r="X404" s="1" t="s">
        <v>245</v>
      </c>
      <c r="Y404" s="1" t="s">
        <v>8245</v>
      </c>
      <c r="Z404" s="1">
        <v>30.0</v>
      </c>
      <c r="AA404" s="1">
        <v>25.0</v>
      </c>
      <c r="AB404" s="1">
        <v>27.0</v>
      </c>
      <c r="AC404" s="1">
        <v>0.0</v>
      </c>
      <c r="AD404" s="1">
        <v>12.0</v>
      </c>
      <c r="AE404" s="1" t="s">
        <v>8246</v>
      </c>
      <c r="AF404" s="1" t="s">
        <v>8247</v>
      </c>
      <c r="AG404" s="1" t="s">
        <v>8248</v>
      </c>
      <c r="AH404" s="1" t="s">
        <v>8249</v>
      </c>
      <c r="AI404" s="1" t="s">
        <v>68</v>
      </c>
      <c r="AJ404" s="1" t="s">
        <v>68</v>
      </c>
      <c r="AK404" s="1" t="s">
        <v>8250</v>
      </c>
      <c r="AL404" s="1" t="s">
        <v>8251</v>
      </c>
      <c r="AM404" s="1" t="s">
        <v>68</v>
      </c>
      <c r="AN404" s="1">
        <v>2016.0</v>
      </c>
      <c r="AO404" s="1">
        <v>11.0</v>
      </c>
      <c r="AP404" s="1" t="s">
        <v>68</v>
      </c>
      <c r="AQ404" s="1" t="s">
        <v>68</v>
      </c>
      <c r="AR404" s="1" t="s">
        <v>68</v>
      </c>
      <c r="AS404" s="1" t="s">
        <v>68</v>
      </c>
      <c r="AT404" s="1" t="s">
        <v>68</v>
      </c>
      <c r="AU404" s="1">
        <v>20.0</v>
      </c>
      <c r="AV404" s="1">
        <v>48.0</v>
      </c>
      <c r="AW404" s="1" t="s">
        <v>68</v>
      </c>
      <c r="AX404" s="1" t="s">
        <v>8347</v>
      </c>
      <c r="AY404" s="3" t="str">
        <f>HYPERLINK("http://dx.doi.org/10.2902/1725-0463.2016.11.art3","http://dx.doi.org/10.2902/1725-0463.2016.11.art3")</f>
        <v>http://dx.doi.org/10.2902/1725-0463.2016.11.art3</v>
      </c>
      <c r="AZ404" s="1" t="s">
        <v>68</v>
      </c>
      <c r="BA404" s="1" t="s">
        <v>68</v>
      </c>
      <c r="BB404" s="1">
        <v>29.0</v>
      </c>
      <c r="BC404" s="1" t="s">
        <v>4750</v>
      </c>
      <c r="BD404" s="1" t="s">
        <v>197</v>
      </c>
      <c r="BE404" s="1" t="s">
        <v>4750</v>
      </c>
      <c r="BF404" s="1" t="s">
        <v>8348</v>
      </c>
      <c r="BG404" s="1" t="s">
        <v>68</v>
      </c>
      <c r="BH404" s="1" t="s">
        <v>68</v>
      </c>
      <c r="BI404" s="1" t="s">
        <v>68</v>
      </c>
      <c r="BJ404" s="1" t="s">
        <v>68</v>
      </c>
      <c r="BK404" s="1" t="s">
        <v>95</v>
      </c>
      <c r="BL404" s="1" t="s">
        <v>8349</v>
      </c>
      <c r="BM404" s="1" t="str">
        <f>HYPERLINK("https%3A%2F%2Fwww.webofscience.com%2Fwos%2Fwoscc%2Ffull-record%2FWOS:000397818000002","View Full Record in Web of Science")</f>
        <v>View Full Record in Web of Science</v>
      </c>
    </row>
    <row r="405" ht="12.75" customHeight="1">
      <c r="A405" s="1" t="s">
        <v>65</v>
      </c>
      <c r="B405" s="1" t="s">
        <v>8350</v>
      </c>
      <c r="C405" s="1" t="s">
        <v>8351</v>
      </c>
      <c r="D405" s="1" t="s">
        <v>68</v>
      </c>
      <c r="E405" s="1" t="s">
        <v>8352</v>
      </c>
      <c r="F405" s="1" t="s">
        <v>798</v>
      </c>
      <c r="G405" s="1" t="s">
        <v>68</v>
      </c>
      <c r="H405" s="1" t="s">
        <v>71</v>
      </c>
      <c r="I405" s="1" t="s">
        <v>72</v>
      </c>
      <c r="J405" s="1" t="s">
        <v>68</v>
      </c>
      <c r="K405" s="1" t="s">
        <v>68</v>
      </c>
      <c r="L405" s="1" t="s">
        <v>68</v>
      </c>
      <c r="M405" s="1" t="s">
        <v>68</v>
      </c>
      <c r="N405" s="1" t="s">
        <v>8353</v>
      </c>
      <c r="O405" s="1" t="s">
        <v>8354</v>
      </c>
      <c r="P405" s="1" t="s">
        <v>8355</v>
      </c>
      <c r="Q405" s="1" t="s">
        <v>8356</v>
      </c>
      <c r="R405" s="1" t="s">
        <v>999</v>
      </c>
      <c r="S405" s="1" t="s">
        <v>8357</v>
      </c>
      <c r="T405" s="1" t="s">
        <v>8358</v>
      </c>
      <c r="U405" s="1" t="s">
        <v>8359</v>
      </c>
      <c r="V405" s="1" t="s">
        <v>8360</v>
      </c>
      <c r="W405" s="1" t="s">
        <v>8361</v>
      </c>
      <c r="X405" s="1" t="s">
        <v>8361</v>
      </c>
      <c r="Y405" s="1" t="s">
        <v>8362</v>
      </c>
      <c r="Z405" s="1">
        <v>75.0</v>
      </c>
      <c r="AA405" s="1">
        <v>67.0</v>
      </c>
      <c r="AB405" s="1">
        <v>80.0</v>
      </c>
      <c r="AC405" s="1">
        <v>2.0</v>
      </c>
      <c r="AD405" s="1">
        <v>139.0</v>
      </c>
      <c r="AE405" s="1" t="s">
        <v>811</v>
      </c>
      <c r="AF405" s="1" t="s">
        <v>423</v>
      </c>
      <c r="AG405" s="1" t="s">
        <v>812</v>
      </c>
      <c r="AH405" s="1" t="s">
        <v>813</v>
      </c>
      <c r="AI405" s="1" t="s">
        <v>814</v>
      </c>
      <c r="AJ405" s="1" t="s">
        <v>68</v>
      </c>
      <c r="AK405" s="1" t="s">
        <v>815</v>
      </c>
      <c r="AL405" s="1" t="s">
        <v>816</v>
      </c>
      <c r="AM405" s="1" t="s">
        <v>1264</v>
      </c>
      <c r="AN405" s="1">
        <v>2015.0</v>
      </c>
      <c r="AO405" s="1">
        <v>191.0</v>
      </c>
      <c r="AP405" s="1" t="s">
        <v>68</v>
      </c>
      <c r="AQ405" s="1" t="s">
        <v>68</v>
      </c>
      <c r="AR405" s="1" t="s">
        <v>68</v>
      </c>
      <c r="AS405" s="1" t="s">
        <v>68</v>
      </c>
      <c r="AT405" s="1" t="s">
        <v>68</v>
      </c>
      <c r="AU405" s="1">
        <v>38.0</v>
      </c>
      <c r="AV405" s="1">
        <v>49.0</v>
      </c>
      <c r="AW405" s="1" t="s">
        <v>68</v>
      </c>
      <c r="AX405" s="1" t="s">
        <v>8363</v>
      </c>
      <c r="AY405" s="3" t="str">
        <f>HYPERLINK("http://dx.doi.org/10.1016/j.biocon.2015.06.009","http://dx.doi.org/10.1016/j.biocon.2015.06.009")</f>
        <v>http://dx.doi.org/10.1016/j.biocon.2015.06.009</v>
      </c>
      <c r="AZ405" s="1" t="s">
        <v>68</v>
      </c>
      <c r="BA405" s="1" t="s">
        <v>68</v>
      </c>
      <c r="BB405" s="1">
        <v>12.0</v>
      </c>
      <c r="BC405" s="1" t="s">
        <v>122</v>
      </c>
      <c r="BD405" s="1" t="s">
        <v>92</v>
      </c>
      <c r="BE405" s="1" t="s">
        <v>123</v>
      </c>
      <c r="BF405" s="1" t="s">
        <v>8364</v>
      </c>
      <c r="BG405" s="1" t="s">
        <v>68</v>
      </c>
      <c r="BH405" s="1" t="s">
        <v>68</v>
      </c>
      <c r="BI405" s="1" t="s">
        <v>68</v>
      </c>
      <c r="BJ405" s="1" t="s">
        <v>68</v>
      </c>
      <c r="BK405" s="1" t="s">
        <v>95</v>
      </c>
      <c r="BL405" s="1" t="s">
        <v>8365</v>
      </c>
      <c r="BM405" s="1" t="str">
        <f>HYPERLINK("https%3A%2F%2Fwww.webofscience.com%2Fwos%2Fwoscc%2Ffull-record%2FWOS:000364257100005","View Full Record in Web of Science")</f>
        <v>View Full Record in Web of Science</v>
      </c>
    </row>
    <row r="406" ht="12.75" customHeight="1">
      <c r="A406" s="1" t="s">
        <v>65</v>
      </c>
      <c r="B406" s="1" t="s">
        <v>8366</v>
      </c>
      <c r="C406" s="1" t="s">
        <v>8367</v>
      </c>
      <c r="D406" s="1" t="s">
        <v>68</v>
      </c>
      <c r="E406" s="1" t="s">
        <v>8368</v>
      </c>
      <c r="F406" s="1" t="s">
        <v>1996</v>
      </c>
      <c r="G406" s="1" t="s">
        <v>68</v>
      </c>
      <c r="H406" s="1" t="s">
        <v>71</v>
      </c>
      <c r="I406" s="1" t="s">
        <v>72</v>
      </c>
      <c r="J406" s="1" t="s">
        <v>68</v>
      </c>
      <c r="K406" s="1" t="s">
        <v>68</v>
      </c>
      <c r="L406" s="1" t="s">
        <v>68</v>
      </c>
      <c r="M406" s="1" t="s">
        <v>68</v>
      </c>
      <c r="N406" s="1" t="s">
        <v>8369</v>
      </c>
      <c r="O406" s="1" t="s">
        <v>68</v>
      </c>
      <c r="P406" s="1" t="s">
        <v>8370</v>
      </c>
      <c r="Q406" s="1" t="s">
        <v>8371</v>
      </c>
      <c r="R406" s="1" t="s">
        <v>8372</v>
      </c>
      <c r="S406" s="1" t="s">
        <v>8373</v>
      </c>
      <c r="T406" s="1" t="s">
        <v>8374</v>
      </c>
      <c r="U406" s="1" t="s">
        <v>8375</v>
      </c>
      <c r="V406" s="1" t="s">
        <v>8376</v>
      </c>
      <c r="W406" s="1" t="s">
        <v>8377</v>
      </c>
      <c r="X406" s="1" t="s">
        <v>8378</v>
      </c>
      <c r="Y406" s="1" t="s">
        <v>8379</v>
      </c>
      <c r="Z406" s="1">
        <v>30.0</v>
      </c>
      <c r="AA406" s="1">
        <v>20.0</v>
      </c>
      <c r="AB406" s="1">
        <v>21.0</v>
      </c>
      <c r="AC406" s="1">
        <v>3.0</v>
      </c>
      <c r="AD406" s="1">
        <v>36.0</v>
      </c>
      <c r="AE406" s="1" t="s">
        <v>247</v>
      </c>
      <c r="AF406" s="1" t="s">
        <v>248</v>
      </c>
      <c r="AG406" s="1" t="s">
        <v>249</v>
      </c>
      <c r="AH406" s="1" t="s">
        <v>68</v>
      </c>
      <c r="AI406" s="1" t="s">
        <v>2007</v>
      </c>
      <c r="AJ406" s="1" t="s">
        <v>68</v>
      </c>
      <c r="AK406" s="1" t="s">
        <v>2008</v>
      </c>
      <c r="AL406" s="1" t="s">
        <v>2009</v>
      </c>
      <c r="AM406" s="1" t="s">
        <v>1169</v>
      </c>
      <c r="AN406" s="1">
        <v>2021.0</v>
      </c>
      <c r="AO406" s="1">
        <v>13.0</v>
      </c>
      <c r="AP406" s="1">
        <v>5.0</v>
      </c>
      <c r="AQ406" s="1" t="s">
        <v>68</v>
      </c>
      <c r="AR406" s="1" t="s">
        <v>68</v>
      </c>
      <c r="AS406" s="1" t="s">
        <v>68</v>
      </c>
      <c r="AT406" s="1" t="s">
        <v>68</v>
      </c>
      <c r="AU406" s="1" t="s">
        <v>68</v>
      </c>
      <c r="AV406" s="1" t="s">
        <v>68</v>
      </c>
      <c r="AW406" s="1">
        <v>2762.0</v>
      </c>
      <c r="AX406" s="1" t="s">
        <v>8380</v>
      </c>
      <c r="AY406" s="3" t="str">
        <f>HYPERLINK("http://dx.doi.org/10.3390/su13052762","http://dx.doi.org/10.3390/su13052762")</f>
        <v>http://dx.doi.org/10.3390/su13052762</v>
      </c>
      <c r="AZ406" s="1" t="s">
        <v>68</v>
      </c>
      <c r="BA406" s="1" t="s">
        <v>68</v>
      </c>
      <c r="BB406" s="1">
        <v>9.0</v>
      </c>
      <c r="BC406" s="1" t="s">
        <v>1052</v>
      </c>
      <c r="BD406" s="1" t="s">
        <v>279</v>
      </c>
      <c r="BE406" s="1" t="s">
        <v>1053</v>
      </c>
      <c r="BF406" s="1" t="s">
        <v>8381</v>
      </c>
      <c r="BG406" s="1" t="s">
        <v>68</v>
      </c>
      <c r="BH406" s="1" t="s">
        <v>94</v>
      </c>
      <c r="BI406" s="1" t="s">
        <v>68</v>
      </c>
      <c r="BJ406" s="1" t="s">
        <v>68</v>
      </c>
      <c r="BK406" s="1" t="s">
        <v>95</v>
      </c>
      <c r="BL406" s="1" t="s">
        <v>8382</v>
      </c>
      <c r="BM406" s="1" t="str">
        <f>HYPERLINK("https%3A%2F%2Fwww.webofscience.com%2Fwos%2Fwoscc%2Ffull-record%2FWOS:000628568900001","View Full Record in Web of Science")</f>
        <v>View Full Record in Web of Science</v>
      </c>
    </row>
    <row r="407" ht="12.75" customHeight="1">
      <c r="A407" s="1" t="s">
        <v>65</v>
      </c>
      <c r="B407" s="1" t="s">
        <v>8383</v>
      </c>
      <c r="C407" s="1" t="s">
        <v>8384</v>
      </c>
      <c r="D407" s="1" t="s">
        <v>68</v>
      </c>
      <c r="E407" s="1" t="s">
        <v>8385</v>
      </c>
      <c r="F407" s="1" t="s">
        <v>1653</v>
      </c>
      <c r="G407" s="1" t="s">
        <v>68</v>
      </c>
      <c r="H407" s="1" t="s">
        <v>71</v>
      </c>
      <c r="I407" s="1" t="s">
        <v>72</v>
      </c>
      <c r="J407" s="1" t="s">
        <v>68</v>
      </c>
      <c r="K407" s="1" t="s">
        <v>68</v>
      </c>
      <c r="L407" s="1" t="s">
        <v>68</v>
      </c>
      <c r="M407" s="1" t="s">
        <v>68</v>
      </c>
      <c r="N407" s="1" t="s">
        <v>8386</v>
      </c>
      <c r="O407" s="1" t="s">
        <v>8387</v>
      </c>
      <c r="P407" s="1" t="s">
        <v>8388</v>
      </c>
      <c r="Q407" s="1" t="s">
        <v>8389</v>
      </c>
      <c r="R407" s="1" t="s">
        <v>8390</v>
      </c>
      <c r="S407" s="1" t="s">
        <v>8391</v>
      </c>
      <c r="T407" s="1" t="s">
        <v>68</v>
      </c>
      <c r="U407" s="1" t="s">
        <v>8392</v>
      </c>
      <c r="V407" s="1" t="s">
        <v>8393</v>
      </c>
      <c r="W407" s="1" t="s">
        <v>8394</v>
      </c>
      <c r="X407" s="1" t="s">
        <v>8395</v>
      </c>
      <c r="Y407" s="1" t="s">
        <v>8396</v>
      </c>
      <c r="Z407" s="1">
        <v>49.0</v>
      </c>
      <c r="AA407" s="1">
        <v>3.0</v>
      </c>
      <c r="AB407" s="1">
        <v>3.0</v>
      </c>
      <c r="AC407" s="1">
        <v>4.0</v>
      </c>
      <c r="AD407" s="1">
        <v>7.0</v>
      </c>
      <c r="AE407" s="1" t="s">
        <v>811</v>
      </c>
      <c r="AF407" s="1" t="s">
        <v>1666</v>
      </c>
      <c r="AG407" s="1" t="s">
        <v>1667</v>
      </c>
      <c r="AH407" s="1" t="s">
        <v>1668</v>
      </c>
      <c r="AI407" s="1" t="s">
        <v>1669</v>
      </c>
      <c r="AJ407" s="1" t="s">
        <v>68</v>
      </c>
      <c r="AK407" s="1" t="s">
        <v>1670</v>
      </c>
      <c r="AL407" s="1" t="s">
        <v>1671</v>
      </c>
      <c r="AM407" s="1" t="s">
        <v>2531</v>
      </c>
      <c r="AN407" s="1">
        <v>2024.0</v>
      </c>
      <c r="AO407" s="1">
        <v>256.0</v>
      </c>
      <c r="AP407" s="1" t="s">
        <v>68</v>
      </c>
      <c r="AQ407" s="1" t="s">
        <v>68</v>
      </c>
      <c r="AR407" s="1" t="s">
        <v>68</v>
      </c>
      <c r="AS407" s="1" t="s">
        <v>68</v>
      </c>
      <c r="AT407" s="1" t="s">
        <v>68</v>
      </c>
      <c r="AU407" s="1" t="s">
        <v>68</v>
      </c>
      <c r="AV407" s="1" t="s">
        <v>68</v>
      </c>
      <c r="AW407" s="1">
        <v>107280.0</v>
      </c>
      <c r="AX407" s="1" t="s">
        <v>8397</v>
      </c>
      <c r="AY407" s="3" t="str">
        <f>HYPERLINK("http://dx.doi.org/10.1016/j.ocecoaman.2024.107280","http://dx.doi.org/10.1016/j.ocecoaman.2024.107280")</f>
        <v>http://dx.doi.org/10.1016/j.ocecoaman.2024.107280</v>
      </c>
      <c r="AZ407" s="1" t="s">
        <v>68</v>
      </c>
      <c r="BA407" s="1" t="s">
        <v>8398</v>
      </c>
      <c r="BB407" s="1">
        <v>12.0</v>
      </c>
      <c r="BC407" s="1" t="s">
        <v>1674</v>
      </c>
      <c r="BD407" s="1" t="s">
        <v>92</v>
      </c>
      <c r="BE407" s="1" t="s">
        <v>1674</v>
      </c>
      <c r="BF407" s="1" t="s">
        <v>8399</v>
      </c>
      <c r="BG407" s="1" t="s">
        <v>68</v>
      </c>
      <c r="BH407" s="1" t="s">
        <v>867</v>
      </c>
      <c r="BI407" s="1" t="s">
        <v>68</v>
      </c>
      <c r="BJ407" s="1" t="s">
        <v>68</v>
      </c>
      <c r="BK407" s="1" t="s">
        <v>95</v>
      </c>
      <c r="BL407" s="1" t="s">
        <v>8400</v>
      </c>
      <c r="BM407" s="1" t="str">
        <f>HYPERLINK("https%3A%2F%2Fwww.webofscience.com%2Fwos%2Fwoscc%2Ffull-record%2FWOS:001271354300001","View Full Record in Web of Science")</f>
        <v>View Full Record in Web of Science</v>
      </c>
    </row>
    <row r="408" ht="12.75" customHeight="1">
      <c r="A408" s="1" t="s">
        <v>65</v>
      </c>
      <c r="B408" s="1" t="s">
        <v>8401</v>
      </c>
      <c r="C408" s="1" t="s">
        <v>8402</v>
      </c>
      <c r="D408" s="1" t="s">
        <v>68</v>
      </c>
      <c r="E408" s="1" t="s">
        <v>8403</v>
      </c>
      <c r="F408" s="1" t="s">
        <v>4573</v>
      </c>
      <c r="G408" s="1" t="s">
        <v>68</v>
      </c>
      <c r="H408" s="1" t="s">
        <v>71</v>
      </c>
      <c r="I408" s="1" t="s">
        <v>72</v>
      </c>
      <c r="J408" s="1" t="s">
        <v>68</v>
      </c>
      <c r="K408" s="1" t="s">
        <v>68</v>
      </c>
      <c r="L408" s="1" t="s">
        <v>68</v>
      </c>
      <c r="M408" s="1" t="s">
        <v>68</v>
      </c>
      <c r="N408" s="1" t="s">
        <v>8404</v>
      </c>
      <c r="O408" s="1" t="s">
        <v>8405</v>
      </c>
      <c r="P408" s="1" t="s">
        <v>8406</v>
      </c>
      <c r="Q408" s="1" t="s">
        <v>8407</v>
      </c>
      <c r="R408" s="1" t="s">
        <v>8408</v>
      </c>
      <c r="S408" s="1" t="s">
        <v>8409</v>
      </c>
      <c r="T408" s="1" t="s">
        <v>8410</v>
      </c>
      <c r="U408" s="1" t="s">
        <v>68</v>
      </c>
      <c r="V408" s="1" t="s">
        <v>68</v>
      </c>
      <c r="W408" s="1" t="s">
        <v>68</v>
      </c>
      <c r="X408" s="1" t="s">
        <v>68</v>
      </c>
      <c r="Y408" s="1" t="s">
        <v>68</v>
      </c>
      <c r="Z408" s="1">
        <v>62.0</v>
      </c>
      <c r="AA408" s="1">
        <v>16.0</v>
      </c>
      <c r="AB408" s="1">
        <v>21.0</v>
      </c>
      <c r="AC408" s="1">
        <v>3.0</v>
      </c>
      <c r="AD408" s="1">
        <v>51.0</v>
      </c>
      <c r="AE408" s="1" t="s">
        <v>4584</v>
      </c>
      <c r="AF408" s="1" t="s">
        <v>4585</v>
      </c>
      <c r="AG408" s="1" t="s">
        <v>4586</v>
      </c>
      <c r="AH408" s="1" t="s">
        <v>4587</v>
      </c>
      <c r="AI408" s="1" t="s">
        <v>4588</v>
      </c>
      <c r="AJ408" s="1" t="s">
        <v>68</v>
      </c>
      <c r="AK408" s="1" t="s">
        <v>4589</v>
      </c>
      <c r="AL408" s="1" t="s">
        <v>4590</v>
      </c>
      <c r="AM408" s="1" t="s">
        <v>4591</v>
      </c>
      <c r="AN408" s="1">
        <v>2019.0</v>
      </c>
      <c r="AO408" s="1">
        <v>38.0</v>
      </c>
      <c r="AP408" s="1">
        <v>2.0</v>
      </c>
      <c r="AQ408" s="1" t="s">
        <v>68</v>
      </c>
      <c r="AR408" s="1" t="s">
        <v>68</v>
      </c>
      <c r="AS408" s="1" t="s">
        <v>68</v>
      </c>
      <c r="AT408" s="1" t="s">
        <v>68</v>
      </c>
      <c r="AU408" s="1">
        <v>332.0</v>
      </c>
      <c r="AV408" s="1">
        <v>341.0</v>
      </c>
      <c r="AW408" s="1" t="s">
        <v>68</v>
      </c>
      <c r="AX408" s="1" t="s">
        <v>8411</v>
      </c>
      <c r="AY408" s="3" t="str">
        <f>HYPERLINK("http://dx.doi.org/10.1086/703440","http://dx.doi.org/10.1086/703440")</f>
        <v>http://dx.doi.org/10.1086/703440</v>
      </c>
      <c r="AZ408" s="1" t="s">
        <v>68</v>
      </c>
      <c r="BA408" s="1" t="s">
        <v>68</v>
      </c>
      <c r="BB408" s="1">
        <v>10.0</v>
      </c>
      <c r="BC408" s="1" t="s">
        <v>4593</v>
      </c>
      <c r="BD408" s="1" t="s">
        <v>92</v>
      </c>
      <c r="BE408" s="1" t="s">
        <v>2350</v>
      </c>
      <c r="BF408" s="1" t="s">
        <v>4594</v>
      </c>
      <c r="BG408" s="1" t="s">
        <v>68</v>
      </c>
      <c r="BH408" s="1" t="s">
        <v>68</v>
      </c>
      <c r="BI408" s="1" t="s">
        <v>68</v>
      </c>
      <c r="BJ408" s="1" t="s">
        <v>68</v>
      </c>
      <c r="BK408" s="1" t="s">
        <v>95</v>
      </c>
      <c r="BL408" s="1" t="s">
        <v>8412</v>
      </c>
      <c r="BM408" s="1" t="str">
        <f>HYPERLINK("https%3A%2F%2Fwww.webofscience.com%2Fwos%2Fwoscc%2Ffull-record%2FWOS:000474076400010","View Full Record in Web of Science")</f>
        <v>View Full Record in Web of Science</v>
      </c>
    </row>
    <row r="409" ht="12.75" customHeight="1">
      <c r="A409" s="1" t="s">
        <v>65</v>
      </c>
      <c r="B409" s="1" t="s">
        <v>8413</v>
      </c>
      <c r="C409" s="1" t="s">
        <v>8414</v>
      </c>
      <c r="D409" s="1" t="s">
        <v>68</v>
      </c>
      <c r="E409" s="1" t="s">
        <v>8415</v>
      </c>
      <c r="F409" s="1" t="s">
        <v>798</v>
      </c>
      <c r="G409" s="1" t="s">
        <v>68</v>
      </c>
      <c r="H409" s="1" t="s">
        <v>71</v>
      </c>
      <c r="I409" s="1" t="s">
        <v>72</v>
      </c>
      <c r="J409" s="1" t="s">
        <v>68</v>
      </c>
      <c r="K409" s="1" t="s">
        <v>68</v>
      </c>
      <c r="L409" s="1" t="s">
        <v>68</v>
      </c>
      <c r="M409" s="1" t="s">
        <v>68</v>
      </c>
      <c r="N409" s="1" t="s">
        <v>8416</v>
      </c>
      <c r="O409" s="1" t="s">
        <v>8417</v>
      </c>
      <c r="P409" s="1" t="s">
        <v>8418</v>
      </c>
      <c r="Q409" s="1" t="s">
        <v>8419</v>
      </c>
      <c r="R409" s="1" t="s">
        <v>8420</v>
      </c>
      <c r="S409" s="1" t="s">
        <v>8421</v>
      </c>
      <c r="T409" s="1" t="s">
        <v>8422</v>
      </c>
      <c r="U409" s="1" t="s">
        <v>8423</v>
      </c>
      <c r="V409" s="1" t="s">
        <v>8424</v>
      </c>
      <c r="W409" s="1" t="s">
        <v>8425</v>
      </c>
      <c r="X409" s="1" t="s">
        <v>8425</v>
      </c>
      <c r="Y409" s="1" t="s">
        <v>8426</v>
      </c>
      <c r="Z409" s="1">
        <v>80.0</v>
      </c>
      <c r="AA409" s="1">
        <v>0.0</v>
      </c>
      <c r="AB409" s="1">
        <v>0.0</v>
      </c>
      <c r="AC409" s="1">
        <v>6.0</v>
      </c>
      <c r="AD409" s="1">
        <v>10.0</v>
      </c>
      <c r="AE409" s="1" t="s">
        <v>811</v>
      </c>
      <c r="AF409" s="1" t="s">
        <v>1666</v>
      </c>
      <c r="AG409" s="1" t="s">
        <v>1667</v>
      </c>
      <c r="AH409" s="1" t="s">
        <v>813</v>
      </c>
      <c r="AI409" s="1" t="s">
        <v>814</v>
      </c>
      <c r="AJ409" s="1" t="s">
        <v>68</v>
      </c>
      <c r="AK409" s="1" t="s">
        <v>815</v>
      </c>
      <c r="AL409" s="1" t="s">
        <v>816</v>
      </c>
      <c r="AM409" s="1" t="s">
        <v>404</v>
      </c>
      <c r="AN409" s="1">
        <v>2025.0</v>
      </c>
      <c r="AO409" s="1">
        <v>309.0</v>
      </c>
      <c r="AP409" s="1" t="s">
        <v>68</v>
      </c>
      <c r="AQ409" s="1" t="s">
        <v>68</v>
      </c>
      <c r="AR409" s="1" t="s">
        <v>68</v>
      </c>
      <c r="AS409" s="1" t="s">
        <v>68</v>
      </c>
      <c r="AT409" s="1" t="s">
        <v>68</v>
      </c>
      <c r="AU409" s="1" t="s">
        <v>68</v>
      </c>
      <c r="AV409" s="1" t="s">
        <v>68</v>
      </c>
      <c r="AW409" s="1">
        <v>111284.0</v>
      </c>
      <c r="AX409" s="1" t="s">
        <v>8427</v>
      </c>
      <c r="AY409" s="3" t="str">
        <f>HYPERLINK("http://dx.doi.org/10.1016/j.biocon.2025.111284","http://dx.doi.org/10.1016/j.biocon.2025.111284")</f>
        <v>http://dx.doi.org/10.1016/j.biocon.2025.111284</v>
      </c>
      <c r="AZ409" s="1" t="s">
        <v>68</v>
      </c>
      <c r="BA409" s="1" t="s">
        <v>8428</v>
      </c>
      <c r="BB409" s="1">
        <v>11.0</v>
      </c>
      <c r="BC409" s="1" t="s">
        <v>122</v>
      </c>
      <c r="BD409" s="1" t="s">
        <v>92</v>
      </c>
      <c r="BE409" s="1" t="s">
        <v>123</v>
      </c>
      <c r="BF409" s="1" t="s">
        <v>8429</v>
      </c>
      <c r="BG409" s="1" t="s">
        <v>68</v>
      </c>
      <c r="BH409" s="1" t="s">
        <v>867</v>
      </c>
      <c r="BI409" s="1" t="s">
        <v>68</v>
      </c>
      <c r="BJ409" s="1" t="s">
        <v>68</v>
      </c>
      <c r="BK409" s="1" t="s">
        <v>95</v>
      </c>
      <c r="BL409" s="1" t="s">
        <v>8430</v>
      </c>
      <c r="BM409" s="1" t="str">
        <f>HYPERLINK("https%3A%2F%2Fwww.webofscience.com%2Fwos%2Fwoscc%2Ffull-record%2FWOS:001510188300002","View Full Record in Web of Science")</f>
        <v>View Full Record in Web of Science</v>
      </c>
    </row>
    <row r="410" ht="12.75" customHeight="1">
      <c r="A410" s="1" t="s">
        <v>65</v>
      </c>
      <c r="B410" s="1" t="s">
        <v>8431</v>
      </c>
      <c r="C410" s="1" t="s">
        <v>8432</v>
      </c>
      <c r="D410" s="1" t="s">
        <v>68</v>
      </c>
      <c r="E410" s="1" t="s">
        <v>8433</v>
      </c>
      <c r="F410" s="1" t="s">
        <v>287</v>
      </c>
      <c r="G410" s="1" t="s">
        <v>68</v>
      </c>
      <c r="H410" s="1" t="s">
        <v>71</v>
      </c>
      <c r="I410" s="1" t="s">
        <v>72</v>
      </c>
      <c r="J410" s="1" t="s">
        <v>68</v>
      </c>
      <c r="K410" s="1" t="s">
        <v>68</v>
      </c>
      <c r="L410" s="1" t="s">
        <v>68</v>
      </c>
      <c r="M410" s="1" t="s">
        <v>68</v>
      </c>
      <c r="N410" s="1" t="s">
        <v>8434</v>
      </c>
      <c r="O410" s="1" t="s">
        <v>8435</v>
      </c>
      <c r="P410" s="1" t="s">
        <v>8436</v>
      </c>
      <c r="Q410" s="1" t="s">
        <v>8437</v>
      </c>
      <c r="R410" s="1" t="s">
        <v>8438</v>
      </c>
      <c r="S410" s="1" t="s">
        <v>8439</v>
      </c>
      <c r="T410" s="1" t="s">
        <v>8440</v>
      </c>
      <c r="U410" s="1" t="s">
        <v>8441</v>
      </c>
      <c r="V410" s="1" t="s">
        <v>8442</v>
      </c>
      <c r="W410" s="1" t="s">
        <v>8443</v>
      </c>
      <c r="X410" s="1" t="s">
        <v>8444</v>
      </c>
      <c r="Y410" s="1" t="s">
        <v>8445</v>
      </c>
      <c r="Z410" s="1">
        <v>62.0</v>
      </c>
      <c r="AA410" s="1">
        <v>8.0</v>
      </c>
      <c r="AB410" s="1">
        <v>9.0</v>
      </c>
      <c r="AC410" s="1">
        <v>1.0</v>
      </c>
      <c r="AD410" s="1">
        <v>22.0</v>
      </c>
      <c r="AE410" s="1" t="s">
        <v>300</v>
      </c>
      <c r="AF410" s="1" t="s">
        <v>301</v>
      </c>
      <c r="AG410" s="1" t="s">
        <v>302</v>
      </c>
      <c r="AH410" s="1" t="s">
        <v>303</v>
      </c>
      <c r="AI410" s="1" t="s">
        <v>304</v>
      </c>
      <c r="AJ410" s="1" t="s">
        <v>68</v>
      </c>
      <c r="AK410" s="1" t="s">
        <v>305</v>
      </c>
      <c r="AL410" s="1" t="s">
        <v>306</v>
      </c>
      <c r="AM410" s="1" t="s">
        <v>790</v>
      </c>
      <c r="AN410" s="1">
        <v>2020.0</v>
      </c>
      <c r="AO410" s="1">
        <v>49.0</v>
      </c>
      <c r="AP410" s="1">
        <v>4.0</v>
      </c>
      <c r="AQ410" s="1" t="s">
        <v>68</v>
      </c>
      <c r="AR410" s="1" t="s">
        <v>68</v>
      </c>
      <c r="AS410" s="1" t="s">
        <v>563</v>
      </c>
      <c r="AT410" s="1" t="s">
        <v>68</v>
      </c>
      <c r="AU410" s="1">
        <v>604.0</v>
      </c>
      <c r="AV410" s="1">
        <v>613.0</v>
      </c>
      <c r="AW410" s="1" t="s">
        <v>68</v>
      </c>
      <c r="AX410" s="1" t="s">
        <v>8446</v>
      </c>
      <c r="AY410" s="3" t="str">
        <f>HYPERLINK("http://dx.doi.org/10.1007/s13744-020-00793-8","http://dx.doi.org/10.1007/s13744-020-00793-8")</f>
        <v>http://dx.doi.org/10.1007/s13744-020-00793-8</v>
      </c>
      <c r="AZ410" s="1" t="s">
        <v>68</v>
      </c>
      <c r="BA410" s="1" t="s">
        <v>5940</v>
      </c>
      <c r="BB410" s="1">
        <v>10.0</v>
      </c>
      <c r="BC410" s="1" t="s">
        <v>309</v>
      </c>
      <c r="BD410" s="1" t="s">
        <v>279</v>
      </c>
      <c r="BE410" s="1" t="s">
        <v>309</v>
      </c>
      <c r="BF410" s="1" t="s">
        <v>8447</v>
      </c>
      <c r="BG410" s="1">
        <v>3.2761554E7</v>
      </c>
      <c r="BH410" s="1" t="s">
        <v>68</v>
      </c>
      <c r="BI410" s="1" t="s">
        <v>68</v>
      </c>
      <c r="BJ410" s="1" t="s">
        <v>68</v>
      </c>
      <c r="BK410" s="1" t="s">
        <v>95</v>
      </c>
      <c r="BL410" s="1" t="s">
        <v>8448</v>
      </c>
      <c r="BM410" s="1" t="str">
        <f>HYPERLINK("https%3A%2F%2Fwww.webofscience.com%2Fwos%2Fwoscc%2Ffull-record%2FWOS:000556649600001","View Full Record in Web of Science")</f>
        <v>View Full Record in Web of Science</v>
      </c>
    </row>
    <row r="411" ht="12.75" customHeight="1">
      <c r="A411" s="1" t="s">
        <v>65</v>
      </c>
      <c r="B411" s="1" t="s">
        <v>8449</v>
      </c>
      <c r="C411" s="1" t="s">
        <v>8450</v>
      </c>
      <c r="D411" s="1" t="s">
        <v>68</v>
      </c>
      <c r="E411" s="1" t="s">
        <v>8451</v>
      </c>
      <c r="F411" s="1" t="s">
        <v>8452</v>
      </c>
      <c r="G411" s="1" t="s">
        <v>68</v>
      </c>
      <c r="H411" s="1" t="s">
        <v>71</v>
      </c>
      <c r="I411" s="1" t="s">
        <v>72</v>
      </c>
      <c r="J411" s="1" t="s">
        <v>68</v>
      </c>
      <c r="K411" s="1" t="s">
        <v>68</v>
      </c>
      <c r="L411" s="1" t="s">
        <v>68</v>
      </c>
      <c r="M411" s="1" t="s">
        <v>68</v>
      </c>
      <c r="N411" s="1" t="s">
        <v>68</v>
      </c>
      <c r="O411" s="1" t="s">
        <v>8453</v>
      </c>
      <c r="P411" s="1" t="s">
        <v>8454</v>
      </c>
      <c r="Q411" s="1" t="s">
        <v>8455</v>
      </c>
      <c r="R411" s="1" t="s">
        <v>8456</v>
      </c>
      <c r="S411" s="1" t="s">
        <v>8457</v>
      </c>
      <c r="T411" s="1" t="s">
        <v>8458</v>
      </c>
      <c r="U411" s="1" t="s">
        <v>68</v>
      </c>
      <c r="V411" s="1" t="s">
        <v>68</v>
      </c>
      <c r="W411" s="1" t="s">
        <v>8459</v>
      </c>
      <c r="X411" s="1" t="s">
        <v>8459</v>
      </c>
      <c r="Y411" s="1" t="s">
        <v>8460</v>
      </c>
      <c r="Z411" s="1">
        <v>54.0</v>
      </c>
      <c r="AA411" s="1">
        <v>14.0</v>
      </c>
      <c r="AB411" s="1">
        <v>16.0</v>
      </c>
      <c r="AC411" s="1">
        <v>1.0</v>
      </c>
      <c r="AD411" s="1">
        <v>94.0</v>
      </c>
      <c r="AE411" s="1" t="s">
        <v>503</v>
      </c>
      <c r="AF411" s="1" t="s">
        <v>504</v>
      </c>
      <c r="AG411" s="1" t="s">
        <v>505</v>
      </c>
      <c r="AH411" s="1" t="s">
        <v>8461</v>
      </c>
      <c r="AI411" s="1" t="s">
        <v>8462</v>
      </c>
      <c r="AJ411" s="1" t="s">
        <v>68</v>
      </c>
      <c r="AK411" s="1" t="s">
        <v>8463</v>
      </c>
      <c r="AL411" s="1" t="s">
        <v>8464</v>
      </c>
      <c r="AM411" s="1" t="s">
        <v>120</v>
      </c>
      <c r="AN411" s="1">
        <v>2017.0</v>
      </c>
      <c r="AO411" s="1">
        <v>48.0</v>
      </c>
      <c r="AP411" s="1">
        <v>12.0</v>
      </c>
      <c r="AQ411" s="1" t="s">
        <v>68</v>
      </c>
      <c r="AR411" s="1" t="s">
        <v>68</v>
      </c>
      <c r="AS411" s="1" t="s">
        <v>68</v>
      </c>
      <c r="AT411" s="1" t="s">
        <v>68</v>
      </c>
      <c r="AU411" s="1">
        <v>1556.0</v>
      </c>
      <c r="AV411" s="1">
        <v>1562.0</v>
      </c>
      <c r="AW411" s="1" t="s">
        <v>68</v>
      </c>
      <c r="AX411" s="1" t="s">
        <v>8465</v>
      </c>
      <c r="AY411" s="3" t="str">
        <f>HYPERLINK("http://dx.doi.org/10.1111/jav.01273","http://dx.doi.org/10.1111/jav.01273")</f>
        <v>http://dx.doi.org/10.1111/jav.01273</v>
      </c>
      <c r="AZ411" s="1" t="s">
        <v>68</v>
      </c>
      <c r="BA411" s="1" t="s">
        <v>68</v>
      </c>
      <c r="BB411" s="1">
        <v>7.0</v>
      </c>
      <c r="BC411" s="1" t="s">
        <v>3021</v>
      </c>
      <c r="BD411" s="1" t="s">
        <v>92</v>
      </c>
      <c r="BE411" s="1" t="s">
        <v>933</v>
      </c>
      <c r="BF411" s="1" t="s">
        <v>8466</v>
      </c>
      <c r="BG411" s="1" t="s">
        <v>68</v>
      </c>
      <c r="BH411" s="1" t="s">
        <v>68</v>
      </c>
      <c r="BI411" s="1" t="s">
        <v>68</v>
      </c>
      <c r="BJ411" s="1" t="s">
        <v>68</v>
      </c>
      <c r="BK411" s="1" t="s">
        <v>95</v>
      </c>
      <c r="BL411" s="1" t="s">
        <v>8467</v>
      </c>
      <c r="BM411" s="1" t="str">
        <f>HYPERLINK("https%3A%2F%2Fwww.webofscience.com%2Fwos%2Fwoscc%2Ffull-record%2FWOS:000418276300007","View Full Record in Web of Science")</f>
        <v>View Full Record in Web of Science</v>
      </c>
    </row>
    <row r="412" ht="12.75" customHeight="1">
      <c r="A412" s="1" t="s">
        <v>65</v>
      </c>
      <c r="B412" s="1" t="s">
        <v>8468</v>
      </c>
      <c r="C412" s="1" t="s">
        <v>8469</v>
      </c>
      <c r="D412" s="1" t="s">
        <v>68</v>
      </c>
      <c r="E412" s="1" t="s">
        <v>8470</v>
      </c>
      <c r="F412" s="1" t="s">
        <v>1996</v>
      </c>
      <c r="G412" s="1" t="s">
        <v>68</v>
      </c>
      <c r="H412" s="1" t="s">
        <v>71</v>
      </c>
      <c r="I412" s="1" t="s">
        <v>72</v>
      </c>
      <c r="J412" s="1" t="s">
        <v>68</v>
      </c>
      <c r="K412" s="1" t="s">
        <v>68</v>
      </c>
      <c r="L412" s="1" t="s">
        <v>68</v>
      </c>
      <c r="M412" s="1" t="s">
        <v>68</v>
      </c>
      <c r="N412" s="1" t="s">
        <v>8471</v>
      </c>
      <c r="O412" s="1" t="s">
        <v>6597</v>
      </c>
      <c r="P412" s="1" t="s">
        <v>8472</v>
      </c>
      <c r="Q412" s="1" t="s">
        <v>8473</v>
      </c>
      <c r="R412" s="1" t="s">
        <v>8474</v>
      </c>
      <c r="S412" s="1" t="s">
        <v>8475</v>
      </c>
      <c r="T412" s="1" t="s">
        <v>8476</v>
      </c>
      <c r="U412" s="1" t="s">
        <v>8477</v>
      </c>
      <c r="V412" s="1" t="s">
        <v>8478</v>
      </c>
      <c r="W412" s="1" t="s">
        <v>8479</v>
      </c>
      <c r="X412" s="1" t="s">
        <v>4608</v>
      </c>
      <c r="Y412" s="1" t="s">
        <v>8480</v>
      </c>
      <c r="Z412" s="1">
        <v>39.0</v>
      </c>
      <c r="AA412" s="1">
        <v>9.0</v>
      </c>
      <c r="AB412" s="1">
        <v>10.0</v>
      </c>
      <c r="AC412" s="1">
        <v>0.0</v>
      </c>
      <c r="AD412" s="1">
        <v>4.0</v>
      </c>
      <c r="AE412" s="1" t="s">
        <v>247</v>
      </c>
      <c r="AF412" s="1" t="s">
        <v>248</v>
      </c>
      <c r="AG412" s="1" t="s">
        <v>249</v>
      </c>
      <c r="AH412" s="1" t="s">
        <v>68</v>
      </c>
      <c r="AI412" s="1" t="s">
        <v>2007</v>
      </c>
      <c r="AJ412" s="1" t="s">
        <v>68</v>
      </c>
      <c r="AK412" s="1" t="s">
        <v>2008</v>
      </c>
      <c r="AL412" s="1" t="s">
        <v>2009</v>
      </c>
      <c r="AM412" s="1" t="s">
        <v>428</v>
      </c>
      <c r="AN412" s="1">
        <v>2021.0</v>
      </c>
      <c r="AO412" s="1">
        <v>13.0</v>
      </c>
      <c r="AP412" s="1">
        <v>19.0</v>
      </c>
      <c r="AQ412" s="1" t="s">
        <v>68</v>
      </c>
      <c r="AR412" s="1" t="s">
        <v>68</v>
      </c>
      <c r="AS412" s="1" t="s">
        <v>68</v>
      </c>
      <c r="AT412" s="1" t="s">
        <v>68</v>
      </c>
      <c r="AU412" s="1" t="s">
        <v>68</v>
      </c>
      <c r="AV412" s="1" t="s">
        <v>68</v>
      </c>
      <c r="AW412" s="1">
        <v>11110.0</v>
      </c>
      <c r="AX412" s="1" t="s">
        <v>8481</v>
      </c>
      <c r="AY412" s="3" t="str">
        <f>HYPERLINK("http://dx.doi.org/10.3390/su131911110","http://dx.doi.org/10.3390/su131911110")</f>
        <v>http://dx.doi.org/10.3390/su131911110</v>
      </c>
      <c r="AZ412" s="1" t="s">
        <v>68</v>
      </c>
      <c r="BA412" s="1" t="s">
        <v>68</v>
      </c>
      <c r="BB412" s="1">
        <v>17.0</v>
      </c>
      <c r="BC412" s="1" t="s">
        <v>1052</v>
      </c>
      <c r="BD412" s="1" t="s">
        <v>279</v>
      </c>
      <c r="BE412" s="1" t="s">
        <v>1053</v>
      </c>
      <c r="BF412" s="1" t="s">
        <v>8482</v>
      </c>
      <c r="BG412" s="1" t="s">
        <v>68</v>
      </c>
      <c r="BH412" s="1" t="s">
        <v>94</v>
      </c>
      <c r="BI412" s="1" t="s">
        <v>68</v>
      </c>
      <c r="BJ412" s="1" t="s">
        <v>68</v>
      </c>
      <c r="BK412" s="1" t="s">
        <v>95</v>
      </c>
      <c r="BL412" s="1" t="s">
        <v>8483</v>
      </c>
      <c r="BM412" s="1" t="str">
        <f>HYPERLINK("https%3A%2F%2Fwww.webofscience.com%2Fwos%2Fwoscc%2Ffull-record%2FWOS:000755808800001","View Full Record in Web of Science")</f>
        <v>View Full Record in Web of Science</v>
      </c>
    </row>
    <row r="413" ht="12.75" customHeight="1">
      <c r="A413" s="1" t="s">
        <v>65</v>
      </c>
      <c r="B413" s="1" t="s">
        <v>8484</v>
      </c>
      <c r="C413" s="1" t="s">
        <v>8485</v>
      </c>
      <c r="D413" s="1" t="s">
        <v>68</v>
      </c>
      <c r="E413" s="1" t="s">
        <v>8486</v>
      </c>
      <c r="F413" s="1" t="s">
        <v>8487</v>
      </c>
      <c r="G413" s="1" t="s">
        <v>68</v>
      </c>
      <c r="H413" s="1" t="s">
        <v>71</v>
      </c>
      <c r="I413" s="1" t="s">
        <v>72</v>
      </c>
      <c r="J413" s="1" t="s">
        <v>68</v>
      </c>
      <c r="K413" s="1" t="s">
        <v>68</v>
      </c>
      <c r="L413" s="1" t="s">
        <v>68</v>
      </c>
      <c r="M413" s="1" t="s">
        <v>68</v>
      </c>
      <c r="N413" s="1" t="s">
        <v>8488</v>
      </c>
      <c r="O413" s="1" t="s">
        <v>8489</v>
      </c>
      <c r="P413" s="1" t="s">
        <v>8490</v>
      </c>
      <c r="Q413" s="1" t="s">
        <v>8491</v>
      </c>
      <c r="R413" s="1" t="s">
        <v>8492</v>
      </c>
      <c r="S413" s="1" t="s">
        <v>8493</v>
      </c>
      <c r="T413" s="1" t="s">
        <v>8494</v>
      </c>
      <c r="U413" s="1" t="s">
        <v>8495</v>
      </c>
      <c r="V413" s="1" t="s">
        <v>8496</v>
      </c>
      <c r="W413" s="1" t="s">
        <v>68</v>
      </c>
      <c r="X413" s="1" t="s">
        <v>68</v>
      </c>
      <c r="Y413" s="1" t="s">
        <v>68</v>
      </c>
      <c r="Z413" s="1">
        <v>71.0</v>
      </c>
      <c r="AA413" s="1">
        <v>18.0</v>
      </c>
      <c r="AB413" s="1">
        <v>21.0</v>
      </c>
      <c r="AC413" s="1">
        <v>0.0</v>
      </c>
      <c r="AD413" s="1">
        <v>22.0</v>
      </c>
      <c r="AE413" s="1" t="s">
        <v>247</v>
      </c>
      <c r="AF413" s="1" t="s">
        <v>248</v>
      </c>
      <c r="AG413" s="1" t="s">
        <v>351</v>
      </c>
      <c r="AH413" s="1" t="s">
        <v>8497</v>
      </c>
      <c r="AI413" s="1" t="s">
        <v>68</v>
      </c>
      <c r="AJ413" s="1" t="s">
        <v>68</v>
      </c>
      <c r="AK413" s="1" t="s">
        <v>8498</v>
      </c>
      <c r="AL413" s="1" t="s">
        <v>8499</v>
      </c>
      <c r="AM413" s="1" t="s">
        <v>252</v>
      </c>
      <c r="AN413" s="1">
        <v>2020.0</v>
      </c>
      <c r="AO413" s="1">
        <v>10.0</v>
      </c>
      <c r="AP413" s="1">
        <v>7.0</v>
      </c>
      <c r="AQ413" s="1" t="s">
        <v>68</v>
      </c>
      <c r="AR413" s="1" t="s">
        <v>68</v>
      </c>
      <c r="AS413" s="1" t="s">
        <v>68</v>
      </c>
      <c r="AT413" s="1" t="s">
        <v>68</v>
      </c>
      <c r="AU413" s="1" t="s">
        <v>68</v>
      </c>
      <c r="AV413" s="1" t="s">
        <v>68</v>
      </c>
      <c r="AW413" s="1">
        <v>1112.0</v>
      </c>
      <c r="AX413" s="1" t="s">
        <v>8500</v>
      </c>
      <c r="AY413" s="3" t="str">
        <f>HYPERLINK("http://dx.doi.org/10.3390/ani10071112","http://dx.doi.org/10.3390/ani10071112")</f>
        <v>http://dx.doi.org/10.3390/ani10071112</v>
      </c>
      <c r="AZ413" s="1" t="s">
        <v>68</v>
      </c>
      <c r="BA413" s="1" t="s">
        <v>68</v>
      </c>
      <c r="BB413" s="1">
        <v>20.0</v>
      </c>
      <c r="BC413" s="1" t="s">
        <v>8501</v>
      </c>
      <c r="BD413" s="1" t="s">
        <v>92</v>
      </c>
      <c r="BE413" s="1" t="s">
        <v>8502</v>
      </c>
      <c r="BF413" s="1" t="s">
        <v>8503</v>
      </c>
      <c r="BG413" s="1">
        <v>3.2610525E7</v>
      </c>
      <c r="BH413" s="1" t="s">
        <v>94</v>
      </c>
      <c r="BI413" s="1" t="s">
        <v>68</v>
      </c>
      <c r="BJ413" s="1" t="s">
        <v>68</v>
      </c>
      <c r="BK413" s="1" t="s">
        <v>95</v>
      </c>
      <c r="BL413" s="1" t="s">
        <v>8504</v>
      </c>
      <c r="BM413" s="1" t="str">
        <f>HYPERLINK("https%3A%2F%2Fwww.webofscience.com%2Fwos%2Fwoscc%2Ffull-record%2FWOS:000557058900001","View Full Record in Web of Science")</f>
        <v>View Full Record in Web of Science</v>
      </c>
    </row>
    <row r="414" ht="12.75" customHeight="1">
      <c r="A414" s="1" t="s">
        <v>65</v>
      </c>
      <c r="B414" s="1" t="s">
        <v>8505</v>
      </c>
      <c r="C414" s="1" t="s">
        <v>8506</v>
      </c>
      <c r="D414" s="1" t="s">
        <v>68</v>
      </c>
      <c r="E414" s="1" t="s">
        <v>8507</v>
      </c>
      <c r="F414" s="1" t="s">
        <v>7281</v>
      </c>
      <c r="G414" s="1" t="s">
        <v>68</v>
      </c>
      <c r="H414" s="1" t="s">
        <v>71</v>
      </c>
      <c r="I414" s="1" t="s">
        <v>72</v>
      </c>
      <c r="J414" s="1" t="s">
        <v>68</v>
      </c>
      <c r="K414" s="1" t="s">
        <v>68</v>
      </c>
      <c r="L414" s="1" t="s">
        <v>68</v>
      </c>
      <c r="M414" s="1" t="s">
        <v>68</v>
      </c>
      <c r="N414" s="1" t="s">
        <v>8508</v>
      </c>
      <c r="O414" s="1" t="s">
        <v>8509</v>
      </c>
      <c r="P414" s="1" t="s">
        <v>8510</v>
      </c>
      <c r="Q414" s="1" t="s">
        <v>8511</v>
      </c>
      <c r="R414" s="1" t="s">
        <v>8512</v>
      </c>
      <c r="S414" s="1" t="s">
        <v>8513</v>
      </c>
      <c r="T414" s="1" t="s">
        <v>8514</v>
      </c>
      <c r="U414" s="1" t="s">
        <v>8515</v>
      </c>
      <c r="V414" s="1" t="s">
        <v>8516</v>
      </c>
      <c r="W414" s="1" t="s">
        <v>68</v>
      </c>
      <c r="X414" s="1" t="s">
        <v>68</v>
      </c>
      <c r="Y414" s="1" t="s">
        <v>68</v>
      </c>
      <c r="Z414" s="1">
        <v>49.0</v>
      </c>
      <c r="AA414" s="1">
        <v>10.0</v>
      </c>
      <c r="AB414" s="1">
        <v>12.0</v>
      </c>
      <c r="AC414" s="1">
        <v>0.0</v>
      </c>
      <c r="AD414" s="1">
        <v>11.0</v>
      </c>
      <c r="AE414" s="1" t="s">
        <v>247</v>
      </c>
      <c r="AF414" s="1" t="s">
        <v>248</v>
      </c>
      <c r="AG414" s="1" t="s">
        <v>351</v>
      </c>
      <c r="AH414" s="1" t="s">
        <v>68</v>
      </c>
      <c r="AI414" s="1" t="s">
        <v>7293</v>
      </c>
      <c r="AJ414" s="1" t="s">
        <v>68</v>
      </c>
      <c r="AK414" s="1" t="s">
        <v>7294</v>
      </c>
      <c r="AL414" s="1" t="s">
        <v>7295</v>
      </c>
      <c r="AM414" s="1" t="s">
        <v>428</v>
      </c>
      <c r="AN414" s="1">
        <v>2019.0</v>
      </c>
      <c r="AO414" s="1">
        <v>19.0</v>
      </c>
      <c r="AP414" s="1">
        <v>19.0</v>
      </c>
      <c r="AQ414" s="1" t="s">
        <v>68</v>
      </c>
      <c r="AR414" s="1" t="s">
        <v>68</v>
      </c>
      <c r="AS414" s="1" t="s">
        <v>68</v>
      </c>
      <c r="AT414" s="1" t="s">
        <v>68</v>
      </c>
      <c r="AU414" s="1" t="s">
        <v>68</v>
      </c>
      <c r="AV414" s="1" t="s">
        <v>68</v>
      </c>
      <c r="AW414" s="1">
        <v>4264.0</v>
      </c>
      <c r="AX414" s="1" t="s">
        <v>8517</v>
      </c>
      <c r="AY414" s="3" t="str">
        <f>HYPERLINK("http://dx.doi.org/10.3390/s19194264","http://dx.doi.org/10.3390/s19194264")</f>
        <v>http://dx.doi.org/10.3390/s19194264</v>
      </c>
      <c r="AZ414" s="1" t="s">
        <v>68</v>
      </c>
      <c r="BA414" s="1" t="s">
        <v>68</v>
      </c>
      <c r="BB414" s="1">
        <v>16.0</v>
      </c>
      <c r="BC414" s="1" t="s">
        <v>7297</v>
      </c>
      <c r="BD414" s="1" t="s">
        <v>92</v>
      </c>
      <c r="BE414" s="1" t="s">
        <v>7298</v>
      </c>
      <c r="BF414" s="1" t="s">
        <v>8518</v>
      </c>
      <c r="BG414" s="1">
        <v>3.1581431E7</v>
      </c>
      <c r="BH414" s="1" t="s">
        <v>94</v>
      </c>
      <c r="BI414" s="1" t="s">
        <v>68</v>
      </c>
      <c r="BJ414" s="1" t="s">
        <v>68</v>
      </c>
      <c r="BK414" s="1" t="s">
        <v>95</v>
      </c>
      <c r="BL414" s="1" t="s">
        <v>8519</v>
      </c>
      <c r="BM414" s="1" t="str">
        <f>HYPERLINK("https%3A%2F%2Fwww.webofscience.com%2Fwos%2Fwoscc%2Ffull-record%2FWOS:000494823200208","View Full Record in Web of Science")</f>
        <v>View Full Record in Web of Science</v>
      </c>
    </row>
    <row r="415" ht="12.75" customHeight="1">
      <c r="A415" s="1" t="s">
        <v>65</v>
      </c>
      <c r="B415" s="1" t="s">
        <v>8520</v>
      </c>
      <c r="C415" s="1" t="s">
        <v>8521</v>
      </c>
      <c r="D415" s="1" t="s">
        <v>68</v>
      </c>
      <c r="E415" s="1" t="s">
        <v>8522</v>
      </c>
      <c r="F415" s="1" t="s">
        <v>2227</v>
      </c>
      <c r="G415" s="1" t="s">
        <v>68</v>
      </c>
      <c r="H415" s="1" t="s">
        <v>71</v>
      </c>
      <c r="I415" s="1" t="s">
        <v>101</v>
      </c>
      <c r="J415" s="1" t="s">
        <v>68</v>
      </c>
      <c r="K415" s="1" t="s">
        <v>68</v>
      </c>
      <c r="L415" s="1" t="s">
        <v>68</v>
      </c>
      <c r="M415" s="1" t="s">
        <v>68</v>
      </c>
      <c r="N415" s="1" t="s">
        <v>8523</v>
      </c>
      <c r="O415" s="1" t="s">
        <v>8524</v>
      </c>
      <c r="P415" s="1" t="s">
        <v>8525</v>
      </c>
      <c r="Q415" s="1" t="s">
        <v>8526</v>
      </c>
      <c r="R415" s="1" t="s">
        <v>68</v>
      </c>
      <c r="S415" s="1" t="s">
        <v>8527</v>
      </c>
      <c r="T415" s="1" t="s">
        <v>8528</v>
      </c>
      <c r="U415" s="1" t="s">
        <v>8529</v>
      </c>
      <c r="V415" s="1" t="s">
        <v>8530</v>
      </c>
      <c r="W415" s="1" t="s">
        <v>68</v>
      </c>
      <c r="X415" s="1" t="s">
        <v>68</v>
      </c>
      <c r="Y415" s="1" t="s">
        <v>68</v>
      </c>
      <c r="Z415" s="1">
        <v>52.0</v>
      </c>
      <c r="AA415" s="1">
        <v>7.0</v>
      </c>
      <c r="AB415" s="1">
        <v>8.0</v>
      </c>
      <c r="AC415" s="1">
        <v>1.0</v>
      </c>
      <c r="AD415" s="1">
        <v>23.0</v>
      </c>
      <c r="AE415" s="1" t="s">
        <v>2239</v>
      </c>
      <c r="AF415" s="1" t="s">
        <v>2240</v>
      </c>
      <c r="AG415" s="1" t="s">
        <v>2241</v>
      </c>
      <c r="AH415" s="1" t="s">
        <v>2242</v>
      </c>
      <c r="AI415" s="1" t="s">
        <v>2243</v>
      </c>
      <c r="AJ415" s="1" t="s">
        <v>68</v>
      </c>
      <c r="AK415" s="1" t="s">
        <v>2244</v>
      </c>
      <c r="AL415" s="1" t="s">
        <v>2245</v>
      </c>
      <c r="AM415" s="1" t="s">
        <v>68</v>
      </c>
      <c r="AN415" s="1">
        <v>2017.0</v>
      </c>
      <c r="AO415" s="1" t="s">
        <v>68</v>
      </c>
      <c r="AP415" s="1">
        <v>19.0</v>
      </c>
      <c r="AQ415" s="1" t="s">
        <v>68</v>
      </c>
      <c r="AR415" s="1" t="s">
        <v>68</v>
      </c>
      <c r="AS415" s="1" t="s">
        <v>563</v>
      </c>
      <c r="AT415" s="1" t="s">
        <v>68</v>
      </c>
      <c r="AU415" s="1">
        <v>97.0</v>
      </c>
      <c r="AV415" s="1">
        <v>110.0</v>
      </c>
      <c r="AW415" s="1" t="s">
        <v>68</v>
      </c>
      <c r="AX415" s="1" t="s">
        <v>8531</v>
      </c>
      <c r="AY415" s="3" t="str">
        <f>HYPERLINK("http://dx.doi.org/10.3897/natureconservation.19.12637","http://dx.doi.org/10.3897/natureconservation.19.12637")</f>
        <v>http://dx.doi.org/10.3897/natureconservation.19.12637</v>
      </c>
      <c r="AZ415" s="1" t="s">
        <v>68</v>
      </c>
      <c r="BA415" s="1" t="s">
        <v>68</v>
      </c>
      <c r="BB415" s="1">
        <v>14.0</v>
      </c>
      <c r="BC415" s="1" t="s">
        <v>1171</v>
      </c>
      <c r="BD415" s="1" t="s">
        <v>92</v>
      </c>
      <c r="BE415" s="1" t="s">
        <v>1172</v>
      </c>
      <c r="BF415" s="1" t="s">
        <v>8532</v>
      </c>
      <c r="BG415" s="1" t="s">
        <v>68</v>
      </c>
      <c r="BH415" s="1" t="s">
        <v>94</v>
      </c>
      <c r="BI415" s="1" t="s">
        <v>68</v>
      </c>
      <c r="BJ415" s="1" t="s">
        <v>68</v>
      </c>
      <c r="BK415" s="1" t="s">
        <v>95</v>
      </c>
      <c r="BL415" s="1" t="s">
        <v>8533</v>
      </c>
      <c r="BM415" s="1" t="str">
        <f>HYPERLINK("https%3A%2F%2Fwww.webofscience.com%2Fwos%2Fwoscc%2Ffull-record%2FWOS:000409322000006","View Full Record in Web of Science")</f>
        <v>View Full Record in Web of Science</v>
      </c>
    </row>
    <row r="416" ht="12.75" customHeight="1">
      <c r="A416" s="1" t="s">
        <v>65</v>
      </c>
      <c r="B416" s="1" t="s">
        <v>8534</v>
      </c>
      <c r="C416" s="1" t="s">
        <v>8535</v>
      </c>
      <c r="D416" s="1" t="s">
        <v>68</v>
      </c>
      <c r="E416" s="1" t="s">
        <v>8536</v>
      </c>
      <c r="F416" s="1" t="s">
        <v>8537</v>
      </c>
      <c r="G416" s="1" t="s">
        <v>68</v>
      </c>
      <c r="H416" s="1" t="s">
        <v>71</v>
      </c>
      <c r="I416" s="1" t="s">
        <v>72</v>
      </c>
      <c r="J416" s="1" t="s">
        <v>68</v>
      </c>
      <c r="K416" s="1" t="s">
        <v>68</v>
      </c>
      <c r="L416" s="1" t="s">
        <v>68</v>
      </c>
      <c r="M416" s="1" t="s">
        <v>68</v>
      </c>
      <c r="N416" s="1" t="s">
        <v>8538</v>
      </c>
      <c r="O416" s="1" t="s">
        <v>8539</v>
      </c>
      <c r="P416" s="1" t="s">
        <v>8540</v>
      </c>
      <c r="Q416" s="1" t="s">
        <v>8541</v>
      </c>
      <c r="R416" s="1" t="s">
        <v>8542</v>
      </c>
      <c r="S416" s="1" t="s">
        <v>8543</v>
      </c>
      <c r="T416" s="1" t="s">
        <v>8544</v>
      </c>
      <c r="U416" s="1" t="s">
        <v>8545</v>
      </c>
      <c r="V416" s="1" t="s">
        <v>8546</v>
      </c>
      <c r="W416" s="1" t="s">
        <v>8547</v>
      </c>
      <c r="X416" s="1" t="s">
        <v>8548</v>
      </c>
      <c r="Y416" s="1" t="s">
        <v>8549</v>
      </c>
      <c r="Z416" s="1">
        <v>25.0</v>
      </c>
      <c r="AA416" s="1">
        <v>9.0</v>
      </c>
      <c r="AB416" s="1">
        <v>12.0</v>
      </c>
      <c r="AC416" s="1">
        <v>1.0</v>
      </c>
      <c r="AD416" s="1">
        <v>5.0</v>
      </c>
      <c r="AE416" s="1" t="s">
        <v>450</v>
      </c>
      <c r="AF416" s="1" t="s">
        <v>451</v>
      </c>
      <c r="AG416" s="1" t="s">
        <v>452</v>
      </c>
      <c r="AH416" s="1" t="s">
        <v>8550</v>
      </c>
      <c r="AI416" s="1" t="s">
        <v>8551</v>
      </c>
      <c r="AJ416" s="1" t="s">
        <v>68</v>
      </c>
      <c r="AK416" s="1" t="s">
        <v>8552</v>
      </c>
      <c r="AL416" s="1" t="s">
        <v>8553</v>
      </c>
      <c r="AM416" s="1" t="s">
        <v>1169</v>
      </c>
      <c r="AN416" s="1">
        <v>2019.0</v>
      </c>
      <c r="AO416" s="1">
        <v>95.0</v>
      </c>
      <c r="AP416" s="1" t="s">
        <v>68</v>
      </c>
      <c r="AQ416" s="1" t="s">
        <v>68</v>
      </c>
      <c r="AR416" s="1" t="s">
        <v>68</v>
      </c>
      <c r="AS416" s="1" t="s">
        <v>68</v>
      </c>
      <c r="AT416" s="1" t="s">
        <v>68</v>
      </c>
      <c r="AU416" s="1">
        <v>26.0</v>
      </c>
      <c r="AV416" s="1">
        <v>30.0</v>
      </c>
      <c r="AW416" s="1" t="s">
        <v>68</v>
      </c>
      <c r="AX416" s="1" t="s">
        <v>8554</v>
      </c>
      <c r="AY416" s="3" t="str">
        <f>HYPERLINK("http://dx.doi.org/10.1016/j.mambio.2019.01.004","http://dx.doi.org/10.1016/j.mambio.2019.01.004")</f>
        <v>http://dx.doi.org/10.1016/j.mambio.2019.01.004</v>
      </c>
      <c r="AZ416" s="1" t="s">
        <v>68</v>
      </c>
      <c r="BA416" s="1" t="s">
        <v>68</v>
      </c>
      <c r="BB416" s="1">
        <v>5.0</v>
      </c>
      <c r="BC416" s="1" t="s">
        <v>933</v>
      </c>
      <c r="BD416" s="1" t="s">
        <v>92</v>
      </c>
      <c r="BE416" s="1" t="s">
        <v>933</v>
      </c>
      <c r="BF416" s="1" t="s">
        <v>8555</v>
      </c>
      <c r="BG416" s="1" t="s">
        <v>68</v>
      </c>
      <c r="BH416" s="1" t="s">
        <v>462</v>
      </c>
      <c r="BI416" s="1" t="s">
        <v>68</v>
      </c>
      <c r="BJ416" s="1" t="s">
        <v>68</v>
      </c>
      <c r="BK416" s="1" t="s">
        <v>95</v>
      </c>
      <c r="BL416" s="1" t="s">
        <v>8556</v>
      </c>
      <c r="BM416" s="1" t="str">
        <f>HYPERLINK("https%3A%2F%2Fwww.webofscience.com%2Fwos%2Fwoscc%2Ffull-record%2FWOS:000466027600005","View Full Record in Web of Science")</f>
        <v>View Full Record in Web of Science</v>
      </c>
    </row>
    <row r="417" ht="12.75" customHeight="1">
      <c r="A417" s="1" t="s">
        <v>65</v>
      </c>
      <c r="B417" s="1" t="s">
        <v>8557</v>
      </c>
      <c r="C417" s="1" t="s">
        <v>8558</v>
      </c>
      <c r="D417" s="1" t="s">
        <v>68</v>
      </c>
      <c r="E417" s="1" t="s">
        <v>8559</v>
      </c>
      <c r="F417" s="1" t="s">
        <v>1271</v>
      </c>
      <c r="G417" s="1" t="s">
        <v>68</v>
      </c>
      <c r="H417" s="1" t="s">
        <v>71</v>
      </c>
      <c r="I417" s="1" t="s">
        <v>72</v>
      </c>
      <c r="J417" s="1" t="s">
        <v>68</v>
      </c>
      <c r="K417" s="1" t="s">
        <v>68</v>
      </c>
      <c r="L417" s="1" t="s">
        <v>68</v>
      </c>
      <c r="M417" s="1" t="s">
        <v>68</v>
      </c>
      <c r="N417" s="1" t="s">
        <v>8560</v>
      </c>
      <c r="O417" s="1" t="s">
        <v>8561</v>
      </c>
      <c r="P417" s="1" t="s">
        <v>8562</v>
      </c>
      <c r="Q417" s="1" t="s">
        <v>8563</v>
      </c>
      <c r="R417" s="1" t="s">
        <v>8564</v>
      </c>
      <c r="S417" s="1" t="s">
        <v>8565</v>
      </c>
      <c r="T417" s="1" t="s">
        <v>8566</v>
      </c>
      <c r="U417" s="1" t="s">
        <v>8567</v>
      </c>
      <c r="V417" s="1" t="s">
        <v>8568</v>
      </c>
      <c r="W417" s="1" t="s">
        <v>8569</v>
      </c>
      <c r="X417" s="1" t="s">
        <v>8570</v>
      </c>
      <c r="Y417" s="1" t="s">
        <v>8571</v>
      </c>
      <c r="Z417" s="1">
        <v>45.0</v>
      </c>
      <c r="AA417" s="1">
        <v>18.0</v>
      </c>
      <c r="AB417" s="1">
        <v>19.0</v>
      </c>
      <c r="AC417" s="1">
        <v>0.0</v>
      </c>
      <c r="AD417" s="1">
        <v>9.0</v>
      </c>
      <c r="AE417" s="1" t="s">
        <v>662</v>
      </c>
      <c r="AF417" s="1" t="s">
        <v>663</v>
      </c>
      <c r="AG417" s="1" t="s">
        <v>664</v>
      </c>
      <c r="AH417" s="1" t="s">
        <v>1284</v>
      </c>
      <c r="AI417" s="1" t="s">
        <v>68</v>
      </c>
      <c r="AJ417" s="1" t="s">
        <v>68</v>
      </c>
      <c r="AK417" s="1" t="s">
        <v>1285</v>
      </c>
      <c r="AL417" s="1" t="s">
        <v>1286</v>
      </c>
      <c r="AM417" s="1" t="s">
        <v>8572</v>
      </c>
      <c r="AN417" s="1">
        <v>2021.0</v>
      </c>
      <c r="AO417" s="1">
        <v>14.0</v>
      </c>
      <c r="AP417" s="1">
        <v>1.0</v>
      </c>
      <c r="AQ417" s="1" t="s">
        <v>68</v>
      </c>
      <c r="AR417" s="1" t="s">
        <v>68</v>
      </c>
      <c r="AS417" s="1" t="s">
        <v>68</v>
      </c>
      <c r="AT417" s="1" t="s">
        <v>68</v>
      </c>
      <c r="AU417" s="1" t="s">
        <v>68</v>
      </c>
      <c r="AV417" s="1" t="s">
        <v>68</v>
      </c>
      <c r="AW417" s="1">
        <v>375.0</v>
      </c>
      <c r="AX417" s="1" t="s">
        <v>8573</v>
      </c>
      <c r="AY417" s="3" t="str">
        <f>HYPERLINK("http://dx.doi.org/10.1186/s13071-021-04874-4","http://dx.doi.org/10.1186/s13071-021-04874-4")</f>
        <v>http://dx.doi.org/10.1186/s13071-021-04874-4</v>
      </c>
      <c r="AZ417" s="1" t="s">
        <v>68</v>
      </c>
      <c r="BA417" s="1" t="s">
        <v>68</v>
      </c>
      <c r="BB417" s="1">
        <v>12.0</v>
      </c>
      <c r="BC417" s="1" t="s">
        <v>1289</v>
      </c>
      <c r="BD417" s="1" t="s">
        <v>92</v>
      </c>
      <c r="BE417" s="1" t="s">
        <v>1289</v>
      </c>
      <c r="BF417" s="1" t="s">
        <v>8574</v>
      </c>
      <c r="BG417" s="1">
        <v>3.4311767E7</v>
      </c>
      <c r="BH417" s="1" t="s">
        <v>94</v>
      </c>
      <c r="BI417" s="1" t="s">
        <v>68</v>
      </c>
      <c r="BJ417" s="1" t="s">
        <v>68</v>
      </c>
      <c r="BK417" s="1" t="s">
        <v>95</v>
      </c>
      <c r="BL417" s="1" t="s">
        <v>8575</v>
      </c>
      <c r="BM417" s="1" t="str">
        <f>HYPERLINK("https%3A%2F%2Fwww.webofscience.com%2Fwos%2Fwoscc%2Ffull-record%2FWOS:000680863100001","View Full Record in Web of Science")</f>
        <v>View Full Record in Web of Science</v>
      </c>
    </row>
    <row r="418" ht="12.75" customHeight="1">
      <c r="A418" s="1" t="s">
        <v>65</v>
      </c>
      <c r="B418" s="1" t="s">
        <v>8576</v>
      </c>
      <c r="C418" s="1" t="s">
        <v>8577</v>
      </c>
      <c r="D418" s="1" t="s">
        <v>68</v>
      </c>
      <c r="E418" s="1" t="s">
        <v>8578</v>
      </c>
      <c r="F418" s="1" t="s">
        <v>1518</v>
      </c>
      <c r="G418" s="1" t="s">
        <v>68</v>
      </c>
      <c r="H418" s="1" t="s">
        <v>71</v>
      </c>
      <c r="I418" s="1" t="s">
        <v>72</v>
      </c>
      <c r="J418" s="1" t="s">
        <v>68</v>
      </c>
      <c r="K418" s="1" t="s">
        <v>68</v>
      </c>
      <c r="L418" s="1" t="s">
        <v>68</v>
      </c>
      <c r="M418" s="1" t="s">
        <v>68</v>
      </c>
      <c r="N418" s="1" t="s">
        <v>8579</v>
      </c>
      <c r="O418" s="1" t="s">
        <v>8580</v>
      </c>
      <c r="P418" s="1" t="s">
        <v>8581</v>
      </c>
      <c r="Q418" s="1" t="s">
        <v>8582</v>
      </c>
      <c r="R418" s="1" t="s">
        <v>8583</v>
      </c>
      <c r="S418" s="1" t="s">
        <v>8584</v>
      </c>
      <c r="T418" s="1" t="s">
        <v>8585</v>
      </c>
      <c r="U418" s="1" t="s">
        <v>68</v>
      </c>
      <c r="V418" s="1" t="s">
        <v>8586</v>
      </c>
      <c r="W418" s="1" t="s">
        <v>8587</v>
      </c>
      <c r="X418" s="1" t="s">
        <v>8587</v>
      </c>
      <c r="Y418" s="1" t="s">
        <v>8588</v>
      </c>
      <c r="Z418" s="1">
        <v>55.0</v>
      </c>
      <c r="AA418" s="1">
        <v>0.0</v>
      </c>
      <c r="AB418" s="1">
        <v>0.0</v>
      </c>
      <c r="AC418" s="1">
        <v>0.0</v>
      </c>
      <c r="AD418" s="1">
        <v>0.0</v>
      </c>
      <c r="AE418" s="1" t="s">
        <v>1527</v>
      </c>
      <c r="AF418" s="1" t="s">
        <v>663</v>
      </c>
      <c r="AG418" s="1" t="s">
        <v>1528</v>
      </c>
      <c r="AH418" s="1" t="s">
        <v>1529</v>
      </c>
      <c r="AI418" s="1" t="s">
        <v>68</v>
      </c>
      <c r="AJ418" s="1" t="s">
        <v>68</v>
      </c>
      <c r="AK418" s="1" t="s">
        <v>1530</v>
      </c>
      <c r="AL418" s="1" t="s">
        <v>1531</v>
      </c>
      <c r="AM418" s="1" t="s">
        <v>68</v>
      </c>
      <c r="AN418" s="1">
        <v>2025.0</v>
      </c>
      <c r="AO418" s="1">
        <v>10.0</v>
      </c>
      <c r="AP418" s="1">
        <v>1.0</v>
      </c>
      <c r="AQ418" s="1" t="s">
        <v>68</v>
      </c>
      <c r="AR418" s="1" t="s">
        <v>68</v>
      </c>
      <c r="AS418" s="1" t="s">
        <v>68</v>
      </c>
      <c r="AT418" s="1" t="s">
        <v>68</v>
      </c>
      <c r="AU418" s="1" t="s">
        <v>68</v>
      </c>
      <c r="AV418" s="1" t="s">
        <v>68</v>
      </c>
      <c r="AW418" s="1">
        <v>15.0</v>
      </c>
      <c r="AX418" s="1" t="s">
        <v>8589</v>
      </c>
      <c r="AY418" s="3" t="str">
        <f>HYPERLINK("http://dx.doi.org/10.5334/cstp.766","http://dx.doi.org/10.5334/cstp.766")</f>
        <v>http://dx.doi.org/10.5334/cstp.766</v>
      </c>
      <c r="AZ418" s="1" t="s">
        <v>68</v>
      </c>
      <c r="BA418" s="1" t="s">
        <v>68</v>
      </c>
      <c r="BB418" s="1">
        <v>16.0</v>
      </c>
      <c r="BC418" s="1" t="s">
        <v>1533</v>
      </c>
      <c r="BD418" s="1" t="s">
        <v>197</v>
      </c>
      <c r="BE418" s="1" t="s">
        <v>1534</v>
      </c>
      <c r="BF418" s="1" t="s">
        <v>8590</v>
      </c>
      <c r="BG418" s="1" t="s">
        <v>68</v>
      </c>
      <c r="BH418" s="1" t="s">
        <v>94</v>
      </c>
      <c r="BI418" s="1" t="s">
        <v>68</v>
      </c>
      <c r="BJ418" s="1" t="s">
        <v>68</v>
      </c>
      <c r="BK418" s="1" t="s">
        <v>95</v>
      </c>
      <c r="BL418" s="1" t="s">
        <v>8591</v>
      </c>
      <c r="BM418" s="1" t="str">
        <f>HYPERLINK("https%3A%2F%2Fwww.webofscience.com%2Fwos%2Fwoscc%2Ffull-record%2FWOS:001558117500011","View Full Record in Web of Science")</f>
        <v>View Full Record in Web of Science</v>
      </c>
    </row>
    <row r="419" ht="12.75" customHeight="1">
      <c r="A419" s="1" t="s">
        <v>65</v>
      </c>
      <c r="B419" s="1" t="s">
        <v>8592</v>
      </c>
      <c r="C419" s="1" t="s">
        <v>8593</v>
      </c>
      <c r="D419" s="1" t="s">
        <v>68</v>
      </c>
      <c r="E419" s="1" t="s">
        <v>8594</v>
      </c>
      <c r="F419" s="1" t="s">
        <v>1271</v>
      </c>
      <c r="G419" s="1" t="s">
        <v>68</v>
      </c>
      <c r="H419" s="1" t="s">
        <v>71</v>
      </c>
      <c r="I419" s="1" t="s">
        <v>72</v>
      </c>
      <c r="J419" s="1" t="s">
        <v>68</v>
      </c>
      <c r="K419" s="1" t="s">
        <v>68</v>
      </c>
      <c r="L419" s="1" t="s">
        <v>68</v>
      </c>
      <c r="M419" s="1" t="s">
        <v>68</v>
      </c>
      <c r="N419" s="1" t="s">
        <v>8595</v>
      </c>
      <c r="O419" s="1" t="s">
        <v>8596</v>
      </c>
      <c r="P419" s="1" t="s">
        <v>8597</v>
      </c>
      <c r="Q419" s="1" t="s">
        <v>8598</v>
      </c>
      <c r="R419" s="1" t="s">
        <v>8599</v>
      </c>
      <c r="S419" s="1" t="s">
        <v>8600</v>
      </c>
      <c r="T419" s="1" t="s">
        <v>8601</v>
      </c>
      <c r="U419" s="1" t="s">
        <v>8602</v>
      </c>
      <c r="V419" s="1" t="s">
        <v>68</v>
      </c>
      <c r="W419" s="1" t="s">
        <v>8603</v>
      </c>
      <c r="X419" s="1" t="s">
        <v>8603</v>
      </c>
      <c r="Y419" s="1" t="s">
        <v>8604</v>
      </c>
      <c r="Z419" s="1">
        <v>59.0</v>
      </c>
      <c r="AA419" s="1">
        <v>3.0</v>
      </c>
      <c r="AB419" s="1">
        <v>3.0</v>
      </c>
      <c r="AC419" s="1">
        <v>5.0</v>
      </c>
      <c r="AD419" s="1">
        <v>10.0</v>
      </c>
      <c r="AE419" s="1" t="s">
        <v>662</v>
      </c>
      <c r="AF419" s="1" t="s">
        <v>663</v>
      </c>
      <c r="AG419" s="1" t="s">
        <v>664</v>
      </c>
      <c r="AH419" s="1" t="s">
        <v>1284</v>
      </c>
      <c r="AI419" s="1" t="s">
        <v>68</v>
      </c>
      <c r="AJ419" s="1" t="s">
        <v>68</v>
      </c>
      <c r="AK419" s="1" t="s">
        <v>1285</v>
      </c>
      <c r="AL419" s="1" t="s">
        <v>1286</v>
      </c>
      <c r="AM419" s="1" t="s">
        <v>8605</v>
      </c>
      <c r="AN419" s="1">
        <v>2025.0</v>
      </c>
      <c r="AO419" s="1">
        <v>18.0</v>
      </c>
      <c r="AP419" s="1">
        <v>1.0</v>
      </c>
      <c r="AQ419" s="1" t="s">
        <v>68</v>
      </c>
      <c r="AR419" s="1" t="s">
        <v>68</v>
      </c>
      <c r="AS419" s="1" t="s">
        <v>68</v>
      </c>
      <c r="AT419" s="1" t="s">
        <v>68</v>
      </c>
      <c r="AU419" s="1" t="s">
        <v>68</v>
      </c>
      <c r="AV419" s="1" t="s">
        <v>68</v>
      </c>
      <c r="AW419" s="1">
        <v>233.0</v>
      </c>
      <c r="AX419" s="1" t="s">
        <v>8606</v>
      </c>
      <c r="AY419" s="3" t="str">
        <f>HYPERLINK("http://dx.doi.org/10.1186/s13071-025-06882-0","http://dx.doi.org/10.1186/s13071-025-06882-0")</f>
        <v>http://dx.doi.org/10.1186/s13071-025-06882-0</v>
      </c>
      <c r="AZ419" s="1" t="s">
        <v>68</v>
      </c>
      <c r="BA419" s="1" t="s">
        <v>68</v>
      </c>
      <c r="BB419" s="1">
        <v>8.0</v>
      </c>
      <c r="BC419" s="1" t="s">
        <v>1289</v>
      </c>
      <c r="BD419" s="1" t="s">
        <v>92</v>
      </c>
      <c r="BE419" s="1" t="s">
        <v>1289</v>
      </c>
      <c r="BF419" s="1" t="s">
        <v>8607</v>
      </c>
      <c r="BG419" s="1">
        <v>4.0542375E7</v>
      </c>
      <c r="BH419" s="1" t="s">
        <v>94</v>
      </c>
      <c r="BI419" s="1" t="s">
        <v>68</v>
      </c>
      <c r="BJ419" s="1" t="s">
        <v>68</v>
      </c>
      <c r="BK419" s="1" t="s">
        <v>95</v>
      </c>
      <c r="BL419" s="1" t="s">
        <v>8608</v>
      </c>
      <c r="BM419" s="1" t="str">
        <f>HYPERLINK("https%3A%2F%2Fwww.webofscience.com%2Fwos%2Fwoscc%2Ffull-record%2FWOS:001512786300006","View Full Record in Web of Science")</f>
        <v>View Full Record in Web of Science</v>
      </c>
    </row>
    <row r="420" ht="12.75" customHeight="1">
      <c r="A420" s="1" t="s">
        <v>65</v>
      </c>
      <c r="B420" s="1" t="s">
        <v>8609</v>
      </c>
      <c r="C420" s="1" t="s">
        <v>8610</v>
      </c>
      <c r="D420" s="1" t="s">
        <v>68</v>
      </c>
      <c r="E420" s="1" t="s">
        <v>8611</v>
      </c>
      <c r="F420" s="1" t="s">
        <v>3902</v>
      </c>
      <c r="G420" s="1" t="s">
        <v>68</v>
      </c>
      <c r="H420" s="1" t="s">
        <v>71</v>
      </c>
      <c r="I420" s="1" t="s">
        <v>1609</v>
      </c>
      <c r="J420" s="1" t="s">
        <v>68</v>
      </c>
      <c r="K420" s="1" t="s">
        <v>68</v>
      </c>
      <c r="L420" s="1" t="s">
        <v>68</v>
      </c>
      <c r="M420" s="1" t="s">
        <v>68</v>
      </c>
      <c r="N420" s="1" t="s">
        <v>8612</v>
      </c>
      <c r="O420" s="1" t="s">
        <v>68</v>
      </c>
      <c r="P420" s="1" t="s">
        <v>8613</v>
      </c>
      <c r="Q420" s="1" t="s">
        <v>8614</v>
      </c>
      <c r="R420" s="1" t="s">
        <v>8615</v>
      </c>
      <c r="S420" s="1" t="s">
        <v>8616</v>
      </c>
      <c r="T420" s="1" t="s">
        <v>8617</v>
      </c>
      <c r="U420" s="1" t="s">
        <v>68</v>
      </c>
      <c r="V420" s="1" t="s">
        <v>8618</v>
      </c>
      <c r="W420" s="1" t="s">
        <v>8619</v>
      </c>
      <c r="X420" s="1" t="s">
        <v>8620</v>
      </c>
      <c r="Y420" s="1" t="s">
        <v>8621</v>
      </c>
      <c r="Z420" s="1">
        <v>30.0</v>
      </c>
      <c r="AA420" s="1">
        <v>0.0</v>
      </c>
      <c r="AB420" s="1">
        <v>0.0</v>
      </c>
      <c r="AC420" s="1">
        <v>1.0</v>
      </c>
      <c r="AD420" s="1">
        <v>1.0</v>
      </c>
      <c r="AE420" s="1" t="s">
        <v>3912</v>
      </c>
      <c r="AF420" s="1" t="s">
        <v>3913</v>
      </c>
      <c r="AG420" s="1" t="s">
        <v>3914</v>
      </c>
      <c r="AH420" s="1" t="s">
        <v>3915</v>
      </c>
      <c r="AI420" s="1" t="s">
        <v>3916</v>
      </c>
      <c r="AJ420" s="1" t="s">
        <v>68</v>
      </c>
      <c r="AK420" s="1" t="s">
        <v>3917</v>
      </c>
      <c r="AL420" s="1" t="s">
        <v>3918</v>
      </c>
      <c r="AM420" s="1" t="s">
        <v>8622</v>
      </c>
      <c r="AN420" s="1">
        <v>2025.0</v>
      </c>
      <c r="AO420" s="1" t="s">
        <v>68</v>
      </c>
      <c r="AP420" s="1" t="s">
        <v>68</v>
      </c>
      <c r="AQ420" s="1" t="s">
        <v>68</v>
      </c>
      <c r="AR420" s="1" t="s">
        <v>68</v>
      </c>
      <c r="AS420" s="1" t="s">
        <v>68</v>
      </c>
      <c r="AT420" s="1" t="s">
        <v>68</v>
      </c>
      <c r="AU420" s="1" t="s">
        <v>68</v>
      </c>
      <c r="AV420" s="1" t="s">
        <v>68</v>
      </c>
      <c r="AW420" s="1" t="s">
        <v>68</v>
      </c>
      <c r="AX420" s="1" t="s">
        <v>8623</v>
      </c>
      <c r="AY420" s="3" t="str">
        <f>HYPERLINK("http://dx.doi.org/10.1089/env.2024.0086","http://dx.doi.org/10.1089/env.2024.0086")</f>
        <v>http://dx.doi.org/10.1089/env.2024.0086</v>
      </c>
      <c r="AZ420" s="1" t="s">
        <v>68</v>
      </c>
      <c r="BA420" s="1" t="s">
        <v>8428</v>
      </c>
      <c r="BB420" s="1">
        <v>8.0</v>
      </c>
      <c r="BC420" s="1" t="s">
        <v>3920</v>
      </c>
      <c r="BD420" s="1" t="s">
        <v>197</v>
      </c>
      <c r="BE420" s="1" t="s">
        <v>333</v>
      </c>
      <c r="BF420" s="1" t="s">
        <v>8624</v>
      </c>
      <c r="BG420" s="1" t="s">
        <v>68</v>
      </c>
      <c r="BH420" s="1" t="s">
        <v>867</v>
      </c>
      <c r="BI420" s="1" t="s">
        <v>68</v>
      </c>
      <c r="BJ420" s="1" t="s">
        <v>68</v>
      </c>
      <c r="BK420" s="1" t="s">
        <v>95</v>
      </c>
      <c r="BL420" s="1" t="s">
        <v>8625</v>
      </c>
      <c r="BM420" s="1" t="str">
        <f>HYPERLINK("https%3A%2F%2Fwww.webofscience.com%2Fwos%2Fwoscc%2Ffull-record%2FWOS:001511122600001","View Full Record in Web of Science")</f>
        <v>View Full Record in Web of Science</v>
      </c>
    </row>
    <row r="421" ht="12.75" customHeight="1">
      <c r="A421" s="1" t="s">
        <v>65</v>
      </c>
      <c r="B421" s="1" t="s">
        <v>8626</v>
      </c>
      <c r="C421" s="1" t="s">
        <v>8627</v>
      </c>
      <c r="D421" s="1" t="s">
        <v>68</v>
      </c>
      <c r="E421" s="1" t="s">
        <v>8628</v>
      </c>
      <c r="F421" s="1" t="s">
        <v>826</v>
      </c>
      <c r="G421" s="1" t="s">
        <v>68</v>
      </c>
      <c r="H421" s="1" t="s">
        <v>71</v>
      </c>
      <c r="I421" s="1" t="s">
        <v>72</v>
      </c>
      <c r="J421" s="1" t="s">
        <v>68</v>
      </c>
      <c r="K421" s="1" t="s">
        <v>68</v>
      </c>
      <c r="L421" s="1" t="s">
        <v>68</v>
      </c>
      <c r="M421" s="1" t="s">
        <v>68</v>
      </c>
      <c r="N421" s="1" t="s">
        <v>8629</v>
      </c>
      <c r="O421" s="1" t="s">
        <v>8630</v>
      </c>
      <c r="P421" s="1" t="s">
        <v>8631</v>
      </c>
      <c r="Q421" s="1" t="s">
        <v>8632</v>
      </c>
      <c r="R421" s="1" t="s">
        <v>8633</v>
      </c>
      <c r="S421" s="1" t="s">
        <v>8634</v>
      </c>
      <c r="T421" s="1" t="s">
        <v>8635</v>
      </c>
      <c r="U421" s="1" t="s">
        <v>8636</v>
      </c>
      <c r="V421" s="1" t="s">
        <v>8637</v>
      </c>
      <c r="W421" s="1" t="s">
        <v>8638</v>
      </c>
      <c r="X421" s="1" t="s">
        <v>8638</v>
      </c>
      <c r="Y421" s="1" t="s">
        <v>8639</v>
      </c>
      <c r="Z421" s="1">
        <v>71.0</v>
      </c>
      <c r="AA421" s="1">
        <v>0.0</v>
      </c>
      <c r="AB421" s="1">
        <v>0.0</v>
      </c>
      <c r="AC421" s="1">
        <v>1.0</v>
      </c>
      <c r="AD421" s="1">
        <v>4.0</v>
      </c>
      <c r="AE421" s="1" t="s">
        <v>838</v>
      </c>
      <c r="AF421" s="1" t="s">
        <v>839</v>
      </c>
      <c r="AG421" s="1" t="s">
        <v>840</v>
      </c>
      <c r="AH421" s="1" t="s">
        <v>841</v>
      </c>
      <c r="AI421" s="1" t="s">
        <v>68</v>
      </c>
      <c r="AJ421" s="1" t="s">
        <v>68</v>
      </c>
      <c r="AK421" s="1" t="s">
        <v>842</v>
      </c>
      <c r="AL421" s="1" t="s">
        <v>843</v>
      </c>
      <c r="AM421" s="1" t="s">
        <v>3259</v>
      </c>
      <c r="AN421" s="1">
        <v>2025.0</v>
      </c>
      <c r="AO421" s="1">
        <v>15.0</v>
      </c>
      <c r="AP421" s="1">
        <v>1.0</v>
      </c>
      <c r="AQ421" s="1" t="s">
        <v>68</v>
      </c>
      <c r="AR421" s="1" t="s">
        <v>68</v>
      </c>
      <c r="AS421" s="1" t="s">
        <v>68</v>
      </c>
      <c r="AT421" s="1" t="s">
        <v>68</v>
      </c>
      <c r="AU421" s="1" t="s">
        <v>68</v>
      </c>
      <c r="AV421" s="1" t="s">
        <v>68</v>
      </c>
      <c r="AW421" s="1">
        <v>2730.0</v>
      </c>
      <c r="AX421" s="1" t="s">
        <v>8640</v>
      </c>
      <c r="AY421" s="3" t="str">
        <f>HYPERLINK("http://dx.doi.org/10.1038/s41598-024-80171-1","http://dx.doi.org/10.1038/s41598-024-80171-1")</f>
        <v>http://dx.doi.org/10.1038/s41598-024-80171-1</v>
      </c>
      <c r="AZ421" s="1" t="s">
        <v>68</v>
      </c>
      <c r="BA421" s="1" t="s">
        <v>68</v>
      </c>
      <c r="BB421" s="1">
        <v>14.0</v>
      </c>
      <c r="BC421" s="1" t="s">
        <v>742</v>
      </c>
      <c r="BD421" s="1" t="s">
        <v>92</v>
      </c>
      <c r="BE421" s="1" t="s">
        <v>743</v>
      </c>
      <c r="BF421" s="1" t="s">
        <v>8641</v>
      </c>
      <c r="BG421" s="1">
        <v>3.9837999E7</v>
      </c>
      <c r="BH421" s="1" t="s">
        <v>94</v>
      </c>
      <c r="BI421" s="1" t="s">
        <v>68</v>
      </c>
      <c r="BJ421" s="1" t="s">
        <v>68</v>
      </c>
      <c r="BK421" s="1" t="s">
        <v>95</v>
      </c>
      <c r="BL421" s="1" t="s">
        <v>8642</v>
      </c>
      <c r="BM421" s="1" t="str">
        <f>HYPERLINK("https%3A%2F%2Fwww.webofscience.com%2Fwos%2Fwoscc%2Ffull-record%2FWOS:001428071900005","View Full Record in Web of Science")</f>
        <v>View Full Record in Web of Science</v>
      </c>
    </row>
    <row r="422" ht="12.75" customHeight="1">
      <c r="A422" s="1" t="s">
        <v>65</v>
      </c>
      <c r="B422" s="1" t="s">
        <v>8643</v>
      </c>
      <c r="C422" s="1" t="s">
        <v>8644</v>
      </c>
      <c r="D422" s="1" t="s">
        <v>68</v>
      </c>
      <c r="E422" s="1" t="s">
        <v>8645</v>
      </c>
      <c r="F422" s="1" t="s">
        <v>1948</v>
      </c>
      <c r="G422" s="1" t="s">
        <v>68</v>
      </c>
      <c r="H422" s="1" t="s">
        <v>71</v>
      </c>
      <c r="I422" s="1" t="s">
        <v>72</v>
      </c>
      <c r="J422" s="1" t="s">
        <v>68</v>
      </c>
      <c r="K422" s="1" t="s">
        <v>68</v>
      </c>
      <c r="L422" s="1" t="s">
        <v>68</v>
      </c>
      <c r="M422" s="1" t="s">
        <v>68</v>
      </c>
      <c r="N422" s="1" t="s">
        <v>8646</v>
      </c>
      <c r="O422" s="1" t="s">
        <v>8647</v>
      </c>
      <c r="P422" s="1" t="s">
        <v>8648</v>
      </c>
      <c r="Q422" s="1" t="s">
        <v>8649</v>
      </c>
      <c r="R422" s="1" t="s">
        <v>8650</v>
      </c>
      <c r="S422" s="1" t="s">
        <v>8651</v>
      </c>
      <c r="T422" s="1" t="s">
        <v>8652</v>
      </c>
      <c r="U422" s="1" t="s">
        <v>8653</v>
      </c>
      <c r="V422" s="1" t="s">
        <v>8654</v>
      </c>
      <c r="W422" s="1" t="s">
        <v>8655</v>
      </c>
      <c r="X422" s="1" t="s">
        <v>8656</v>
      </c>
      <c r="Y422" s="1" t="s">
        <v>8657</v>
      </c>
      <c r="Z422" s="1">
        <v>45.0</v>
      </c>
      <c r="AA422" s="1">
        <v>3.0</v>
      </c>
      <c r="AB422" s="1">
        <v>3.0</v>
      </c>
      <c r="AC422" s="1">
        <v>1.0</v>
      </c>
      <c r="AD422" s="1">
        <v>6.0</v>
      </c>
      <c r="AE422" s="1" t="s">
        <v>1960</v>
      </c>
      <c r="AF422" s="1" t="s">
        <v>663</v>
      </c>
      <c r="AG422" s="1" t="s">
        <v>1961</v>
      </c>
      <c r="AH422" s="1" t="s">
        <v>1962</v>
      </c>
      <c r="AI422" s="1" t="s">
        <v>1963</v>
      </c>
      <c r="AJ422" s="1" t="s">
        <v>68</v>
      </c>
      <c r="AK422" s="1" t="s">
        <v>1964</v>
      </c>
      <c r="AL422" s="1" t="s">
        <v>1965</v>
      </c>
      <c r="AM422" s="1" t="s">
        <v>120</v>
      </c>
      <c r="AN422" s="1">
        <v>2024.0</v>
      </c>
      <c r="AO422" s="1">
        <v>372.0</v>
      </c>
      <c r="AP422" s="1" t="s">
        <v>68</v>
      </c>
      <c r="AQ422" s="1" t="s">
        <v>68</v>
      </c>
      <c r="AR422" s="1" t="s">
        <v>68</v>
      </c>
      <c r="AS422" s="1" t="s">
        <v>68</v>
      </c>
      <c r="AT422" s="1" t="s">
        <v>68</v>
      </c>
      <c r="AU422" s="1" t="s">
        <v>68</v>
      </c>
      <c r="AV422" s="1" t="s">
        <v>68</v>
      </c>
      <c r="AW422" s="1">
        <v>123414.0</v>
      </c>
      <c r="AX422" s="1" t="s">
        <v>8658</v>
      </c>
      <c r="AY422" s="3" t="str">
        <f>HYPERLINK("http://dx.doi.org/10.1016/j.jenvman.2024.123414","http://dx.doi.org/10.1016/j.jenvman.2024.123414")</f>
        <v>http://dx.doi.org/10.1016/j.jenvman.2024.123414</v>
      </c>
      <c r="AZ422" s="1" t="s">
        <v>68</v>
      </c>
      <c r="BA422" s="1" t="s">
        <v>2134</v>
      </c>
      <c r="BB422" s="1">
        <v>10.0</v>
      </c>
      <c r="BC422" s="1" t="s">
        <v>484</v>
      </c>
      <c r="BD422" s="1" t="s">
        <v>92</v>
      </c>
      <c r="BE422" s="1" t="s">
        <v>333</v>
      </c>
      <c r="BF422" s="1" t="s">
        <v>8659</v>
      </c>
      <c r="BG422" s="1">
        <v>3.9579573E7</v>
      </c>
      <c r="BH422" s="1" t="s">
        <v>867</v>
      </c>
      <c r="BI422" s="1" t="s">
        <v>68</v>
      </c>
      <c r="BJ422" s="1" t="s">
        <v>68</v>
      </c>
      <c r="BK422" s="1" t="s">
        <v>95</v>
      </c>
      <c r="BL422" s="1" t="s">
        <v>8660</v>
      </c>
      <c r="BM422" s="1" t="str">
        <f>HYPERLINK("https%3A%2F%2Fwww.webofscience.com%2Fwos%2Fwoscc%2Ffull-record%2FWOS:001363632000001","View Full Record in Web of Science")</f>
        <v>View Full Record in Web of Science</v>
      </c>
    </row>
    <row r="423" ht="12.75" customHeight="1">
      <c r="A423" s="1" t="s">
        <v>65</v>
      </c>
      <c r="B423" s="1" t="s">
        <v>8661</v>
      </c>
      <c r="C423" s="1" t="s">
        <v>8662</v>
      </c>
      <c r="D423" s="1" t="s">
        <v>68</v>
      </c>
      <c r="E423" s="1" t="s">
        <v>8663</v>
      </c>
      <c r="F423" s="1" t="s">
        <v>8664</v>
      </c>
      <c r="G423" s="1" t="s">
        <v>68</v>
      </c>
      <c r="H423" s="1" t="s">
        <v>71</v>
      </c>
      <c r="I423" s="1" t="s">
        <v>72</v>
      </c>
      <c r="J423" s="1" t="s">
        <v>68</v>
      </c>
      <c r="K423" s="1" t="s">
        <v>68</v>
      </c>
      <c r="L423" s="1" t="s">
        <v>68</v>
      </c>
      <c r="M423" s="1" t="s">
        <v>68</v>
      </c>
      <c r="N423" s="1" t="s">
        <v>8665</v>
      </c>
      <c r="O423" s="1" t="s">
        <v>8666</v>
      </c>
      <c r="P423" s="1" t="s">
        <v>8667</v>
      </c>
      <c r="Q423" s="1" t="s">
        <v>8668</v>
      </c>
      <c r="R423" s="1" t="s">
        <v>8669</v>
      </c>
      <c r="S423" s="1" t="s">
        <v>8670</v>
      </c>
      <c r="T423" s="1" t="s">
        <v>8671</v>
      </c>
      <c r="U423" s="1" t="s">
        <v>8672</v>
      </c>
      <c r="V423" s="1" t="s">
        <v>8673</v>
      </c>
      <c r="W423" s="1" t="s">
        <v>8674</v>
      </c>
      <c r="X423" s="1" t="s">
        <v>8675</v>
      </c>
      <c r="Y423" s="1" t="s">
        <v>8676</v>
      </c>
      <c r="Z423" s="1">
        <v>34.0</v>
      </c>
      <c r="AA423" s="1">
        <v>19.0</v>
      </c>
      <c r="AB423" s="1">
        <v>23.0</v>
      </c>
      <c r="AC423" s="1">
        <v>0.0</v>
      </c>
      <c r="AD423" s="1">
        <v>19.0</v>
      </c>
      <c r="AE423" s="1" t="s">
        <v>662</v>
      </c>
      <c r="AF423" s="1" t="s">
        <v>663</v>
      </c>
      <c r="AG423" s="1" t="s">
        <v>664</v>
      </c>
      <c r="AH423" s="1" t="s">
        <v>68</v>
      </c>
      <c r="AI423" s="1" t="s">
        <v>8677</v>
      </c>
      <c r="AJ423" s="1" t="s">
        <v>68</v>
      </c>
      <c r="AK423" s="1" t="s">
        <v>8678</v>
      </c>
      <c r="AL423" s="1" t="s">
        <v>8679</v>
      </c>
      <c r="AM423" s="1" t="s">
        <v>141</v>
      </c>
      <c r="AN423" s="1">
        <v>2022.0</v>
      </c>
      <c r="AO423" s="1">
        <v>21.0</v>
      </c>
      <c r="AP423" s="1">
        <v>1.0</v>
      </c>
      <c r="AQ423" s="1" t="s">
        <v>68</v>
      </c>
      <c r="AR423" s="1" t="s">
        <v>68</v>
      </c>
      <c r="AS423" s="1" t="s">
        <v>68</v>
      </c>
      <c r="AT423" s="1" t="s">
        <v>68</v>
      </c>
      <c r="AU423" s="1" t="s">
        <v>68</v>
      </c>
      <c r="AV423" s="1" t="s">
        <v>68</v>
      </c>
      <c r="AW423" s="1">
        <v>11.0</v>
      </c>
      <c r="AX423" s="1" t="s">
        <v>8680</v>
      </c>
      <c r="AY423" s="3" t="str">
        <f>HYPERLINK("http://dx.doi.org/10.1186/s12940-021-00826-8","http://dx.doi.org/10.1186/s12940-021-00826-8")</f>
        <v>http://dx.doi.org/10.1186/s12940-021-00826-8</v>
      </c>
      <c r="AZ423" s="1" t="s">
        <v>68</v>
      </c>
      <c r="BA423" s="1" t="s">
        <v>68</v>
      </c>
      <c r="BB423" s="1">
        <v>13.0</v>
      </c>
      <c r="BC423" s="1" t="s">
        <v>278</v>
      </c>
      <c r="BD423" s="1" t="s">
        <v>92</v>
      </c>
      <c r="BE423" s="1" t="s">
        <v>280</v>
      </c>
      <c r="BF423" s="1" t="s">
        <v>8681</v>
      </c>
      <c r="BG423" s="1">
        <v>3.5022033E7</v>
      </c>
      <c r="BH423" s="1" t="s">
        <v>1767</v>
      </c>
      <c r="BI423" s="1" t="s">
        <v>68</v>
      </c>
      <c r="BJ423" s="1" t="s">
        <v>68</v>
      </c>
      <c r="BK423" s="1" t="s">
        <v>95</v>
      </c>
      <c r="BL423" s="1" t="s">
        <v>8682</v>
      </c>
      <c r="BM423" s="1" t="str">
        <f>HYPERLINK("https%3A%2F%2Fwww.webofscience.com%2Fwos%2Fwoscc%2Ffull-record%2FWOS:000741995600001","View Full Record in Web of Science")</f>
        <v>View Full Record in Web of Science</v>
      </c>
    </row>
    <row r="424" ht="12.75" customHeight="1">
      <c r="A424" s="1" t="s">
        <v>65</v>
      </c>
      <c r="B424" s="1" t="s">
        <v>8683</v>
      </c>
      <c r="C424" s="1" t="s">
        <v>8684</v>
      </c>
      <c r="D424" s="1" t="s">
        <v>68</v>
      </c>
      <c r="E424" s="1" t="s">
        <v>8685</v>
      </c>
      <c r="F424" s="1" t="s">
        <v>2330</v>
      </c>
      <c r="G424" s="1" t="s">
        <v>68</v>
      </c>
      <c r="H424" s="1" t="s">
        <v>71</v>
      </c>
      <c r="I424" s="1" t="s">
        <v>72</v>
      </c>
      <c r="J424" s="1" t="s">
        <v>68</v>
      </c>
      <c r="K424" s="1" t="s">
        <v>68</v>
      </c>
      <c r="L424" s="1" t="s">
        <v>68</v>
      </c>
      <c r="M424" s="1" t="s">
        <v>68</v>
      </c>
      <c r="N424" s="1" t="s">
        <v>8686</v>
      </c>
      <c r="O424" s="1" t="s">
        <v>8687</v>
      </c>
      <c r="P424" s="1" t="s">
        <v>8688</v>
      </c>
      <c r="Q424" s="1" t="s">
        <v>8689</v>
      </c>
      <c r="R424" s="1" t="s">
        <v>8690</v>
      </c>
      <c r="S424" s="1" t="s">
        <v>8691</v>
      </c>
      <c r="T424" s="1" t="s">
        <v>8692</v>
      </c>
      <c r="U424" s="1" t="s">
        <v>8693</v>
      </c>
      <c r="V424" s="1" t="s">
        <v>8694</v>
      </c>
      <c r="W424" s="1" t="s">
        <v>8695</v>
      </c>
      <c r="X424" s="1" t="s">
        <v>8695</v>
      </c>
      <c r="Y424" s="1" t="s">
        <v>8696</v>
      </c>
      <c r="Z424" s="1">
        <v>73.0</v>
      </c>
      <c r="AA424" s="1">
        <v>12.0</v>
      </c>
      <c r="AB424" s="1">
        <v>13.0</v>
      </c>
      <c r="AC424" s="1">
        <v>1.0</v>
      </c>
      <c r="AD424" s="1">
        <v>4.0</v>
      </c>
      <c r="AE424" s="1" t="s">
        <v>953</v>
      </c>
      <c r="AF424" s="1" t="s">
        <v>423</v>
      </c>
      <c r="AG424" s="1" t="s">
        <v>954</v>
      </c>
      <c r="AH424" s="1" t="s">
        <v>2342</v>
      </c>
      <c r="AI424" s="1" t="s">
        <v>2343</v>
      </c>
      <c r="AJ424" s="1" t="s">
        <v>68</v>
      </c>
      <c r="AK424" s="1" t="s">
        <v>2344</v>
      </c>
      <c r="AL424" s="1" t="s">
        <v>2345</v>
      </c>
      <c r="AM424" s="1" t="s">
        <v>120</v>
      </c>
      <c r="AN424" s="1">
        <v>2022.0</v>
      </c>
      <c r="AO424" s="1">
        <v>185.0</v>
      </c>
      <c r="AP424" s="1" t="s">
        <v>68</v>
      </c>
      <c r="AQ424" s="1" t="s">
        <v>6590</v>
      </c>
      <c r="AR424" s="1" t="s">
        <v>68</v>
      </c>
      <c r="AS424" s="1" t="s">
        <v>68</v>
      </c>
      <c r="AT424" s="1" t="s">
        <v>68</v>
      </c>
      <c r="AU424" s="1" t="s">
        <v>68</v>
      </c>
      <c r="AV424" s="1" t="s">
        <v>68</v>
      </c>
      <c r="AW424" s="1">
        <v>114282.0</v>
      </c>
      <c r="AX424" s="1" t="s">
        <v>8697</v>
      </c>
      <c r="AY424" s="3" t="str">
        <f>HYPERLINK("http://dx.doi.org/10.1016/j.marpolbul.2022.114282","http://dx.doi.org/10.1016/j.marpolbul.2022.114282")</f>
        <v>http://dx.doi.org/10.1016/j.marpolbul.2022.114282</v>
      </c>
      <c r="AZ424" s="1" t="s">
        <v>68</v>
      </c>
      <c r="BA424" s="1" t="s">
        <v>6300</v>
      </c>
      <c r="BB424" s="1">
        <v>13.0</v>
      </c>
      <c r="BC424" s="1" t="s">
        <v>2349</v>
      </c>
      <c r="BD424" s="1" t="s">
        <v>92</v>
      </c>
      <c r="BE424" s="1" t="s">
        <v>2350</v>
      </c>
      <c r="BF424" s="1" t="s">
        <v>8698</v>
      </c>
      <c r="BG424" s="1">
        <v>3.6327931E7</v>
      </c>
      <c r="BH424" s="1" t="s">
        <v>68</v>
      </c>
      <c r="BI424" s="1" t="s">
        <v>68</v>
      </c>
      <c r="BJ424" s="1" t="s">
        <v>68</v>
      </c>
      <c r="BK424" s="1" t="s">
        <v>95</v>
      </c>
      <c r="BL424" s="1" t="s">
        <v>8699</v>
      </c>
      <c r="BM424" s="1" t="str">
        <f>HYPERLINK("https%3A%2F%2Fwww.webofscience.com%2Fwos%2Fwoscc%2Ffull-record%2FWOS:000882202800002","View Full Record in Web of Science")</f>
        <v>View Full Record in Web of Science</v>
      </c>
    </row>
    <row r="425" ht="12.75" customHeight="1">
      <c r="A425" s="1" t="s">
        <v>65</v>
      </c>
      <c r="B425" s="1" t="s">
        <v>8700</v>
      </c>
      <c r="C425" s="1" t="s">
        <v>8701</v>
      </c>
      <c r="D425" s="1" t="s">
        <v>68</v>
      </c>
      <c r="E425" s="1" t="s">
        <v>8702</v>
      </c>
      <c r="F425" s="1" t="s">
        <v>8703</v>
      </c>
      <c r="G425" s="1" t="s">
        <v>68</v>
      </c>
      <c r="H425" s="1" t="s">
        <v>71</v>
      </c>
      <c r="I425" s="1" t="s">
        <v>72</v>
      </c>
      <c r="J425" s="1" t="s">
        <v>68</v>
      </c>
      <c r="K425" s="1" t="s">
        <v>68</v>
      </c>
      <c r="L425" s="1" t="s">
        <v>68</v>
      </c>
      <c r="M425" s="1" t="s">
        <v>68</v>
      </c>
      <c r="N425" s="1" t="s">
        <v>8704</v>
      </c>
      <c r="O425" s="1" t="s">
        <v>8705</v>
      </c>
      <c r="P425" s="1" t="s">
        <v>8706</v>
      </c>
      <c r="Q425" s="1" t="s">
        <v>8707</v>
      </c>
      <c r="R425" s="1" t="s">
        <v>8708</v>
      </c>
      <c r="S425" s="1" t="s">
        <v>8709</v>
      </c>
      <c r="T425" s="1" t="s">
        <v>8710</v>
      </c>
      <c r="U425" s="1" t="s">
        <v>8711</v>
      </c>
      <c r="V425" s="1" t="s">
        <v>8712</v>
      </c>
      <c r="W425" s="1" t="s">
        <v>8713</v>
      </c>
      <c r="X425" s="1" t="s">
        <v>8713</v>
      </c>
      <c r="Y425" s="1" t="s">
        <v>8714</v>
      </c>
      <c r="Z425" s="1">
        <v>29.0</v>
      </c>
      <c r="AA425" s="1">
        <v>7.0</v>
      </c>
      <c r="AB425" s="1">
        <v>7.0</v>
      </c>
      <c r="AC425" s="1">
        <v>2.0</v>
      </c>
      <c r="AD425" s="1">
        <v>14.0</v>
      </c>
      <c r="AE425" s="1" t="s">
        <v>422</v>
      </c>
      <c r="AF425" s="1" t="s">
        <v>423</v>
      </c>
      <c r="AG425" s="1" t="s">
        <v>424</v>
      </c>
      <c r="AH425" s="1" t="s">
        <v>8715</v>
      </c>
      <c r="AI425" s="1" t="s">
        <v>8716</v>
      </c>
      <c r="AJ425" s="1" t="s">
        <v>68</v>
      </c>
      <c r="AK425" s="1" t="s">
        <v>8717</v>
      </c>
      <c r="AL425" s="1" t="s">
        <v>8718</v>
      </c>
      <c r="AM425" s="1" t="s">
        <v>1169</v>
      </c>
      <c r="AN425" s="1">
        <v>2019.0</v>
      </c>
      <c r="AO425" s="1">
        <v>39.0</v>
      </c>
      <c r="AP425" s="1">
        <v>2.0</v>
      </c>
      <c r="AQ425" s="1" t="s">
        <v>68</v>
      </c>
      <c r="AR425" s="1" t="s">
        <v>68</v>
      </c>
      <c r="AS425" s="1" t="s">
        <v>68</v>
      </c>
      <c r="AT425" s="1" t="s">
        <v>68</v>
      </c>
      <c r="AU425" s="1">
        <v>189.0</v>
      </c>
      <c r="AV425" s="1">
        <v>192.0</v>
      </c>
      <c r="AW425" s="1" t="s">
        <v>68</v>
      </c>
      <c r="AX425" s="1" t="s">
        <v>8719</v>
      </c>
      <c r="AY425" s="3" t="str">
        <f>HYPERLINK("http://dx.doi.org/10.1093/jcbiol/ruy116","http://dx.doi.org/10.1093/jcbiol/ruy116")</f>
        <v>http://dx.doi.org/10.1093/jcbiol/ruy116</v>
      </c>
      <c r="AZ425" s="1" t="s">
        <v>68</v>
      </c>
      <c r="BA425" s="1" t="s">
        <v>68</v>
      </c>
      <c r="BB425" s="1">
        <v>4.0</v>
      </c>
      <c r="BC425" s="1" t="s">
        <v>6666</v>
      </c>
      <c r="BD425" s="1" t="s">
        <v>92</v>
      </c>
      <c r="BE425" s="1" t="s">
        <v>6666</v>
      </c>
      <c r="BF425" s="1" t="s">
        <v>8720</v>
      </c>
      <c r="BG425" s="1" t="s">
        <v>68</v>
      </c>
      <c r="BH425" s="1" t="s">
        <v>68</v>
      </c>
      <c r="BI425" s="1" t="s">
        <v>68</v>
      </c>
      <c r="BJ425" s="1" t="s">
        <v>68</v>
      </c>
      <c r="BK425" s="1" t="s">
        <v>95</v>
      </c>
      <c r="BL425" s="1" t="s">
        <v>8721</v>
      </c>
      <c r="BM425" s="1" t="str">
        <f>HYPERLINK("https%3A%2F%2Fwww.webofscience.com%2Fwos%2Fwoscc%2Ffull-record%2FWOS:000464943100012","View Full Record in Web of Science")</f>
        <v>View Full Record in Web of Science</v>
      </c>
    </row>
    <row r="426" ht="12.75" customHeight="1">
      <c r="A426" s="1" t="s">
        <v>65</v>
      </c>
      <c r="B426" s="1" t="s">
        <v>8722</v>
      </c>
      <c r="C426" s="1" t="s">
        <v>8723</v>
      </c>
      <c r="D426" s="1" t="s">
        <v>68</v>
      </c>
      <c r="E426" s="1" t="s">
        <v>8724</v>
      </c>
      <c r="F426" s="1" t="s">
        <v>2330</v>
      </c>
      <c r="G426" s="1" t="s">
        <v>68</v>
      </c>
      <c r="H426" s="1" t="s">
        <v>71</v>
      </c>
      <c r="I426" s="1" t="s">
        <v>72</v>
      </c>
      <c r="J426" s="1" t="s">
        <v>68</v>
      </c>
      <c r="K426" s="1" t="s">
        <v>68</v>
      </c>
      <c r="L426" s="1" t="s">
        <v>68</v>
      </c>
      <c r="M426" s="1" t="s">
        <v>68</v>
      </c>
      <c r="N426" s="1" t="s">
        <v>8725</v>
      </c>
      <c r="O426" s="1" t="s">
        <v>8726</v>
      </c>
      <c r="P426" s="1" t="s">
        <v>8727</v>
      </c>
      <c r="Q426" s="1" t="s">
        <v>8728</v>
      </c>
      <c r="R426" s="1" t="s">
        <v>8729</v>
      </c>
      <c r="S426" s="1" t="s">
        <v>8730</v>
      </c>
      <c r="T426" s="1" t="s">
        <v>8731</v>
      </c>
      <c r="U426" s="1" t="s">
        <v>8732</v>
      </c>
      <c r="V426" s="1" t="s">
        <v>8733</v>
      </c>
      <c r="W426" s="1" t="s">
        <v>8734</v>
      </c>
      <c r="X426" s="1" t="s">
        <v>8734</v>
      </c>
      <c r="Y426" s="1" t="s">
        <v>8735</v>
      </c>
      <c r="Z426" s="1">
        <v>49.0</v>
      </c>
      <c r="AA426" s="1">
        <v>2.0</v>
      </c>
      <c r="AB426" s="1">
        <v>2.0</v>
      </c>
      <c r="AC426" s="1">
        <v>2.0</v>
      </c>
      <c r="AD426" s="1">
        <v>6.0</v>
      </c>
      <c r="AE426" s="1" t="s">
        <v>953</v>
      </c>
      <c r="AF426" s="1" t="s">
        <v>423</v>
      </c>
      <c r="AG426" s="1" t="s">
        <v>954</v>
      </c>
      <c r="AH426" s="1" t="s">
        <v>2342</v>
      </c>
      <c r="AI426" s="1" t="s">
        <v>2343</v>
      </c>
      <c r="AJ426" s="1" t="s">
        <v>68</v>
      </c>
      <c r="AK426" s="1" t="s">
        <v>2344</v>
      </c>
      <c r="AL426" s="1" t="s">
        <v>2345</v>
      </c>
      <c r="AM426" s="1" t="s">
        <v>1264</v>
      </c>
      <c r="AN426" s="1">
        <v>2024.0</v>
      </c>
      <c r="AO426" s="1">
        <v>208.0</v>
      </c>
      <c r="AP426" s="1" t="s">
        <v>68</v>
      </c>
      <c r="AQ426" s="1" t="s">
        <v>68</v>
      </c>
      <c r="AR426" s="1" t="s">
        <v>68</v>
      </c>
      <c r="AS426" s="1" t="s">
        <v>68</v>
      </c>
      <c r="AT426" s="1" t="s">
        <v>68</v>
      </c>
      <c r="AU426" s="1" t="s">
        <v>68</v>
      </c>
      <c r="AV426" s="1" t="s">
        <v>68</v>
      </c>
      <c r="AW426" s="1">
        <v>117033.0</v>
      </c>
      <c r="AX426" s="1" t="s">
        <v>8736</v>
      </c>
      <c r="AY426" s="3" t="str">
        <f>HYPERLINK("http://dx.doi.org/10.1016/j.marpolbul.2024.117033","http://dx.doi.org/10.1016/j.marpolbul.2024.117033")</f>
        <v>http://dx.doi.org/10.1016/j.marpolbul.2024.117033</v>
      </c>
      <c r="AZ426" s="1" t="s">
        <v>68</v>
      </c>
      <c r="BA426" s="1" t="s">
        <v>3609</v>
      </c>
      <c r="BB426" s="1">
        <v>13.0</v>
      </c>
      <c r="BC426" s="1" t="s">
        <v>2349</v>
      </c>
      <c r="BD426" s="1" t="s">
        <v>92</v>
      </c>
      <c r="BE426" s="1" t="s">
        <v>2350</v>
      </c>
      <c r="BF426" s="1" t="s">
        <v>8737</v>
      </c>
      <c r="BG426" s="1">
        <v>3.9368146E7</v>
      </c>
      <c r="BH426" s="1" t="s">
        <v>68</v>
      </c>
      <c r="BI426" s="1" t="s">
        <v>68</v>
      </c>
      <c r="BJ426" s="1" t="s">
        <v>68</v>
      </c>
      <c r="BK426" s="1" t="s">
        <v>95</v>
      </c>
      <c r="BL426" s="1" t="s">
        <v>8738</v>
      </c>
      <c r="BM426" s="1" t="str">
        <f>HYPERLINK("https%3A%2F%2Fwww.webofscience.com%2Fwos%2Fwoscc%2Ffull-record%2FWOS:001332910400001","View Full Record in Web of Science")</f>
        <v>View Full Record in Web of Science</v>
      </c>
    </row>
    <row r="427" ht="12.75" customHeight="1">
      <c r="A427" s="1" t="s">
        <v>65</v>
      </c>
      <c r="B427" s="1" t="s">
        <v>8739</v>
      </c>
      <c r="C427" s="1" t="s">
        <v>8740</v>
      </c>
      <c r="D427" s="1" t="s">
        <v>68</v>
      </c>
      <c r="E427" s="1" t="s">
        <v>8741</v>
      </c>
      <c r="F427" s="1" t="s">
        <v>4573</v>
      </c>
      <c r="G427" s="1" t="s">
        <v>68</v>
      </c>
      <c r="H427" s="1" t="s">
        <v>71</v>
      </c>
      <c r="I427" s="1" t="s">
        <v>72</v>
      </c>
      <c r="J427" s="1" t="s">
        <v>68</v>
      </c>
      <c r="K427" s="1" t="s">
        <v>68</v>
      </c>
      <c r="L427" s="1" t="s">
        <v>68</v>
      </c>
      <c r="M427" s="1" t="s">
        <v>68</v>
      </c>
      <c r="N427" s="1" t="s">
        <v>8742</v>
      </c>
      <c r="O427" s="1" t="s">
        <v>8743</v>
      </c>
      <c r="P427" s="1" t="s">
        <v>8744</v>
      </c>
      <c r="Q427" s="1" t="s">
        <v>8745</v>
      </c>
      <c r="R427" s="1" t="s">
        <v>8746</v>
      </c>
      <c r="S427" s="1" t="s">
        <v>8747</v>
      </c>
      <c r="T427" s="1" t="s">
        <v>8748</v>
      </c>
      <c r="U427" s="1" t="s">
        <v>68</v>
      </c>
      <c r="V427" s="1" t="s">
        <v>8749</v>
      </c>
      <c r="W427" s="1" t="s">
        <v>8750</v>
      </c>
      <c r="X427" s="1" t="s">
        <v>8751</v>
      </c>
      <c r="Y427" s="1" t="s">
        <v>8752</v>
      </c>
      <c r="Z427" s="1">
        <v>33.0</v>
      </c>
      <c r="AA427" s="1">
        <v>11.0</v>
      </c>
      <c r="AB427" s="1">
        <v>12.0</v>
      </c>
      <c r="AC427" s="1">
        <v>0.0</v>
      </c>
      <c r="AD427" s="1">
        <v>5.0</v>
      </c>
      <c r="AE427" s="1" t="s">
        <v>4584</v>
      </c>
      <c r="AF427" s="1" t="s">
        <v>4585</v>
      </c>
      <c r="AG427" s="1" t="s">
        <v>4586</v>
      </c>
      <c r="AH427" s="1" t="s">
        <v>4587</v>
      </c>
      <c r="AI427" s="1" t="s">
        <v>4588</v>
      </c>
      <c r="AJ427" s="1" t="s">
        <v>68</v>
      </c>
      <c r="AK427" s="1" t="s">
        <v>4589</v>
      </c>
      <c r="AL427" s="1" t="s">
        <v>4590</v>
      </c>
      <c r="AM427" s="1" t="s">
        <v>4591</v>
      </c>
      <c r="AN427" s="1">
        <v>2019.0</v>
      </c>
      <c r="AO427" s="1">
        <v>38.0</v>
      </c>
      <c r="AP427" s="1">
        <v>2.0</v>
      </c>
      <c r="AQ427" s="1" t="s">
        <v>68</v>
      </c>
      <c r="AR427" s="1" t="s">
        <v>68</v>
      </c>
      <c r="AS427" s="1" t="s">
        <v>68</v>
      </c>
      <c r="AT427" s="1" t="s">
        <v>68</v>
      </c>
      <c r="AU427" s="1">
        <v>292.0</v>
      </c>
      <c r="AV427" s="1">
        <v>302.0</v>
      </c>
      <c r="AW427" s="1" t="s">
        <v>68</v>
      </c>
      <c r="AX427" s="1" t="s">
        <v>8753</v>
      </c>
      <c r="AY427" s="3" t="str">
        <f>HYPERLINK("http://dx.doi.org/10.1086/701672","http://dx.doi.org/10.1086/701672")</f>
        <v>http://dx.doi.org/10.1086/701672</v>
      </c>
      <c r="AZ427" s="1" t="s">
        <v>68</v>
      </c>
      <c r="BA427" s="1" t="s">
        <v>68</v>
      </c>
      <c r="BB427" s="1">
        <v>11.0</v>
      </c>
      <c r="BC427" s="1" t="s">
        <v>4593</v>
      </c>
      <c r="BD427" s="1" t="s">
        <v>92</v>
      </c>
      <c r="BE427" s="1" t="s">
        <v>2350</v>
      </c>
      <c r="BF427" s="1" t="s">
        <v>4594</v>
      </c>
      <c r="BG427" s="1" t="s">
        <v>68</v>
      </c>
      <c r="BH427" s="1" t="s">
        <v>68</v>
      </c>
      <c r="BI427" s="1" t="s">
        <v>68</v>
      </c>
      <c r="BJ427" s="1" t="s">
        <v>68</v>
      </c>
      <c r="BK427" s="1" t="s">
        <v>95</v>
      </c>
      <c r="BL427" s="1" t="s">
        <v>8754</v>
      </c>
      <c r="BM427" s="1" t="str">
        <f>HYPERLINK("https%3A%2F%2Fwww.webofscience.com%2Fwos%2Fwoscc%2Ffull-record%2FWOS:000474076400007","View Full Record in Web of Science")</f>
        <v>View Full Record in Web of Science</v>
      </c>
    </row>
    <row r="428" ht="12.75" customHeight="1">
      <c r="A428" s="1" t="s">
        <v>65</v>
      </c>
      <c r="B428" s="1" t="s">
        <v>8755</v>
      </c>
      <c r="C428" s="1" t="s">
        <v>8756</v>
      </c>
      <c r="D428" s="1" t="s">
        <v>68</v>
      </c>
      <c r="E428" s="1" t="s">
        <v>8757</v>
      </c>
      <c r="F428" s="1" t="s">
        <v>4985</v>
      </c>
      <c r="G428" s="1" t="s">
        <v>68</v>
      </c>
      <c r="H428" s="1" t="s">
        <v>71</v>
      </c>
      <c r="I428" s="1" t="s">
        <v>72</v>
      </c>
      <c r="J428" s="1" t="s">
        <v>68</v>
      </c>
      <c r="K428" s="1" t="s">
        <v>68</v>
      </c>
      <c r="L428" s="1" t="s">
        <v>68</v>
      </c>
      <c r="M428" s="1" t="s">
        <v>68</v>
      </c>
      <c r="N428" s="1" t="s">
        <v>8758</v>
      </c>
      <c r="O428" s="1" t="s">
        <v>8759</v>
      </c>
      <c r="P428" s="1" t="s">
        <v>8760</v>
      </c>
      <c r="Q428" s="1" t="s">
        <v>8761</v>
      </c>
      <c r="R428" s="1" t="s">
        <v>8762</v>
      </c>
      <c r="S428" s="1" t="s">
        <v>8763</v>
      </c>
      <c r="T428" s="1" t="s">
        <v>8764</v>
      </c>
      <c r="U428" s="1" t="s">
        <v>8765</v>
      </c>
      <c r="V428" s="1" t="s">
        <v>8766</v>
      </c>
      <c r="W428" s="1" t="s">
        <v>8767</v>
      </c>
      <c r="X428" s="1" t="s">
        <v>8767</v>
      </c>
      <c r="Y428" s="1" t="s">
        <v>8768</v>
      </c>
      <c r="Z428" s="1">
        <v>86.0</v>
      </c>
      <c r="AA428" s="1">
        <v>6.0</v>
      </c>
      <c r="AB428" s="1">
        <v>6.0</v>
      </c>
      <c r="AC428" s="1">
        <v>1.0</v>
      </c>
      <c r="AD428" s="1">
        <v>14.0</v>
      </c>
      <c r="AE428" s="1" t="s">
        <v>247</v>
      </c>
      <c r="AF428" s="1" t="s">
        <v>248</v>
      </c>
      <c r="AG428" s="1" t="s">
        <v>351</v>
      </c>
      <c r="AH428" s="1" t="s">
        <v>68</v>
      </c>
      <c r="AI428" s="1" t="s">
        <v>4998</v>
      </c>
      <c r="AJ428" s="1" t="s">
        <v>68</v>
      </c>
      <c r="AK428" s="1" t="s">
        <v>4999</v>
      </c>
      <c r="AL428" s="1" t="s">
        <v>5000</v>
      </c>
      <c r="AM428" s="1" t="s">
        <v>120</v>
      </c>
      <c r="AN428" s="1">
        <v>2020.0</v>
      </c>
      <c r="AO428" s="1">
        <v>4.0</v>
      </c>
      <c r="AP428" s="1">
        <v>4.0</v>
      </c>
      <c r="AQ428" s="1" t="s">
        <v>68</v>
      </c>
      <c r="AR428" s="1" t="s">
        <v>68</v>
      </c>
      <c r="AS428" s="1" t="s">
        <v>68</v>
      </c>
      <c r="AT428" s="1" t="s">
        <v>68</v>
      </c>
      <c r="AU428" s="1" t="s">
        <v>68</v>
      </c>
      <c r="AV428" s="1" t="s">
        <v>68</v>
      </c>
      <c r="AW428" s="1">
        <v>72.0</v>
      </c>
      <c r="AX428" s="1" t="s">
        <v>8769</v>
      </c>
      <c r="AY428" s="3" t="str">
        <f>HYPERLINK("http://dx.doi.org/10.3390/urbansci4040072","http://dx.doi.org/10.3390/urbansci4040072")</f>
        <v>http://dx.doi.org/10.3390/urbansci4040072</v>
      </c>
      <c r="AZ428" s="1" t="s">
        <v>68</v>
      </c>
      <c r="BA428" s="1" t="s">
        <v>68</v>
      </c>
      <c r="BB428" s="1">
        <v>23.0</v>
      </c>
      <c r="BC428" s="1" t="s">
        <v>5002</v>
      </c>
      <c r="BD428" s="1" t="s">
        <v>197</v>
      </c>
      <c r="BE428" s="1" t="s">
        <v>5003</v>
      </c>
      <c r="BF428" s="1" t="s">
        <v>8770</v>
      </c>
      <c r="BG428" s="1" t="s">
        <v>68</v>
      </c>
      <c r="BH428" s="1" t="s">
        <v>94</v>
      </c>
      <c r="BI428" s="1" t="s">
        <v>68</v>
      </c>
      <c r="BJ428" s="1" t="s">
        <v>68</v>
      </c>
      <c r="BK428" s="1" t="s">
        <v>95</v>
      </c>
      <c r="BL428" s="1" t="s">
        <v>8771</v>
      </c>
      <c r="BM428" s="1" t="str">
        <f>HYPERLINK("https%3A%2F%2Fwww.webofscience.com%2Fwos%2Fwoscc%2Ffull-record%2FWOS:000621019300028","View Full Record in Web of Science")</f>
        <v>View Full Record in Web of Science</v>
      </c>
    </row>
    <row r="429" ht="12.75" customHeight="1">
      <c r="A429" s="1" t="s">
        <v>65</v>
      </c>
      <c r="B429" s="1" t="s">
        <v>8772</v>
      </c>
      <c r="C429" s="1" t="s">
        <v>8773</v>
      </c>
      <c r="D429" s="1" t="s">
        <v>68</v>
      </c>
      <c r="E429" s="1" t="s">
        <v>8774</v>
      </c>
      <c r="F429" s="1" t="s">
        <v>3294</v>
      </c>
      <c r="G429" s="1" t="s">
        <v>68</v>
      </c>
      <c r="H429" s="1" t="s">
        <v>71</v>
      </c>
      <c r="I429" s="1" t="s">
        <v>72</v>
      </c>
      <c r="J429" s="1" t="s">
        <v>68</v>
      </c>
      <c r="K429" s="1" t="s">
        <v>68</v>
      </c>
      <c r="L429" s="1" t="s">
        <v>68</v>
      </c>
      <c r="M429" s="1" t="s">
        <v>68</v>
      </c>
      <c r="N429" s="1" t="s">
        <v>8775</v>
      </c>
      <c r="O429" s="1" t="s">
        <v>8776</v>
      </c>
      <c r="P429" s="1" t="s">
        <v>8777</v>
      </c>
      <c r="Q429" s="1" t="s">
        <v>8778</v>
      </c>
      <c r="R429" s="1" t="s">
        <v>8779</v>
      </c>
      <c r="S429" s="1" t="s">
        <v>8780</v>
      </c>
      <c r="T429" s="1" t="s">
        <v>8781</v>
      </c>
      <c r="U429" s="1" t="s">
        <v>8782</v>
      </c>
      <c r="V429" s="1" t="s">
        <v>8783</v>
      </c>
      <c r="W429" s="1" t="s">
        <v>8784</v>
      </c>
      <c r="X429" s="1" t="s">
        <v>8785</v>
      </c>
      <c r="Y429" s="1" t="s">
        <v>8786</v>
      </c>
      <c r="Z429" s="1">
        <v>55.0</v>
      </c>
      <c r="AA429" s="1">
        <v>15.0</v>
      </c>
      <c r="AB429" s="1">
        <v>17.0</v>
      </c>
      <c r="AC429" s="1">
        <v>3.0</v>
      </c>
      <c r="AD429" s="1">
        <v>24.0</v>
      </c>
      <c r="AE429" s="1" t="s">
        <v>247</v>
      </c>
      <c r="AF429" s="1" t="s">
        <v>248</v>
      </c>
      <c r="AG429" s="1" t="s">
        <v>351</v>
      </c>
      <c r="AH429" s="1" t="s">
        <v>68</v>
      </c>
      <c r="AI429" s="1" t="s">
        <v>3307</v>
      </c>
      <c r="AJ429" s="1" t="s">
        <v>68</v>
      </c>
      <c r="AK429" s="1" t="s">
        <v>3294</v>
      </c>
      <c r="AL429" s="1" t="s">
        <v>3308</v>
      </c>
      <c r="AM429" s="1" t="s">
        <v>404</v>
      </c>
      <c r="AN429" s="1">
        <v>2021.0</v>
      </c>
      <c r="AO429" s="1">
        <v>12.0</v>
      </c>
      <c r="AP429" s="1">
        <v>9.0</v>
      </c>
      <c r="AQ429" s="1" t="s">
        <v>68</v>
      </c>
      <c r="AR429" s="1" t="s">
        <v>68</v>
      </c>
      <c r="AS429" s="1" t="s">
        <v>68</v>
      </c>
      <c r="AT429" s="1" t="s">
        <v>68</v>
      </c>
      <c r="AU429" s="1" t="s">
        <v>68</v>
      </c>
      <c r="AV429" s="1" t="s">
        <v>68</v>
      </c>
      <c r="AW429" s="1">
        <v>813.0</v>
      </c>
      <c r="AX429" s="1" t="s">
        <v>8787</v>
      </c>
      <c r="AY429" s="3" t="str">
        <f>HYPERLINK("http://dx.doi.org/10.3390/insects12090813","http://dx.doi.org/10.3390/insects12090813")</f>
        <v>http://dx.doi.org/10.3390/insects12090813</v>
      </c>
      <c r="AZ429" s="1" t="s">
        <v>68</v>
      </c>
      <c r="BA429" s="1" t="s">
        <v>68</v>
      </c>
      <c r="BB429" s="1">
        <v>14.0</v>
      </c>
      <c r="BC429" s="1" t="s">
        <v>309</v>
      </c>
      <c r="BD429" s="1" t="s">
        <v>92</v>
      </c>
      <c r="BE429" s="1" t="s">
        <v>309</v>
      </c>
      <c r="BF429" s="1" t="s">
        <v>8788</v>
      </c>
      <c r="BG429" s="1">
        <v>3.4564253E7</v>
      </c>
      <c r="BH429" s="1" t="s">
        <v>282</v>
      </c>
      <c r="BI429" s="1" t="s">
        <v>68</v>
      </c>
      <c r="BJ429" s="1" t="s">
        <v>68</v>
      </c>
      <c r="BK429" s="1" t="s">
        <v>95</v>
      </c>
      <c r="BL429" s="1" t="s">
        <v>8789</v>
      </c>
      <c r="BM429" s="1" t="str">
        <f>HYPERLINK("https%3A%2F%2Fwww.webofscience.com%2Fwos%2Fwoscc%2Ffull-record%2FWOS:000699728700001","View Full Record in Web of Science")</f>
        <v>View Full Record in Web of Science</v>
      </c>
    </row>
    <row r="430" ht="12.75" customHeight="1">
      <c r="A430" s="1" t="s">
        <v>65</v>
      </c>
      <c r="B430" s="1" t="s">
        <v>8790</v>
      </c>
      <c r="C430" s="1" t="s">
        <v>8791</v>
      </c>
      <c r="D430" s="1" t="s">
        <v>68</v>
      </c>
      <c r="E430" s="1" t="s">
        <v>8792</v>
      </c>
      <c r="F430" s="1" t="s">
        <v>3197</v>
      </c>
      <c r="G430" s="1" t="s">
        <v>68</v>
      </c>
      <c r="H430" s="1" t="s">
        <v>71</v>
      </c>
      <c r="I430" s="1" t="s">
        <v>72</v>
      </c>
      <c r="J430" s="1" t="s">
        <v>68</v>
      </c>
      <c r="K430" s="1" t="s">
        <v>68</v>
      </c>
      <c r="L430" s="1" t="s">
        <v>68</v>
      </c>
      <c r="M430" s="1" t="s">
        <v>68</v>
      </c>
      <c r="N430" s="1" t="s">
        <v>8793</v>
      </c>
      <c r="O430" s="1" t="s">
        <v>8794</v>
      </c>
      <c r="P430" s="1" t="s">
        <v>8795</v>
      </c>
      <c r="Q430" s="1" t="s">
        <v>8796</v>
      </c>
      <c r="R430" s="1" t="s">
        <v>8797</v>
      </c>
      <c r="S430" s="1" t="s">
        <v>8798</v>
      </c>
      <c r="T430" s="1" t="s">
        <v>8799</v>
      </c>
      <c r="U430" s="1" t="s">
        <v>68</v>
      </c>
      <c r="V430" s="1" t="s">
        <v>8800</v>
      </c>
      <c r="W430" s="1" t="s">
        <v>8801</v>
      </c>
      <c r="X430" s="1" t="s">
        <v>8802</v>
      </c>
      <c r="Y430" s="1" t="s">
        <v>8803</v>
      </c>
      <c r="Z430" s="1">
        <v>66.0</v>
      </c>
      <c r="AA430" s="1">
        <v>11.0</v>
      </c>
      <c r="AB430" s="1">
        <v>11.0</v>
      </c>
      <c r="AC430" s="1">
        <v>1.0</v>
      </c>
      <c r="AD430" s="1">
        <v>11.0</v>
      </c>
      <c r="AE430" s="1" t="s">
        <v>114</v>
      </c>
      <c r="AF430" s="1" t="s">
        <v>1505</v>
      </c>
      <c r="AG430" s="1" t="s">
        <v>1506</v>
      </c>
      <c r="AH430" s="1" t="s">
        <v>3209</v>
      </c>
      <c r="AI430" s="1" t="s">
        <v>3210</v>
      </c>
      <c r="AJ430" s="1" t="s">
        <v>68</v>
      </c>
      <c r="AK430" s="1" t="s">
        <v>3211</v>
      </c>
      <c r="AL430" s="1" t="s">
        <v>3212</v>
      </c>
      <c r="AM430" s="1" t="s">
        <v>120</v>
      </c>
      <c r="AN430" s="1">
        <v>2021.0</v>
      </c>
      <c r="AO430" s="1">
        <v>23.0</v>
      </c>
      <c r="AP430" s="1">
        <v>12.0</v>
      </c>
      <c r="AQ430" s="1" t="s">
        <v>68</v>
      </c>
      <c r="AR430" s="1" t="s">
        <v>68</v>
      </c>
      <c r="AS430" s="1" t="s">
        <v>68</v>
      </c>
      <c r="AT430" s="1" t="s">
        <v>68</v>
      </c>
      <c r="AU430" s="1">
        <v>3687.0</v>
      </c>
      <c r="AV430" s="1">
        <v>3702.0</v>
      </c>
      <c r="AW430" s="1" t="s">
        <v>68</v>
      </c>
      <c r="AX430" s="1" t="s">
        <v>8804</v>
      </c>
      <c r="AY430" s="3" t="str">
        <f>HYPERLINK("http://dx.doi.org/10.1007/s10530-021-02606-4","http://dx.doi.org/10.1007/s10530-021-02606-4")</f>
        <v>http://dx.doi.org/10.1007/s10530-021-02606-4</v>
      </c>
      <c r="AZ430" s="1" t="s">
        <v>68</v>
      </c>
      <c r="BA430" s="1" t="s">
        <v>4505</v>
      </c>
      <c r="BB430" s="1">
        <v>16.0</v>
      </c>
      <c r="BC430" s="1" t="s">
        <v>1011</v>
      </c>
      <c r="BD430" s="1" t="s">
        <v>92</v>
      </c>
      <c r="BE430" s="1" t="s">
        <v>123</v>
      </c>
      <c r="BF430" s="1" t="s">
        <v>8805</v>
      </c>
      <c r="BG430" s="1" t="s">
        <v>68</v>
      </c>
      <c r="BH430" s="1" t="s">
        <v>68</v>
      </c>
      <c r="BI430" s="1" t="s">
        <v>68</v>
      </c>
      <c r="BJ430" s="1" t="s">
        <v>68</v>
      </c>
      <c r="BK430" s="1" t="s">
        <v>95</v>
      </c>
      <c r="BL430" s="1" t="s">
        <v>8806</v>
      </c>
      <c r="BM430" s="1" t="str">
        <f>HYPERLINK("https%3A%2F%2Fwww.webofscience.com%2Fwos%2Fwoscc%2Ffull-record%2FWOS:000676051700002","View Full Record in Web of Science")</f>
        <v>View Full Record in Web of Science</v>
      </c>
    </row>
    <row r="431" ht="12.75" customHeight="1">
      <c r="A431" s="1" t="s">
        <v>65</v>
      </c>
      <c r="B431" s="1" t="s">
        <v>8807</v>
      </c>
      <c r="C431" s="1" t="s">
        <v>8808</v>
      </c>
      <c r="D431" s="1" t="s">
        <v>68</v>
      </c>
      <c r="E431" s="1" t="s">
        <v>8809</v>
      </c>
      <c r="F431" s="1" t="s">
        <v>8810</v>
      </c>
      <c r="G431" s="1" t="s">
        <v>68</v>
      </c>
      <c r="H431" s="1" t="s">
        <v>71</v>
      </c>
      <c r="I431" s="1" t="s">
        <v>45</v>
      </c>
      <c r="J431" s="1" t="s">
        <v>68</v>
      </c>
      <c r="K431" s="1" t="s">
        <v>68</v>
      </c>
      <c r="L431" s="1" t="s">
        <v>68</v>
      </c>
      <c r="M431" s="1" t="s">
        <v>68</v>
      </c>
      <c r="N431" s="1" t="s">
        <v>68</v>
      </c>
      <c r="O431" s="1" t="s">
        <v>68</v>
      </c>
      <c r="P431" s="1" t="s">
        <v>68</v>
      </c>
      <c r="Q431" s="1" t="s">
        <v>8811</v>
      </c>
      <c r="R431" s="1" t="s">
        <v>8812</v>
      </c>
      <c r="S431" s="1" t="s">
        <v>68</v>
      </c>
      <c r="T431" s="1" t="s">
        <v>68</v>
      </c>
      <c r="U431" s="1" t="s">
        <v>68</v>
      </c>
      <c r="V431" s="1" t="s">
        <v>68</v>
      </c>
      <c r="W431" s="1" t="s">
        <v>68</v>
      </c>
      <c r="X431" s="1" t="s">
        <v>68</v>
      </c>
      <c r="Y431" s="1" t="s">
        <v>68</v>
      </c>
      <c r="Z431" s="1">
        <v>0.0</v>
      </c>
      <c r="AA431" s="1">
        <v>0.0</v>
      </c>
      <c r="AB431" s="1">
        <v>0.0</v>
      </c>
      <c r="AC431" s="1">
        <v>0.0</v>
      </c>
      <c r="AD431" s="1">
        <v>1.0</v>
      </c>
      <c r="AE431" s="1" t="s">
        <v>8813</v>
      </c>
      <c r="AF431" s="1" t="s">
        <v>8814</v>
      </c>
      <c r="AG431" s="1" t="s">
        <v>8815</v>
      </c>
      <c r="AH431" s="1" t="s">
        <v>8816</v>
      </c>
      <c r="AI431" s="1" t="s">
        <v>68</v>
      </c>
      <c r="AJ431" s="1" t="s">
        <v>68</v>
      </c>
      <c r="AK431" s="1" t="s">
        <v>8817</v>
      </c>
      <c r="AL431" s="1" t="s">
        <v>8818</v>
      </c>
      <c r="AM431" s="1" t="s">
        <v>6162</v>
      </c>
      <c r="AN431" s="1">
        <v>2021.0</v>
      </c>
      <c r="AO431" s="1">
        <v>20.0</v>
      </c>
      <c r="AP431" s="1" t="s">
        <v>68</v>
      </c>
      <c r="AQ431" s="1" t="s">
        <v>68</v>
      </c>
      <c r="AR431" s="1" t="s">
        <v>68</v>
      </c>
      <c r="AS431" s="1" t="s">
        <v>68</v>
      </c>
      <c r="AT431" s="1" t="s">
        <v>8819</v>
      </c>
      <c r="AU431" s="1">
        <v>74.0</v>
      </c>
      <c r="AV431" s="1">
        <v>75.0</v>
      </c>
      <c r="AW431" s="1" t="s">
        <v>68</v>
      </c>
      <c r="AX431" s="1" t="s">
        <v>68</v>
      </c>
      <c r="AY431" s="1" t="s">
        <v>68</v>
      </c>
      <c r="AZ431" s="1" t="s">
        <v>68</v>
      </c>
      <c r="BA431" s="1" t="s">
        <v>68</v>
      </c>
      <c r="BB431" s="1">
        <v>2.0</v>
      </c>
      <c r="BC431" s="1" t="s">
        <v>1533</v>
      </c>
      <c r="BD431" s="1" t="s">
        <v>1438</v>
      </c>
      <c r="BE431" s="1" t="s">
        <v>1534</v>
      </c>
      <c r="BF431" s="1" t="s">
        <v>8820</v>
      </c>
      <c r="BG431" s="1" t="s">
        <v>68</v>
      </c>
      <c r="BH431" s="1" t="s">
        <v>68</v>
      </c>
      <c r="BI431" s="1" t="s">
        <v>68</v>
      </c>
      <c r="BJ431" s="1" t="s">
        <v>68</v>
      </c>
      <c r="BK431" s="1" t="s">
        <v>95</v>
      </c>
      <c r="BL431" s="1" t="s">
        <v>8821</v>
      </c>
      <c r="BM431" s="1" t="str">
        <f>HYPERLINK("https%3A%2F%2Fwww.webofscience.com%2Fwos%2Fwoscc%2Ffull-record%2FWOS:000726772800204","View Full Record in Web of Science")</f>
        <v>View Full Record in Web of Science</v>
      </c>
    </row>
    <row r="432" ht="12.75" customHeight="1">
      <c r="A432" s="1" t="s">
        <v>65</v>
      </c>
      <c r="B432" s="1" t="s">
        <v>8822</v>
      </c>
      <c r="C432" s="1" t="s">
        <v>8823</v>
      </c>
      <c r="D432" s="1" t="s">
        <v>68</v>
      </c>
      <c r="E432" s="1" t="s">
        <v>8824</v>
      </c>
      <c r="F432" s="1" t="s">
        <v>2330</v>
      </c>
      <c r="G432" s="1" t="s">
        <v>68</v>
      </c>
      <c r="H432" s="1" t="s">
        <v>71</v>
      </c>
      <c r="I432" s="1" t="s">
        <v>72</v>
      </c>
      <c r="J432" s="1" t="s">
        <v>68</v>
      </c>
      <c r="K432" s="1" t="s">
        <v>68</v>
      </c>
      <c r="L432" s="1" t="s">
        <v>68</v>
      </c>
      <c r="M432" s="1" t="s">
        <v>68</v>
      </c>
      <c r="N432" s="1" t="s">
        <v>8825</v>
      </c>
      <c r="O432" s="1" t="s">
        <v>8826</v>
      </c>
      <c r="P432" s="1" t="s">
        <v>8827</v>
      </c>
      <c r="Q432" s="1" t="s">
        <v>8828</v>
      </c>
      <c r="R432" s="1" t="s">
        <v>8829</v>
      </c>
      <c r="S432" s="1" t="s">
        <v>8830</v>
      </c>
      <c r="T432" s="1" t="s">
        <v>8831</v>
      </c>
      <c r="U432" s="1" t="s">
        <v>8832</v>
      </c>
      <c r="V432" s="1" t="s">
        <v>8833</v>
      </c>
      <c r="W432" s="1" t="s">
        <v>68</v>
      </c>
      <c r="X432" s="1" t="s">
        <v>68</v>
      </c>
      <c r="Y432" s="1" t="s">
        <v>68</v>
      </c>
      <c r="Z432" s="1">
        <v>87.0</v>
      </c>
      <c r="AA432" s="1">
        <v>45.0</v>
      </c>
      <c r="AB432" s="1">
        <v>49.0</v>
      </c>
      <c r="AC432" s="1">
        <v>0.0</v>
      </c>
      <c r="AD432" s="1">
        <v>21.0</v>
      </c>
      <c r="AE432" s="1" t="s">
        <v>953</v>
      </c>
      <c r="AF432" s="1" t="s">
        <v>423</v>
      </c>
      <c r="AG432" s="1" t="s">
        <v>954</v>
      </c>
      <c r="AH432" s="1" t="s">
        <v>2342</v>
      </c>
      <c r="AI432" s="1" t="s">
        <v>2343</v>
      </c>
      <c r="AJ432" s="1" t="s">
        <v>68</v>
      </c>
      <c r="AK432" s="1" t="s">
        <v>2344</v>
      </c>
      <c r="AL432" s="1" t="s">
        <v>2345</v>
      </c>
      <c r="AM432" s="1" t="s">
        <v>1789</v>
      </c>
      <c r="AN432" s="1">
        <v>2020.0</v>
      </c>
      <c r="AO432" s="1">
        <v>150.0</v>
      </c>
      <c r="AP432" s="1" t="s">
        <v>68</v>
      </c>
      <c r="AQ432" s="1" t="s">
        <v>68</v>
      </c>
      <c r="AR432" s="1" t="s">
        <v>68</v>
      </c>
      <c r="AS432" s="1" t="s">
        <v>68</v>
      </c>
      <c r="AT432" s="1" t="s">
        <v>68</v>
      </c>
      <c r="AU432" s="1" t="s">
        <v>68</v>
      </c>
      <c r="AV432" s="1" t="s">
        <v>68</v>
      </c>
      <c r="AW432" s="1">
        <v>110763.0</v>
      </c>
      <c r="AX432" s="1" t="s">
        <v>8834</v>
      </c>
      <c r="AY432" s="3" t="str">
        <f>HYPERLINK("http://dx.doi.org/10.1016/j.marpolbul.2019.110763","http://dx.doi.org/10.1016/j.marpolbul.2019.110763")</f>
        <v>http://dx.doi.org/10.1016/j.marpolbul.2019.110763</v>
      </c>
      <c r="AZ432" s="1" t="s">
        <v>68</v>
      </c>
      <c r="BA432" s="1" t="s">
        <v>68</v>
      </c>
      <c r="BB432" s="1">
        <v>11.0</v>
      </c>
      <c r="BC432" s="1" t="s">
        <v>2349</v>
      </c>
      <c r="BD432" s="1" t="s">
        <v>92</v>
      </c>
      <c r="BE432" s="1" t="s">
        <v>2350</v>
      </c>
      <c r="BF432" s="1" t="s">
        <v>8835</v>
      </c>
      <c r="BG432" s="1">
        <v>3.191052E7</v>
      </c>
      <c r="BH432" s="1" t="s">
        <v>68</v>
      </c>
      <c r="BI432" s="1" t="s">
        <v>68</v>
      </c>
      <c r="BJ432" s="1" t="s">
        <v>68</v>
      </c>
      <c r="BK432" s="1" t="s">
        <v>95</v>
      </c>
      <c r="BL432" s="1" t="s">
        <v>8836</v>
      </c>
      <c r="BM432" s="1" t="str">
        <f>HYPERLINK("https%3A%2F%2Fwww.webofscience.com%2Fwos%2Fwoscc%2Ffull-record%2FWOS:000509611200101","View Full Record in Web of Science")</f>
        <v>View Full Record in Web of Science</v>
      </c>
    </row>
    <row r="433" ht="12.75" customHeight="1">
      <c r="A433" s="1" t="s">
        <v>65</v>
      </c>
      <c r="B433" s="1" t="s">
        <v>8837</v>
      </c>
      <c r="C433" s="1" t="s">
        <v>8838</v>
      </c>
      <c r="D433" s="1" t="s">
        <v>68</v>
      </c>
      <c r="E433" s="1" t="s">
        <v>8839</v>
      </c>
      <c r="F433" s="1" t="s">
        <v>8840</v>
      </c>
      <c r="G433" s="1" t="s">
        <v>68</v>
      </c>
      <c r="H433" s="1" t="s">
        <v>71</v>
      </c>
      <c r="I433" s="1" t="s">
        <v>72</v>
      </c>
      <c r="J433" s="1" t="s">
        <v>68</v>
      </c>
      <c r="K433" s="1" t="s">
        <v>68</v>
      </c>
      <c r="L433" s="1" t="s">
        <v>68</v>
      </c>
      <c r="M433" s="1" t="s">
        <v>68</v>
      </c>
      <c r="N433" s="1" t="s">
        <v>8841</v>
      </c>
      <c r="O433" s="1" t="s">
        <v>8842</v>
      </c>
      <c r="P433" s="1" t="s">
        <v>8843</v>
      </c>
      <c r="Q433" s="1" t="s">
        <v>8844</v>
      </c>
      <c r="R433" s="1" t="s">
        <v>8845</v>
      </c>
      <c r="S433" s="1" t="s">
        <v>8846</v>
      </c>
      <c r="T433" s="1" t="s">
        <v>8847</v>
      </c>
      <c r="U433" s="1" t="s">
        <v>8848</v>
      </c>
      <c r="V433" s="1" t="s">
        <v>8849</v>
      </c>
      <c r="W433" s="1" t="s">
        <v>8850</v>
      </c>
      <c r="X433" s="1" t="s">
        <v>8851</v>
      </c>
      <c r="Y433" s="1" t="s">
        <v>8852</v>
      </c>
      <c r="Z433" s="1">
        <v>56.0</v>
      </c>
      <c r="AA433" s="1">
        <v>11.0</v>
      </c>
      <c r="AB433" s="1">
        <v>15.0</v>
      </c>
      <c r="AC433" s="1">
        <v>6.0</v>
      </c>
      <c r="AD433" s="1">
        <v>26.0</v>
      </c>
      <c r="AE433" s="1" t="s">
        <v>247</v>
      </c>
      <c r="AF433" s="1" t="s">
        <v>248</v>
      </c>
      <c r="AG433" s="1" t="s">
        <v>351</v>
      </c>
      <c r="AH433" s="1" t="s">
        <v>68</v>
      </c>
      <c r="AI433" s="1" t="s">
        <v>8853</v>
      </c>
      <c r="AJ433" s="1" t="s">
        <v>68</v>
      </c>
      <c r="AK433" s="1" t="s">
        <v>8854</v>
      </c>
      <c r="AL433" s="1" t="s">
        <v>8855</v>
      </c>
      <c r="AM433" s="1" t="s">
        <v>2194</v>
      </c>
      <c r="AN433" s="1">
        <v>2024.0</v>
      </c>
      <c r="AO433" s="1">
        <v>16.0</v>
      </c>
      <c r="AP433" s="1">
        <v>8.0</v>
      </c>
      <c r="AQ433" s="1" t="s">
        <v>68</v>
      </c>
      <c r="AR433" s="1" t="s">
        <v>68</v>
      </c>
      <c r="AS433" s="1" t="s">
        <v>68</v>
      </c>
      <c r="AT433" s="1" t="s">
        <v>68</v>
      </c>
      <c r="AU433" s="1" t="s">
        <v>68</v>
      </c>
      <c r="AV433" s="1" t="s">
        <v>68</v>
      </c>
      <c r="AW433" s="1">
        <v>1368.0</v>
      </c>
      <c r="AX433" s="1" t="s">
        <v>8856</v>
      </c>
      <c r="AY433" s="3" t="str">
        <f>HYPERLINK("http://dx.doi.org/10.3390/rs16081368","http://dx.doi.org/10.3390/rs16081368")</f>
        <v>http://dx.doi.org/10.3390/rs16081368</v>
      </c>
      <c r="AZ433" s="1" t="s">
        <v>68</v>
      </c>
      <c r="BA433" s="1" t="s">
        <v>68</v>
      </c>
      <c r="BB433" s="1">
        <v>21.0</v>
      </c>
      <c r="BC433" s="1" t="s">
        <v>8857</v>
      </c>
      <c r="BD433" s="1" t="s">
        <v>92</v>
      </c>
      <c r="BE433" s="1" t="s">
        <v>8858</v>
      </c>
      <c r="BF433" s="1" t="s">
        <v>8859</v>
      </c>
      <c r="BG433" s="1" t="s">
        <v>68</v>
      </c>
      <c r="BH433" s="1" t="s">
        <v>94</v>
      </c>
      <c r="BI433" s="1" t="s">
        <v>68</v>
      </c>
      <c r="BJ433" s="1" t="s">
        <v>68</v>
      </c>
      <c r="BK433" s="1" t="s">
        <v>95</v>
      </c>
      <c r="BL433" s="1" t="s">
        <v>8860</v>
      </c>
      <c r="BM433" s="1" t="str">
        <f>HYPERLINK("https%3A%2F%2Fwww.webofscience.com%2Fwos%2Fwoscc%2Ffull-record%2FWOS:001258351700001","View Full Record in Web of Science")</f>
        <v>View Full Record in Web of Science</v>
      </c>
    </row>
    <row r="434" ht="12.75" customHeight="1">
      <c r="A434" s="1" t="s">
        <v>65</v>
      </c>
      <c r="B434" s="1" t="s">
        <v>8861</v>
      </c>
      <c r="C434" s="1" t="s">
        <v>8862</v>
      </c>
      <c r="D434" s="1" t="s">
        <v>68</v>
      </c>
      <c r="E434" s="1" t="s">
        <v>8863</v>
      </c>
      <c r="F434" s="1" t="s">
        <v>826</v>
      </c>
      <c r="G434" s="1" t="s">
        <v>68</v>
      </c>
      <c r="H434" s="1" t="s">
        <v>71</v>
      </c>
      <c r="I434" s="1" t="s">
        <v>72</v>
      </c>
      <c r="J434" s="1" t="s">
        <v>68</v>
      </c>
      <c r="K434" s="1" t="s">
        <v>68</v>
      </c>
      <c r="L434" s="1" t="s">
        <v>68</v>
      </c>
      <c r="M434" s="1" t="s">
        <v>68</v>
      </c>
      <c r="N434" s="1" t="s">
        <v>68</v>
      </c>
      <c r="O434" s="1" t="s">
        <v>8864</v>
      </c>
      <c r="P434" s="1" t="s">
        <v>8865</v>
      </c>
      <c r="Q434" s="1" t="s">
        <v>8866</v>
      </c>
      <c r="R434" s="1" t="s">
        <v>8867</v>
      </c>
      <c r="S434" s="1" t="s">
        <v>8868</v>
      </c>
      <c r="T434" s="1" t="s">
        <v>8869</v>
      </c>
      <c r="U434" s="1" t="s">
        <v>8870</v>
      </c>
      <c r="V434" s="1" t="s">
        <v>8871</v>
      </c>
      <c r="W434" s="1" t="s">
        <v>68</v>
      </c>
      <c r="X434" s="1" t="s">
        <v>68</v>
      </c>
      <c r="Y434" s="1" t="s">
        <v>68</v>
      </c>
      <c r="Z434" s="1">
        <v>26.0</v>
      </c>
      <c r="AA434" s="1">
        <v>9.0</v>
      </c>
      <c r="AB434" s="1">
        <v>9.0</v>
      </c>
      <c r="AC434" s="1">
        <v>0.0</v>
      </c>
      <c r="AD434" s="1">
        <v>4.0</v>
      </c>
      <c r="AE434" s="1" t="s">
        <v>838</v>
      </c>
      <c r="AF434" s="1" t="s">
        <v>839</v>
      </c>
      <c r="AG434" s="1" t="s">
        <v>840</v>
      </c>
      <c r="AH434" s="1" t="s">
        <v>841</v>
      </c>
      <c r="AI434" s="1" t="s">
        <v>68</v>
      </c>
      <c r="AJ434" s="1" t="s">
        <v>68</v>
      </c>
      <c r="AK434" s="1" t="s">
        <v>842</v>
      </c>
      <c r="AL434" s="1" t="s">
        <v>843</v>
      </c>
      <c r="AM434" s="1" t="s">
        <v>8872</v>
      </c>
      <c r="AN434" s="1">
        <v>2019.0</v>
      </c>
      <c r="AO434" s="1">
        <v>9.0</v>
      </c>
      <c r="AP434" s="1" t="s">
        <v>68</v>
      </c>
      <c r="AQ434" s="1" t="s">
        <v>68</v>
      </c>
      <c r="AR434" s="1" t="s">
        <v>68</v>
      </c>
      <c r="AS434" s="1" t="s">
        <v>68</v>
      </c>
      <c r="AT434" s="1" t="s">
        <v>68</v>
      </c>
      <c r="AU434" s="1" t="s">
        <v>68</v>
      </c>
      <c r="AV434" s="1" t="s">
        <v>68</v>
      </c>
      <c r="AW434" s="1">
        <v>15229.0</v>
      </c>
      <c r="AX434" s="1" t="s">
        <v>8873</v>
      </c>
      <c r="AY434" s="3" t="str">
        <f>HYPERLINK("http://dx.doi.org/10.1038/s41598-019-51847-w","http://dx.doi.org/10.1038/s41598-019-51847-w")</f>
        <v>http://dx.doi.org/10.1038/s41598-019-51847-w</v>
      </c>
      <c r="AZ434" s="1" t="s">
        <v>68</v>
      </c>
      <c r="BA434" s="1" t="s">
        <v>68</v>
      </c>
      <c r="BB434" s="1">
        <v>11.0</v>
      </c>
      <c r="BC434" s="1" t="s">
        <v>742</v>
      </c>
      <c r="BD434" s="1" t="s">
        <v>92</v>
      </c>
      <c r="BE434" s="1" t="s">
        <v>743</v>
      </c>
      <c r="BF434" s="1" t="s">
        <v>8874</v>
      </c>
      <c r="BG434" s="1">
        <v>3.1645713E7</v>
      </c>
      <c r="BH434" s="1" t="s">
        <v>94</v>
      </c>
      <c r="BI434" s="1" t="s">
        <v>68</v>
      </c>
      <c r="BJ434" s="1" t="s">
        <v>68</v>
      </c>
      <c r="BK434" s="1" t="s">
        <v>95</v>
      </c>
      <c r="BL434" s="1" t="s">
        <v>8875</v>
      </c>
      <c r="BM434" s="1" t="str">
        <f>HYPERLINK("https%3A%2F%2Fwww.webofscience.com%2Fwos%2Fwoscc%2Ffull-record%2FWOS:000491859500019","View Full Record in Web of Science")</f>
        <v>View Full Record in Web of Science</v>
      </c>
    </row>
    <row r="435" ht="12.75" customHeight="1">
      <c r="A435" s="1" t="s">
        <v>65</v>
      </c>
      <c r="B435" s="1" t="s">
        <v>8876</v>
      </c>
      <c r="C435" s="1" t="s">
        <v>8877</v>
      </c>
      <c r="D435" s="1" t="s">
        <v>68</v>
      </c>
      <c r="E435" s="1" t="s">
        <v>8878</v>
      </c>
      <c r="F435" s="1" t="s">
        <v>8879</v>
      </c>
      <c r="G435" s="1" t="s">
        <v>68</v>
      </c>
      <c r="H435" s="1" t="s">
        <v>71</v>
      </c>
      <c r="I435" s="1" t="s">
        <v>72</v>
      </c>
      <c r="J435" s="1" t="s">
        <v>68</v>
      </c>
      <c r="K435" s="1" t="s">
        <v>68</v>
      </c>
      <c r="L435" s="1" t="s">
        <v>68</v>
      </c>
      <c r="M435" s="1" t="s">
        <v>68</v>
      </c>
      <c r="N435" s="1" t="s">
        <v>8880</v>
      </c>
      <c r="O435" s="1" t="s">
        <v>8881</v>
      </c>
      <c r="P435" s="1" t="s">
        <v>8882</v>
      </c>
      <c r="Q435" s="1" t="s">
        <v>8883</v>
      </c>
      <c r="R435" s="1" t="s">
        <v>8884</v>
      </c>
      <c r="S435" s="1" t="s">
        <v>8885</v>
      </c>
      <c r="T435" s="1" t="s">
        <v>8886</v>
      </c>
      <c r="U435" s="1" t="s">
        <v>8887</v>
      </c>
      <c r="V435" s="1" t="s">
        <v>8888</v>
      </c>
      <c r="W435" s="1" t="s">
        <v>8889</v>
      </c>
      <c r="X435" s="1" t="s">
        <v>8890</v>
      </c>
      <c r="Y435" s="1" t="s">
        <v>8891</v>
      </c>
      <c r="Z435" s="1">
        <v>72.0</v>
      </c>
      <c r="AA435" s="1">
        <v>0.0</v>
      </c>
      <c r="AB435" s="1">
        <v>0.0</v>
      </c>
      <c r="AC435" s="1">
        <v>3.0</v>
      </c>
      <c r="AD435" s="1">
        <v>3.0</v>
      </c>
      <c r="AE435" s="1" t="s">
        <v>247</v>
      </c>
      <c r="AF435" s="1" t="s">
        <v>248</v>
      </c>
      <c r="AG435" s="1" t="s">
        <v>249</v>
      </c>
      <c r="AH435" s="1" t="s">
        <v>68</v>
      </c>
      <c r="AI435" s="1" t="s">
        <v>8892</v>
      </c>
      <c r="AJ435" s="1" t="s">
        <v>68</v>
      </c>
      <c r="AK435" s="1" t="s">
        <v>8879</v>
      </c>
      <c r="AL435" s="1" t="s">
        <v>8893</v>
      </c>
      <c r="AM435" s="1" t="s">
        <v>8894</v>
      </c>
      <c r="AN435" s="1">
        <v>2025.0</v>
      </c>
      <c r="AO435" s="1">
        <v>12.0</v>
      </c>
      <c r="AP435" s="1">
        <v>12.0</v>
      </c>
      <c r="AQ435" s="1" t="s">
        <v>68</v>
      </c>
      <c r="AR435" s="1" t="s">
        <v>68</v>
      </c>
      <c r="AS435" s="1" t="s">
        <v>68</v>
      </c>
      <c r="AT435" s="1" t="s">
        <v>68</v>
      </c>
      <c r="AU435" s="1" t="s">
        <v>68</v>
      </c>
      <c r="AV435" s="1" t="s">
        <v>68</v>
      </c>
      <c r="AW435" s="1">
        <v>474.0</v>
      </c>
      <c r="AX435" s="1" t="s">
        <v>8895</v>
      </c>
      <c r="AY435" s="3" t="str">
        <f>HYPERLINK("http://dx.doi.org/10.3390/environments12120474","http://dx.doi.org/10.3390/environments12120474")</f>
        <v>http://dx.doi.org/10.3390/environments12120474</v>
      </c>
      <c r="AZ435" s="1" t="s">
        <v>68</v>
      </c>
      <c r="BA435" s="1" t="s">
        <v>68</v>
      </c>
      <c r="BB435" s="1">
        <v>17.0</v>
      </c>
      <c r="BC435" s="1" t="s">
        <v>484</v>
      </c>
      <c r="BD435" s="1" t="s">
        <v>197</v>
      </c>
      <c r="BE435" s="1" t="s">
        <v>333</v>
      </c>
      <c r="BF435" s="1" t="s">
        <v>8896</v>
      </c>
      <c r="BG435" s="1" t="s">
        <v>68</v>
      </c>
      <c r="BH435" s="1" t="s">
        <v>94</v>
      </c>
      <c r="BI435" s="1" t="s">
        <v>68</v>
      </c>
      <c r="BJ435" s="1" t="s">
        <v>68</v>
      </c>
      <c r="BK435" s="1" t="s">
        <v>95</v>
      </c>
      <c r="BL435" s="1" t="s">
        <v>8897</v>
      </c>
      <c r="BM435" s="1" t="str">
        <f>HYPERLINK("https%3A%2F%2Fwww.webofscience.com%2Fwos%2Fwoscc%2Ffull-record%2FWOS:001646358300001","View Full Record in Web of Science")</f>
        <v>View Full Record in Web of Science</v>
      </c>
    </row>
    <row r="436" ht="12.75" customHeight="1">
      <c r="A436" s="1" t="s">
        <v>65</v>
      </c>
      <c r="B436" s="1" t="s">
        <v>8898</v>
      </c>
      <c r="C436" s="1" t="s">
        <v>8899</v>
      </c>
      <c r="D436" s="1" t="s">
        <v>68</v>
      </c>
      <c r="E436" s="1" t="s">
        <v>8900</v>
      </c>
      <c r="F436" s="1" t="s">
        <v>2908</v>
      </c>
      <c r="G436" s="1" t="s">
        <v>68</v>
      </c>
      <c r="H436" s="1" t="s">
        <v>71</v>
      </c>
      <c r="I436" s="1" t="s">
        <v>72</v>
      </c>
      <c r="J436" s="1" t="s">
        <v>68</v>
      </c>
      <c r="K436" s="1" t="s">
        <v>68</v>
      </c>
      <c r="L436" s="1" t="s">
        <v>68</v>
      </c>
      <c r="M436" s="1" t="s">
        <v>68</v>
      </c>
      <c r="N436" s="1" t="s">
        <v>8901</v>
      </c>
      <c r="O436" s="1" t="s">
        <v>8902</v>
      </c>
      <c r="P436" s="1" t="s">
        <v>8903</v>
      </c>
      <c r="Q436" s="1" t="s">
        <v>8904</v>
      </c>
      <c r="R436" s="1" t="s">
        <v>8905</v>
      </c>
      <c r="S436" s="1" t="s">
        <v>8906</v>
      </c>
      <c r="T436" s="1" t="s">
        <v>8907</v>
      </c>
      <c r="U436" s="1" t="s">
        <v>8908</v>
      </c>
      <c r="V436" s="1" t="s">
        <v>8909</v>
      </c>
      <c r="W436" s="1" t="s">
        <v>8910</v>
      </c>
      <c r="X436" s="1" t="s">
        <v>8911</v>
      </c>
      <c r="Y436" s="1" t="s">
        <v>8912</v>
      </c>
      <c r="Z436" s="1">
        <v>43.0</v>
      </c>
      <c r="AA436" s="1">
        <v>4.0</v>
      </c>
      <c r="AB436" s="1">
        <v>4.0</v>
      </c>
      <c r="AC436" s="1">
        <v>0.0</v>
      </c>
      <c r="AD436" s="1">
        <v>5.0</v>
      </c>
      <c r="AE436" s="1" t="s">
        <v>503</v>
      </c>
      <c r="AF436" s="1" t="s">
        <v>504</v>
      </c>
      <c r="AG436" s="1" t="s">
        <v>505</v>
      </c>
      <c r="AH436" s="1" t="s">
        <v>68</v>
      </c>
      <c r="AI436" s="1" t="s">
        <v>2921</v>
      </c>
      <c r="AJ436" s="1" t="s">
        <v>68</v>
      </c>
      <c r="AK436" s="1" t="s">
        <v>2922</v>
      </c>
      <c r="AL436" s="1" t="s">
        <v>2923</v>
      </c>
      <c r="AM436" s="1" t="s">
        <v>428</v>
      </c>
      <c r="AN436" s="1">
        <v>2023.0</v>
      </c>
      <c r="AO436" s="1">
        <v>4.0</v>
      </c>
      <c r="AP436" s="1">
        <v>4.0</v>
      </c>
      <c r="AQ436" s="1" t="s">
        <v>68</v>
      </c>
      <c r="AR436" s="1" t="s">
        <v>68</v>
      </c>
      <c r="AS436" s="1" t="s">
        <v>68</v>
      </c>
      <c r="AT436" s="1" t="s">
        <v>68</v>
      </c>
      <c r="AU436" s="1" t="s">
        <v>68</v>
      </c>
      <c r="AV436" s="1" t="s">
        <v>68</v>
      </c>
      <c r="AW436" s="1" t="s">
        <v>8913</v>
      </c>
      <c r="AX436" s="1" t="s">
        <v>8914</v>
      </c>
      <c r="AY436" s="3" t="str">
        <f>HYPERLINK("http://dx.doi.org/10.1002/2688-8319.12294","http://dx.doi.org/10.1002/2688-8319.12294")</f>
        <v>http://dx.doi.org/10.1002/2688-8319.12294</v>
      </c>
      <c r="AZ436" s="1" t="s">
        <v>68</v>
      </c>
      <c r="BA436" s="1" t="s">
        <v>68</v>
      </c>
      <c r="BB436" s="1">
        <v>12.0</v>
      </c>
      <c r="BC436" s="1" t="s">
        <v>332</v>
      </c>
      <c r="BD436" s="1" t="s">
        <v>197</v>
      </c>
      <c r="BE436" s="1" t="s">
        <v>333</v>
      </c>
      <c r="BF436" s="1" t="s">
        <v>8915</v>
      </c>
      <c r="BG436" s="1" t="s">
        <v>68</v>
      </c>
      <c r="BH436" s="1" t="s">
        <v>94</v>
      </c>
      <c r="BI436" s="1" t="s">
        <v>68</v>
      </c>
      <c r="BJ436" s="1" t="s">
        <v>68</v>
      </c>
      <c r="BK436" s="1" t="s">
        <v>95</v>
      </c>
      <c r="BL436" s="1" t="s">
        <v>8916</v>
      </c>
      <c r="BM436" s="1" t="str">
        <f>HYPERLINK("https%3A%2F%2Fwww.webofscience.com%2Fwos%2Fwoscc%2Ffull-record%2FWOS:001106080100001","View Full Record in Web of Science")</f>
        <v>View Full Record in Web of Science</v>
      </c>
    </row>
    <row r="437" ht="12.75" customHeight="1">
      <c r="A437" s="1" t="s">
        <v>65</v>
      </c>
      <c r="B437" s="1" t="s">
        <v>8917</v>
      </c>
      <c r="C437" s="1" t="s">
        <v>8918</v>
      </c>
      <c r="D437" s="1" t="s">
        <v>68</v>
      </c>
      <c r="E437" s="1" t="s">
        <v>8919</v>
      </c>
      <c r="F437" s="1" t="s">
        <v>7281</v>
      </c>
      <c r="G437" s="1" t="s">
        <v>68</v>
      </c>
      <c r="H437" s="1" t="s">
        <v>71</v>
      </c>
      <c r="I437" s="1" t="s">
        <v>72</v>
      </c>
      <c r="J437" s="1" t="s">
        <v>68</v>
      </c>
      <c r="K437" s="1" t="s">
        <v>68</v>
      </c>
      <c r="L437" s="1" t="s">
        <v>68</v>
      </c>
      <c r="M437" s="1" t="s">
        <v>68</v>
      </c>
      <c r="N437" s="1" t="s">
        <v>8920</v>
      </c>
      <c r="O437" s="1" t="s">
        <v>8921</v>
      </c>
      <c r="P437" s="1" t="s">
        <v>8922</v>
      </c>
      <c r="Q437" s="1" t="s">
        <v>8923</v>
      </c>
      <c r="R437" s="1" t="s">
        <v>8924</v>
      </c>
      <c r="S437" s="1" t="s">
        <v>8925</v>
      </c>
      <c r="T437" s="1" t="s">
        <v>8926</v>
      </c>
      <c r="U437" s="1" t="s">
        <v>8927</v>
      </c>
      <c r="V437" s="1" t="s">
        <v>8928</v>
      </c>
      <c r="W437" s="1" t="s">
        <v>8929</v>
      </c>
      <c r="X437" s="1" t="s">
        <v>8930</v>
      </c>
      <c r="Y437" s="1" t="s">
        <v>8931</v>
      </c>
      <c r="Z437" s="1">
        <v>41.0</v>
      </c>
      <c r="AA437" s="1">
        <v>4.0</v>
      </c>
      <c r="AB437" s="1">
        <v>4.0</v>
      </c>
      <c r="AC437" s="1">
        <v>1.0</v>
      </c>
      <c r="AD437" s="1">
        <v>21.0</v>
      </c>
      <c r="AE437" s="1" t="s">
        <v>247</v>
      </c>
      <c r="AF437" s="1" t="s">
        <v>248</v>
      </c>
      <c r="AG437" s="1" t="s">
        <v>249</v>
      </c>
      <c r="AH437" s="1" t="s">
        <v>68</v>
      </c>
      <c r="AI437" s="1" t="s">
        <v>7293</v>
      </c>
      <c r="AJ437" s="1" t="s">
        <v>68</v>
      </c>
      <c r="AK437" s="1" t="s">
        <v>7294</v>
      </c>
      <c r="AL437" s="1" t="s">
        <v>7295</v>
      </c>
      <c r="AM437" s="1" t="s">
        <v>790</v>
      </c>
      <c r="AN437" s="1">
        <v>2021.0</v>
      </c>
      <c r="AO437" s="1">
        <v>21.0</v>
      </c>
      <c r="AP437" s="1">
        <v>16.0</v>
      </c>
      <c r="AQ437" s="1" t="s">
        <v>68</v>
      </c>
      <c r="AR437" s="1" t="s">
        <v>68</v>
      </c>
      <c r="AS437" s="1" t="s">
        <v>68</v>
      </c>
      <c r="AT437" s="1" t="s">
        <v>68</v>
      </c>
      <c r="AU437" s="1" t="s">
        <v>68</v>
      </c>
      <c r="AV437" s="1" t="s">
        <v>68</v>
      </c>
      <c r="AW437" s="1">
        <v>5537.0</v>
      </c>
      <c r="AX437" s="1" t="s">
        <v>8932</v>
      </c>
      <c r="AY437" s="3" t="str">
        <f>HYPERLINK("http://dx.doi.org/10.3390/s21165537","http://dx.doi.org/10.3390/s21165537")</f>
        <v>http://dx.doi.org/10.3390/s21165537</v>
      </c>
      <c r="AZ437" s="1" t="s">
        <v>68</v>
      </c>
      <c r="BA437" s="1" t="s">
        <v>68</v>
      </c>
      <c r="BB437" s="1">
        <v>14.0</v>
      </c>
      <c r="BC437" s="1" t="s">
        <v>7297</v>
      </c>
      <c r="BD437" s="1" t="s">
        <v>92</v>
      </c>
      <c r="BE437" s="1" t="s">
        <v>7298</v>
      </c>
      <c r="BF437" s="1" t="s">
        <v>8933</v>
      </c>
      <c r="BG437" s="1">
        <v>3.4450978E7</v>
      </c>
      <c r="BH437" s="1" t="s">
        <v>94</v>
      </c>
      <c r="BI437" s="1" t="s">
        <v>68</v>
      </c>
      <c r="BJ437" s="1" t="s">
        <v>68</v>
      </c>
      <c r="BK437" s="1" t="s">
        <v>95</v>
      </c>
      <c r="BL437" s="1" t="s">
        <v>8934</v>
      </c>
      <c r="BM437" s="1" t="str">
        <f>HYPERLINK("https%3A%2F%2Fwww.webofscience.com%2Fwos%2Fwoscc%2Ffull-record%2FWOS:000690258200001","View Full Record in Web of Science")</f>
        <v>View Full Record in Web of Science</v>
      </c>
    </row>
    <row r="438" ht="12.75" customHeight="1">
      <c r="A438" s="1" t="s">
        <v>65</v>
      </c>
      <c r="B438" s="1" t="s">
        <v>8935</v>
      </c>
      <c r="C438" s="1" t="s">
        <v>8936</v>
      </c>
      <c r="D438" s="1" t="s">
        <v>68</v>
      </c>
      <c r="E438" s="1" t="s">
        <v>8937</v>
      </c>
      <c r="F438" s="1" t="s">
        <v>1948</v>
      </c>
      <c r="G438" s="1" t="s">
        <v>68</v>
      </c>
      <c r="H438" s="1" t="s">
        <v>71</v>
      </c>
      <c r="I438" s="1" t="s">
        <v>101</v>
      </c>
      <c r="J438" s="1" t="s">
        <v>68</v>
      </c>
      <c r="K438" s="1" t="s">
        <v>68</v>
      </c>
      <c r="L438" s="1" t="s">
        <v>68</v>
      </c>
      <c r="M438" s="1" t="s">
        <v>68</v>
      </c>
      <c r="N438" s="1" t="s">
        <v>8938</v>
      </c>
      <c r="O438" s="1" t="s">
        <v>8939</v>
      </c>
      <c r="P438" s="1" t="s">
        <v>8940</v>
      </c>
      <c r="Q438" s="1" t="s">
        <v>8941</v>
      </c>
      <c r="R438" s="1" t="s">
        <v>8942</v>
      </c>
      <c r="S438" s="1" t="s">
        <v>8943</v>
      </c>
      <c r="T438" s="1" t="s">
        <v>68</v>
      </c>
      <c r="U438" s="1" t="s">
        <v>8944</v>
      </c>
      <c r="V438" s="1" t="s">
        <v>8945</v>
      </c>
      <c r="W438" s="1" t="s">
        <v>8946</v>
      </c>
      <c r="X438" s="1" t="s">
        <v>8947</v>
      </c>
      <c r="Y438" s="1" t="s">
        <v>8948</v>
      </c>
      <c r="Z438" s="1">
        <v>157.0</v>
      </c>
      <c r="AA438" s="1">
        <v>16.0</v>
      </c>
      <c r="AB438" s="1">
        <v>20.0</v>
      </c>
      <c r="AC438" s="1">
        <v>8.0</v>
      </c>
      <c r="AD438" s="1">
        <v>54.0</v>
      </c>
      <c r="AE438" s="1" t="s">
        <v>1960</v>
      </c>
      <c r="AF438" s="1" t="s">
        <v>663</v>
      </c>
      <c r="AG438" s="1" t="s">
        <v>1961</v>
      </c>
      <c r="AH438" s="1" t="s">
        <v>1962</v>
      </c>
      <c r="AI438" s="1" t="s">
        <v>1963</v>
      </c>
      <c r="AJ438" s="1" t="s">
        <v>68</v>
      </c>
      <c r="AK438" s="1" t="s">
        <v>1964</v>
      </c>
      <c r="AL438" s="1" t="s">
        <v>1965</v>
      </c>
      <c r="AM438" s="1" t="s">
        <v>8949</v>
      </c>
      <c r="AN438" s="1">
        <v>2024.0</v>
      </c>
      <c r="AO438" s="1">
        <v>352.0</v>
      </c>
      <c r="AP438" s="1" t="s">
        <v>68</v>
      </c>
      <c r="AQ438" s="1" t="s">
        <v>68</v>
      </c>
      <c r="AR438" s="1" t="s">
        <v>68</v>
      </c>
      <c r="AS438" s="1" t="s">
        <v>68</v>
      </c>
      <c r="AT438" s="1" t="s">
        <v>68</v>
      </c>
      <c r="AU438" s="1" t="s">
        <v>68</v>
      </c>
      <c r="AV438" s="1" t="s">
        <v>68</v>
      </c>
      <c r="AW438" s="1">
        <v>119959.0</v>
      </c>
      <c r="AX438" s="1" t="s">
        <v>8950</v>
      </c>
      <c r="AY438" s="3" t="str">
        <f>HYPERLINK("http://dx.doi.org/10.1016/j.jenvman.2023.119959","http://dx.doi.org/10.1016/j.jenvman.2023.119959")</f>
        <v>http://dx.doi.org/10.1016/j.jenvman.2023.119959</v>
      </c>
      <c r="AZ438" s="1" t="s">
        <v>68</v>
      </c>
      <c r="BA438" s="1" t="s">
        <v>4250</v>
      </c>
      <c r="BB438" s="1">
        <v>19.0</v>
      </c>
      <c r="BC438" s="1" t="s">
        <v>484</v>
      </c>
      <c r="BD438" s="1" t="s">
        <v>92</v>
      </c>
      <c r="BE438" s="1" t="s">
        <v>333</v>
      </c>
      <c r="BF438" s="1" t="s">
        <v>8951</v>
      </c>
      <c r="BG438" s="1">
        <v>3.8194871E7</v>
      </c>
      <c r="BH438" s="1" t="s">
        <v>68</v>
      </c>
      <c r="BI438" s="1" t="s">
        <v>68</v>
      </c>
      <c r="BJ438" s="1" t="s">
        <v>68</v>
      </c>
      <c r="BK438" s="1" t="s">
        <v>95</v>
      </c>
      <c r="BL438" s="1" t="s">
        <v>8952</v>
      </c>
      <c r="BM438" s="1" t="str">
        <f>HYPERLINK("https%3A%2F%2Fwww.webofscience.com%2Fwos%2Fwoscc%2Ffull-record%2FWOS:001154505800001","View Full Record in Web of Science")</f>
        <v>View Full Record in Web of Science</v>
      </c>
    </row>
    <row r="439" ht="12.75" customHeight="1">
      <c r="A439" s="1" t="s">
        <v>65</v>
      </c>
      <c r="B439" s="1" t="s">
        <v>8953</v>
      </c>
      <c r="C439" s="1" t="s">
        <v>8954</v>
      </c>
      <c r="D439" s="1" t="s">
        <v>68</v>
      </c>
      <c r="E439" s="1" t="s">
        <v>8955</v>
      </c>
      <c r="F439" s="1" t="s">
        <v>8956</v>
      </c>
      <c r="G439" s="1" t="s">
        <v>68</v>
      </c>
      <c r="H439" s="1" t="s">
        <v>71</v>
      </c>
      <c r="I439" s="1" t="s">
        <v>72</v>
      </c>
      <c r="J439" s="1" t="s">
        <v>68</v>
      </c>
      <c r="K439" s="1" t="s">
        <v>68</v>
      </c>
      <c r="L439" s="1" t="s">
        <v>68</v>
      </c>
      <c r="M439" s="1" t="s">
        <v>68</v>
      </c>
      <c r="N439" s="1" t="s">
        <v>8957</v>
      </c>
      <c r="O439" s="1" t="s">
        <v>8958</v>
      </c>
      <c r="P439" s="1" t="s">
        <v>8959</v>
      </c>
      <c r="Q439" s="1" t="s">
        <v>8960</v>
      </c>
      <c r="R439" s="1" t="s">
        <v>8961</v>
      </c>
      <c r="S439" s="1" t="s">
        <v>8962</v>
      </c>
      <c r="T439" s="1" t="s">
        <v>8963</v>
      </c>
      <c r="U439" s="1" t="s">
        <v>8964</v>
      </c>
      <c r="V439" s="1" t="s">
        <v>8965</v>
      </c>
      <c r="W439" s="1" t="s">
        <v>8966</v>
      </c>
      <c r="X439" s="1" t="s">
        <v>8966</v>
      </c>
      <c r="Y439" s="1" t="s">
        <v>8967</v>
      </c>
      <c r="Z439" s="1">
        <v>93.0</v>
      </c>
      <c r="AA439" s="1">
        <v>113.0</v>
      </c>
      <c r="AB439" s="1">
        <v>144.0</v>
      </c>
      <c r="AC439" s="1">
        <v>2.0</v>
      </c>
      <c r="AD439" s="1">
        <v>150.0</v>
      </c>
      <c r="AE439" s="1" t="s">
        <v>114</v>
      </c>
      <c r="AF439" s="1" t="s">
        <v>115</v>
      </c>
      <c r="AG439" s="1" t="s">
        <v>116</v>
      </c>
      <c r="AH439" s="1" t="s">
        <v>8968</v>
      </c>
      <c r="AI439" s="1" t="s">
        <v>8969</v>
      </c>
      <c r="AJ439" s="1" t="s">
        <v>68</v>
      </c>
      <c r="AK439" s="1" t="s">
        <v>8956</v>
      </c>
      <c r="AL439" s="1" t="s">
        <v>8970</v>
      </c>
      <c r="AM439" s="1" t="s">
        <v>2194</v>
      </c>
      <c r="AN439" s="1">
        <v>2015.0</v>
      </c>
      <c r="AO439" s="1">
        <v>18.0</v>
      </c>
      <c r="AP439" s="1">
        <v>3.0</v>
      </c>
      <c r="AQ439" s="1" t="s">
        <v>68</v>
      </c>
      <c r="AR439" s="1" t="s">
        <v>68</v>
      </c>
      <c r="AS439" s="1" t="s">
        <v>68</v>
      </c>
      <c r="AT439" s="1" t="s">
        <v>68</v>
      </c>
      <c r="AU439" s="1">
        <v>493.0</v>
      </c>
      <c r="AV439" s="1">
        <v>506.0</v>
      </c>
      <c r="AW439" s="1" t="s">
        <v>68</v>
      </c>
      <c r="AX439" s="1" t="s">
        <v>8971</v>
      </c>
      <c r="AY439" s="3" t="str">
        <f>HYPERLINK("http://dx.doi.org/10.1007/s10021-015-9842-4","http://dx.doi.org/10.1007/s10021-015-9842-4")</f>
        <v>http://dx.doi.org/10.1007/s10021-015-9842-4</v>
      </c>
      <c r="AZ439" s="1" t="s">
        <v>68</v>
      </c>
      <c r="BA439" s="1" t="s">
        <v>68</v>
      </c>
      <c r="BB439" s="1">
        <v>14.0</v>
      </c>
      <c r="BC439" s="1" t="s">
        <v>332</v>
      </c>
      <c r="BD439" s="1" t="s">
        <v>279</v>
      </c>
      <c r="BE439" s="1" t="s">
        <v>333</v>
      </c>
      <c r="BF439" s="1" t="s">
        <v>8972</v>
      </c>
      <c r="BG439" s="1" t="s">
        <v>68</v>
      </c>
      <c r="BH439" s="1" t="s">
        <v>68</v>
      </c>
      <c r="BI439" s="1" t="s">
        <v>68</v>
      </c>
      <c r="BJ439" s="1" t="s">
        <v>68</v>
      </c>
      <c r="BK439" s="1" t="s">
        <v>95</v>
      </c>
      <c r="BL439" s="1" t="s">
        <v>8973</v>
      </c>
      <c r="BM439" s="1" t="str">
        <f>HYPERLINK("https%3A%2F%2Fwww.webofscience.com%2Fwos%2Fwoscc%2Ffull-record%2FWOS:000351605400011","View Full Record in Web of Science")</f>
        <v>View Full Record in Web of Science</v>
      </c>
    </row>
    <row r="440" ht="12.75" customHeight="1">
      <c r="A440" s="1" t="s">
        <v>65</v>
      </c>
      <c r="B440" s="1" t="s">
        <v>8974</v>
      </c>
      <c r="C440" s="1" t="s">
        <v>8975</v>
      </c>
      <c r="D440" s="1" t="s">
        <v>68</v>
      </c>
      <c r="E440" s="1" t="s">
        <v>8976</v>
      </c>
      <c r="F440" s="1" t="s">
        <v>8977</v>
      </c>
      <c r="G440" s="1" t="s">
        <v>68</v>
      </c>
      <c r="H440" s="1" t="s">
        <v>71</v>
      </c>
      <c r="I440" s="1" t="s">
        <v>72</v>
      </c>
      <c r="J440" s="1" t="s">
        <v>68</v>
      </c>
      <c r="K440" s="1" t="s">
        <v>68</v>
      </c>
      <c r="L440" s="1" t="s">
        <v>68</v>
      </c>
      <c r="M440" s="1" t="s">
        <v>68</v>
      </c>
      <c r="N440" s="1" t="s">
        <v>8978</v>
      </c>
      <c r="O440" s="1" t="s">
        <v>8979</v>
      </c>
      <c r="P440" s="1" t="s">
        <v>8980</v>
      </c>
      <c r="Q440" s="1" t="s">
        <v>8981</v>
      </c>
      <c r="R440" s="1" t="s">
        <v>8982</v>
      </c>
      <c r="S440" s="1" t="s">
        <v>8983</v>
      </c>
      <c r="T440" s="1" t="s">
        <v>8984</v>
      </c>
      <c r="U440" s="1" t="s">
        <v>8985</v>
      </c>
      <c r="V440" s="1" t="s">
        <v>8986</v>
      </c>
      <c r="W440" s="1" t="s">
        <v>8987</v>
      </c>
      <c r="X440" s="1" t="s">
        <v>8987</v>
      </c>
      <c r="Y440" s="1" t="s">
        <v>8988</v>
      </c>
      <c r="Z440" s="1">
        <v>62.0</v>
      </c>
      <c r="AA440" s="1">
        <v>7.0</v>
      </c>
      <c r="AB440" s="1">
        <v>7.0</v>
      </c>
      <c r="AC440" s="1">
        <v>1.0</v>
      </c>
      <c r="AD440" s="1">
        <v>14.0</v>
      </c>
      <c r="AE440" s="1" t="s">
        <v>247</v>
      </c>
      <c r="AF440" s="1" t="s">
        <v>248</v>
      </c>
      <c r="AG440" s="1" t="s">
        <v>249</v>
      </c>
      <c r="AH440" s="1" t="s">
        <v>68</v>
      </c>
      <c r="AI440" s="1" t="s">
        <v>8989</v>
      </c>
      <c r="AJ440" s="1" t="s">
        <v>68</v>
      </c>
      <c r="AK440" s="1" t="s">
        <v>8990</v>
      </c>
      <c r="AL440" s="1" t="s">
        <v>8991</v>
      </c>
      <c r="AM440" s="1" t="s">
        <v>428</v>
      </c>
      <c r="AN440" s="1">
        <v>2022.0</v>
      </c>
      <c r="AO440" s="1">
        <v>13.0</v>
      </c>
      <c r="AP440" s="1">
        <v>10.0</v>
      </c>
      <c r="AQ440" s="1" t="s">
        <v>68</v>
      </c>
      <c r="AR440" s="1" t="s">
        <v>68</v>
      </c>
      <c r="AS440" s="1" t="s">
        <v>68</v>
      </c>
      <c r="AT440" s="1" t="s">
        <v>68</v>
      </c>
      <c r="AU440" s="1" t="s">
        <v>68</v>
      </c>
      <c r="AV440" s="1" t="s">
        <v>68</v>
      </c>
      <c r="AW440" s="1">
        <v>1689.0</v>
      </c>
      <c r="AX440" s="1" t="s">
        <v>8992</v>
      </c>
      <c r="AY440" s="3" t="str">
        <f>HYPERLINK("http://dx.doi.org/10.3390/atmos13101689","http://dx.doi.org/10.3390/atmos13101689")</f>
        <v>http://dx.doi.org/10.3390/atmos13101689</v>
      </c>
      <c r="AZ440" s="1" t="s">
        <v>68</v>
      </c>
      <c r="BA440" s="1" t="s">
        <v>68</v>
      </c>
      <c r="BB440" s="1">
        <v>17.0</v>
      </c>
      <c r="BC440" s="1" t="s">
        <v>6324</v>
      </c>
      <c r="BD440" s="1" t="s">
        <v>92</v>
      </c>
      <c r="BE440" s="1" t="s">
        <v>3896</v>
      </c>
      <c r="BF440" s="1" t="s">
        <v>8993</v>
      </c>
      <c r="BG440" s="1" t="s">
        <v>68</v>
      </c>
      <c r="BH440" s="1" t="s">
        <v>94</v>
      </c>
      <c r="BI440" s="1" t="s">
        <v>68</v>
      </c>
      <c r="BJ440" s="1" t="s">
        <v>68</v>
      </c>
      <c r="BK440" s="1" t="s">
        <v>95</v>
      </c>
      <c r="BL440" s="1" t="s">
        <v>8994</v>
      </c>
      <c r="BM440" s="1" t="str">
        <f>HYPERLINK("https%3A%2F%2Fwww.webofscience.com%2Fwos%2Fwoscc%2Ffull-record%2FWOS:000872315100001","View Full Record in Web of Science")</f>
        <v>View Full Record in Web of Science</v>
      </c>
    </row>
    <row r="441" ht="12.75" customHeight="1">
      <c r="A441" s="1" t="s">
        <v>65</v>
      </c>
      <c r="B441" s="1" t="s">
        <v>8995</v>
      </c>
      <c r="C441" s="1" t="s">
        <v>8996</v>
      </c>
      <c r="D441" s="1" t="s">
        <v>68</v>
      </c>
      <c r="E441" s="1" t="s">
        <v>8997</v>
      </c>
      <c r="F441" s="1" t="s">
        <v>8998</v>
      </c>
      <c r="G441" s="1" t="s">
        <v>68</v>
      </c>
      <c r="H441" s="1" t="s">
        <v>71</v>
      </c>
      <c r="I441" s="1" t="s">
        <v>72</v>
      </c>
      <c r="J441" s="1" t="s">
        <v>68</v>
      </c>
      <c r="K441" s="1" t="s">
        <v>68</v>
      </c>
      <c r="L441" s="1" t="s">
        <v>68</v>
      </c>
      <c r="M441" s="1" t="s">
        <v>68</v>
      </c>
      <c r="N441" s="1" t="s">
        <v>8999</v>
      </c>
      <c r="O441" s="1" t="s">
        <v>9000</v>
      </c>
      <c r="P441" s="1" t="s">
        <v>9001</v>
      </c>
      <c r="Q441" s="1" t="s">
        <v>9002</v>
      </c>
      <c r="R441" s="1" t="s">
        <v>9003</v>
      </c>
      <c r="S441" s="1" t="s">
        <v>9004</v>
      </c>
      <c r="T441" s="1" t="s">
        <v>9005</v>
      </c>
      <c r="U441" s="1" t="s">
        <v>9006</v>
      </c>
      <c r="V441" s="1" t="s">
        <v>9007</v>
      </c>
      <c r="W441" s="1" t="s">
        <v>9008</v>
      </c>
      <c r="X441" s="1" t="s">
        <v>9008</v>
      </c>
      <c r="Y441" s="1" t="s">
        <v>9009</v>
      </c>
      <c r="Z441" s="1">
        <v>50.0</v>
      </c>
      <c r="AA441" s="1">
        <v>22.0</v>
      </c>
      <c r="AB441" s="1">
        <v>25.0</v>
      </c>
      <c r="AC441" s="1">
        <v>1.0</v>
      </c>
      <c r="AD441" s="1">
        <v>22.0</v>
      </c>
      <c r="AE441" s="1" t="s">
        <v>2239</v>
      </c>
      <c r="AF441" s="1" t="s">
        <v>2240</v>
      </c>
      <c r="AG441" s="1" t="s">
        <v>2241</v>
      </c>
      <c r="AH441" s="1" t="s">
        <v>9010</v>
      </c>
      <c r="AI441" s="1" t="s">
        <v>9011</v>
      </c>
      <c r="AJ441" s="1" t="s">
        <v>68</v>
      </c>
      <c r="AK441" s="1" t="s">
        <v>8998</v>
      </c>
      <c r="AL441" s="1" t="s">
        <v>9012</v>
      </c>
      <c r="AM441" s="1" t="s">
        <v>4146</v>
      </c>
      <c r="AN441" s="1">
        <v>2019.0</v>
      </c>
      <c r="AO441" s="1" t="s">
        <v>68</v>
      </c>
      <c r="AP441" s="1">
        <v>50.0</v>
      </c>
      <c r="AQ441" s="1" t="s">
        <v>68</v>
      </c>
      <c r="AR441" s="1" t="s">
        <v>68</v>
      </c>
      <c r="AS441" s="1" t="s">
        <v>68</v>
      </c>
      <c r="AT441" s="1" t="s">
        <v>68</v>
      </c>
      <c r="AU441" s="1">
        <v>97.0</v>
      </c>
      <c r="AV441" s="1">
        <v>108.0</v>
      </c>
      <c r="AW441" s="1" t="s">
        <v>68</v>
      </c>
      <c r="AX441" s="1" t="s">
        <v>9013</v>
      </c>
      <c r="AY441" s="3" t="str">
        <f>HYPERLINK("http://dx.doi.org/10.3897/neobiota.50.37587","http://dx.doi.org/10.3897/neobiota.50.37587")</f>
        <v>http://dx.doi.org/10.3897/neobiota.50.37587</v>
      </c>
      <c r="AZ441" s="1" t="s">
        <v>68</v>
      </c>
      <c r="BA441" s="1" t="s">
        <v>68</v>
      </c>
      <c r="BB441" s="1">
        <v>12.0</v>
      </c>
      <c r="BC441" s="1" t="s">
        <v>1011</v>
      </c>
      <c r="BD441" s="1" t="s">
        <v>92</v>
      </c>
      <c r="BE441" s="1" t="s">
        <v>123</v>
      </c>
      <c r="BF441" s="1" t="s">
        <v>9014</v>
      </c>
      <c r="BG441" s="1" t="s">
        <v>68</v>
      </c>
      <c r="BH441" s="1" t="s">
        <v>94</v>
      </c>
      <c r="BI441" s="1" t="s">
        <v>68</v>
      </c>
      <c r="BJ441" s="1" t="s">
        <v>68</v>
      </c>
      <c r="BK441" s="1" t="s">
        <v>95</v>
      </c>
      <c r="BL441" s="1" t="s">
        <v>9015</v>
      </c>
      <c r="BM441" s="1" t="str">
        <f>HYPERLINK("https%3A%2F%2Fwww.webofscience.com%2Fwos%2Fwoscc%2Ffull-record%2FWOS:000489633900001","View Full Record in Web of Science")</f>
        <v>View Full Record in Web of Science</v>
      </c>
    </row>
    <row r="442" ht="12.75" customHeight="1">
      <c r="A442" s="1" t="s">
        <v>65</v>
      </c>
      <c r="B442" s="1" t="s">
        <v>9016</v>
      </c>
      <c r="C442" s="1" t="s">
        <v>9017</v>
      </c>
      <c r="D442" s="1" t="s">
        <v>68</v>
      </c>
      <c r="E442" s="1" t="s">
        <v>9018</v>
      </c>
      <c r="F442" s="1" t="s">
        <v>9019</v>
      </c>
      <c r="G442" s="1" t="s">
        <v>68</v>
      </c>
      <c r="H442" s="1" t="s">
        <v>71</v>
      </c>
      <c r="I442" s="1" t="s">
        <v>72</v>
      </c>
      <c r="J442" s="1" t="s">
        <v>68</v>
      </c>
      <c r="K442" s="1" t="s">
        <v>68</v>
      </c>
      <c r="L442" s="1" t="s">
        <v>68</v>
      </c>
      <c r="M442" s="1" t="s">
        <v>68</v>
      </c>
      <c r="N442" s="1" t="s">
        <v>9020</v>
      </c>
      <c r="O442" s="1" t="s">
        <v>9021</v>
      </c>
      <c r="P442" s="1" t="s">
        <v>9022</v>
      </c>
      <c r="Q442" s="1" t="s">
        <v>9023</v>
      </c>
      <c r="R442" s="1" t="s">
        <v>9024</v>
      </c>
      <c r="S442" s="1" t="s">
        <v>9025</v>
      </c>
      <c r="T442" s="1" t="s">
        <v>9026</v>
      </c>
      <c r="U442" s="1" t="s">
        <v>9027</v>
      </c>
      <c r="V442" s="1" t="s">
        <v>9028</v>
      </c>
      <c r="W442" s="1" t="s">
        <v>9029</v>
      </c>
      <c r="X442" s="1" t="s">
        <v>9029</v>
      </c>
      <c r="Y442" s="1" t="s">
        <v>9030</v>
      </c>
      <c r="Z442" s="1">
        <v>75.0</v>
      </c>
      <c r="AA442" s="1">
        <v>63.0</v>
      </c>
      <c r="AB442" s="1">
        <v>70.0</v>
      </c>
      <c r="AC442" s="1">
        <v>0.0</v>
      </c>
      <c r="AD442" s="1">
        <v>25.0</v>
      </c>
      <c r="AE442" s="1" t="s">
        <v>9031</v>
      </c>
      <c r="AF442" s="1" t="s">
        <v>9032</v>
      </c>
      <c r="AG442" s="1" t="s">
        <v>9033</v>
      </c>
      <c r="AH442" s="1" t="s">
        <v>9034</v>
      </c>
      <c r="AI442" s="1" t="s">
        <v>68</v>
      </c>
      <c r="AJ442" s="1" t="s">
        <v>68</v>
      </c>
      <c r="AK442" s="1" t="s">
        <v>9035</v>
      </c>
      <c r="AL442" s="1" t="s">
        <v>9036</v>
      </c>
      <c r="AM442" s="1" t="s">
        <v>9037</v>
      </c>
      <c r="AN442" s="1">
        <v>2018.0</v>
      </c>
      <c r="AO442" s="1">
        <v>4.0</v>
      </c>
      <c r="AP442" s="1">
        <v>1.0</v>
      </c>
      <c r="AQ442" s="1" t="s">
        <v>68</v>
      </c>
      <c r="AR442" s="1" t="s">
        <v>68</v>
      </c>
      <c r="AS442" s="1" t="s">
        <v>68</v>
      </c>
      <c r="AT442" s="1" t="s">
        <v>68</v>
      </c>
      <c r="AU442" s="1">
        <v>315.0</v>
      </c>
      <c r="AV442" s="1">
        <v>332.0</v>
      </c>
      <c r="AW442" s="1" t="s">
        <v>68</v>
      </c>
      <c r="AX442" s="1" t="s">
        <v>9038</v>
      </c>
      <c r="AY442" s="3" t="str">
        <f>HYPERLINK("http://dx.doi.org/10.2196/publichealth.8953","http://dx.doi.org/10.2196/publichealth.8953")</f>
        <v>http://dx.doi.org/10.2196/publichealth.8953</v>
      </c>
      <c r="AZ442" s="1" t="s">
        <v>68</v>
      </c>
      <c r="BA442" s="1" t="s">
        <v>68</v>
      </c>
      <c r="BB442" s="1">
        <v>18.0</v>
      </c>
      <c r="BC442" s="1" t="s">
        <v>3647</v>
      </c>
      <c r="BD442" s="1" t="s">
        <v>279</v>
      </c>
      <c r="BE442" s="1" t="s">
        <v>3647</v>
      </c>
      <c r="BF442" s="1" t="s">
        <v>9039</v>
      </c>
      <c r="BG442" s="1">
        <v>2.9588267E7</v>
      </c>
      <c r="BH442" s="1" t="s">
        <v>94</v>
      </c>
      <c r="BI442" s="1" t="s">
        <v>68</v>
      </c>
      <c r="BJ442" s="1" t="s">
        <v>68</v>
      </c>
      <c r="BK442" s="1" t="s">
        <v>95</v>
      </c>
      <c r="BL442" s="1" t="s">
        <v>9040</v>
      </c>
      <c r="BM442" s="1" t="str">
        <f>HYPERLINK("https%3A%2F%2Fwww.webofscience.com%2Fwos%2Fwoscc%2Ffull-record%2FWOS:000526815300028","View Full Record in Web of Science")</f>
        <v>View Full Record in Web of Science</v>
      </c>
    </row>
    <row r="443" ht="12.75" customHeight="1">
      <c r="A443" s="1" t="s">
        <v>65</v>
      </c>
      <c r="B443" s="1" t="s">
        <v>9041</v>
      </c>
      <c r="C443" s="1" t="s">
        <v>9042</v>
      </c>
      <c r="D443" s="1" t="s">
        <v>68</v>
      </c>
      <c r="E443" s="1" t="s">
        <v>9043</v>
      </c>
      <c r="F443" s="1" t="s">
        <v>9044</v>
      </c>
      <c r="G443" s="1" t="s">
        <v>68</v>
      </c>
      <c r="H443" s="1" t="s">
        <v>71</v>
      </c>
      <c r="I443" s="1" t="s">
        <v>72</v>
      </c>
      <c r="J443" s="1" t="s">
        <v>68</v>
      </c>
      <c r="K443" s="1" t="s">
        <v>68</v>
      </c>
      <c r="L443" s="1" t="s">
        <v>68</v>
      </c>
      <c r="M443" s="1" t="s">
        <v>68</v>
      </c>
      <c r="N443" s="1" t="s">
        <v>9045</v>
      </c>
      <c r="O443" s="1" t="s">
        <v>9046</v>
      </c>
      <c r="P443" s="1" t="s">
        <v>9047</v>
      </c>
      <c r="Q443" s="1" t="s">
        <v>9048</v>
      </c>
      <c r="R443" s="1" t="s">
        <v>9049</v>
      </c>
      <c r="S443" s="1" t="s">
        <v>9050</v>
      </c>
      <c r="T443" s="1" t="s">
        <v>9051</v>
      </c>
      <c r="U443" s="1" t="s">
        <v>9052</v>
      </c>
      <c r="V443" s="1" t="s">
        <v>9053</v>
      </c>
      <c r="W443" s="1" t="s">
        <v>9054</v>
      </c>
      <c r="X443" s="1" t="s">
        <v>9055</v>
      </c>
      <c r="Y443" s="1" t="s">
        <v>9056</v>
      </c>
      <c r="Z443" s="1">
        <v>83.0</v>
      </c>
      <c r="AA443" s="1">
        <v>22.0</v>
      </c>
      <c r="AB443" s="1">
        <v>24.0</v>
      </c>
      <c r="AC443" s="1">
        <v>3.0</v>
      </c>
      <c r="AD443" s="1">
        <v>45.0</v>
      </c>
      <c r="AE443" s="1" t="s">
        <v>503</v>
      </c>
      <c r="AF443" s="1" t="s">
        <v>504</v>
      </c>
      <c r="AG443" s="1" t="s">
        <v>505</v>
      </c>
      <c r="AH443" s="1" t="s">
        <v>9057</v>
      </c>
      <c r="AI443" s="1" t="s">
        <v>9058</v>
      </c>
      <c r="AJ443" s="1" t="s">
        <v>68</v>
      </c>
      <c r="AK443" s="1" t="s">
        <v>9059</v>
      </c>
      <c r="AL443" s="1" t="s">
        <v>9060</v>
      </c>
      <c r="AM443" s="1" t="s">
        <v>428</v>
      </c>
      <c r="AN443" s="1">
        <v>2023.0</v>
      </c>
      <c r="AO443" s="1">
        <v>23.0</v>
      </c>
      <c r="AP443" s="1">
        <v>7.0</v>
      </c>
      <c r="AQ443" s="1" t="s">
        <v>68</v>
      </c>
      <c r="AR443" s="1" t="s">
        <v>68</v>
      </c>
      <c r="AS443" s="1" t="s">
        <v>68</v>
      </c>
      <c r="AT443" s="1" t="s">
        <v>68</v>
      </c>
      <c r="AU443" s="1">
        <v>1641.0</v>
      </c>
      <c r="AV443" s="1">
        <v>1655.0</v>
      </c>
      <c r="AW443" s="1" t="s">
        <v>68</v>
      </c>
      <c r="AX443" s="1" t="s">
        <v>9061</v>
      </c>
      <c r="AY443" s="3" t="str">
        <f>HYPERLINK("http://dx.doi.org/10.1111/1755-0998.13839","http://dx.doi.org/10.1111/1755-0998.13839")</f>
        <v>http://dx.doi.org/10.1111/1755-0998.13839</v>
      </c>
      <c r="AZ443" s="1" t="s">
        <v>68</v>
      </c>
      <c r="BA443" s="1" t="s">
        <v>6275</v>
      </c>
      <c r="BB443" s="1">
        <v>15.0</v>
      </c>
      <c r="BC443" s="1" t="s">
        <v>5339</v>
      </c>
      <c r="BD443" s="1" t="s">
        <v>92</v>
      </c>
      <c r="BE443" s="1" t="s">
        <v>5340</v>
      </c>
      <c r="BF443" s="1" t="s">
        <v>9062</v>
      </c>
      <c r="BG443" s="1">
        <v>3.7464467E7</v>
      </c>
      <c r="BH443" s="1" t="s">
        <v>644</v>
      </c>
      <c r="BI443" s="1" t="s">
        <v>68</v>
      </c>
      <c r="BJ443" s="1" t="s">
        <v>68</v>
      </c>
      <c r="BK443" s="1" t="s">
        <v>95</v>
      </c>
      <c r="BL443" s="1" t="s">
        <v>9063</v>
      </c>
      <c r="BM443" s="1" t="str">
        <f>HYPERLINK("https%3A%2F%2Fwww.webofscience.com%2Fwos%2Fwoscc%2Ffull-record%2FWOS:001031892900001","View Full Record in Web of Science")</f>
        <v>View Full Record in Web of Science</v>
      </c>
    </row>
    <row r="444" ht="12.75" customHeight="1">
      <c r="A444" s="1" t="s">
        <v>65</v>
      </c>
      <c r="B444" s="1" t="s">
        <v>9064</v>
      </c>
      <c r="C444" s="1" t="s">
        <v>9065</v>
      </c>
      <c r="D444" s="1" t="s">
        <v>68</v>
      </c>
      <c r="E444" s="1" t="s">
        <v>9066</v>
      </c>
      <c r="F444" s="1" t="s">
        <v>9067</v>
      </c>
      <c r="G444" s="1" t="s">
        <v>68</v>
      </c>
      <c r="H444" s="1" t="s">
        <v>71</v>
      </c>
      <c r="I444" s="1" t="s">
        <v>72</v>
      </c>
      <c r="J444" s="1" t="s">
        <v>68</v>
      </c>
      <c r="K444" s="1" t="s">
        <v>68</v>
      </c>
      <c r="L444" s="1" t="s">
        <v>68</v>
      </c>
      <c r="M444" s="1" t="s">
        <v>68</v>
      </c>
      <c r="N444" s="1" t="s">
        <v>9068</v>
      </c>
      <c r="O444" s="1" t="s">
        <v>9069</v>
      </c>
      <c r="P444" s="1" t="s">
        <v>9070</v>
      </c>
      <c r="Q444" s="1" t="s">
        <v>9071</v>
      </c>
      <c r="R444" s="1" t="s">
        <v>9072</v>
      </c>
      <c r="S444" s="1" t="s">
        <v>9073</v>
      </c>
      <c r="T444" s="1" t="s">
        <v>9074</v>
      </c>
      <c r="U444" s="1" t="s">
        <v>9075</v>
      </c>
      <c r="V444" s="1" t="s">
        <v>9076</v>
      </c>
      <c r="W444" s="1" t="s">
        <v>9077</v>
      </c>
      <c r="X444" s="1" t="s">
        <v>9078</v>
      </c>
      <c r="Y444" s="1" t="s">
        <v>9079</v>
      </c>
      <c r="Z444" s="1">
        <v>68.0</v>
      </c>
      <c r="AA444" s="1">
        <v>7.0</v>
      </c>
      <c r="AB444" s="1">
        <v>8.0</v>
      </c>
      <c r="AC444" s="1">
        <v>1.0</v>
      </c>
      <c r="AD444" s="1">
        <v>7.0</v>
      </c>
      <c r="AE444" s="1" t="s">
        <v>247</v>
      </c>
      <c r="AF444" s="1" t="s">
        <v>248</v>
      </c>
      <c r="AG444" s="1" t="s">
        <v>351</v>
      </c>
      <c r="AH444" s="1" t="s">
        <v>68</v>
      </c>
      <c r="AI444" s="1" t="s">
        <v>9080</v>
      </c>
      <c r="AJ444" s="1" t="s">
        <v>68</v>
      </c>
      <c r="AK444" s="1" t="s">
        <v>9081</v>
      </c>
      <c r="AL444" s="1" t="s">
        <v>9082</v>
      </c>
      <c r="AM444" s="1" t="s">
        <v>224</v>
      </c>
      <c r="AN444" s="1">
        <v>2023.0</v>
      </c>
      <c r="AO444" s="1">
        <v>11.0</v>
      </c>
      <c r="AP444" s="1">
        <v>2.0</v>
      </c>
      <c r="AQ444" s="1" t="s">
        <v>68</v>
      </c>
      <c r="AR444" s="1" t="s">
        <v>68</v>
      </c>
      <c r="AS444" s="1" t="s">
        <v>68</v>
      </c>
      <c r="AT444" s="1" t="s">
        <v>68</v>
      </c>
      <c r="AU444" s="1" t="s">
        <v>68</v>
      </c>
      <c r="AV444" s="1" t="s">
        <v>68</v>
      </c>
      <c r="AW444" s="1">
        <v>438.0</v>
      </c>
      <c r="AX444" s="1" t="s">
        <v>9083</v>
      </c>
      <c r="AY444" s="3" t="str">
        <f>HYPERLINK("http://dx.doi.org/10.3390/jmse11020438","http://dx.doi.org/10.3390/jmse11020438")</f>
        <v>http://dx.doi.org/10.3390/jmse11020438</v>
      </c>
      <c r="AZ444" s="1" t="s">
        <v>68</v>
      </c>
      <c r="BA444" s="1" t="s">
        <v>68</v>
      </c>
      <c r="BB444" s="1">
        <v>14.0</v>
      </c>
      <c r="BC444" s="1" t="s">
        <v>9084</v>
      </c>
      <c r="BD444" s="1" t="s">
        <v>92</v>
      </c>
      <c r="BE444" s="1" t="s">
        <v>9085</v>
      </c>
      <c r="BF444" s="1" t="s">
        <v>9086</v>
      </c>
      <c r="BG444" s="1" t="s">
        <v>68</v>
      </c>
      <c r="BH444" s="1" t="s">
        <v>94</v>
      </c>
      <c r="BI444" s="1" t="s">
        <v>68</v>
      </c>
      <c r="BJ444" s="1" t="s">
        <v>68</v>
      </c>
      <c r="BK444" s="1" t="s">
        <v>95</v>
      </c>
      <c r="BL444" s="1" t="s">
        <v>9087</v>
      </c>
      <c r="BM444" s="1" t="str">
        <f>HYPERLINK("https%3A%2F%2Fwww.webofscience.com%2Fwos%2Fwoscc%2Ffull-record%2FWOS:000941408400001","View Full Record in Web of Science")</f>
        <v>View Full Record in Web of Science</v>
      </c>
    </row>
    <row r="445" ht="12.75" customHeight="1">
      <c r="A445" s="1" t="s">
        <v>65</v>
      </c>
      <c r="B445" s="1" t="s">
        <v>9088</v>
      </c>
      <c r="C445" s="1" t="s">
        <v>9089</v>
      </c>
      <c r="D445" s="1" t="s">
        <v>68</v>
      </c>
      <c r="E445" s="1" t="s">
        <v>9090</v>
      </c>
      <c r="F445" s="1" t="s">
        <v>4788</v>
      </c>
      <c r="G445" s="1" t="s">
        <v>68</v>
      </c>
      <c r="H445" s="1" t="s">
        <v>71</v>
      </c>
      <c r="I445" s="1" t="s">
        <v>72</v>
      </c>
      <c r="J445" s="1" t="s">
        <v>68</v>
      </c>
      <c r="K445" s="1" t="s">
        <v>68</v>
      </c>
      <c r="L445" s="1" t="s">
        <v>68</v>
      </c>
      <c r="M445" s="1" t="s">
        <v>68</v>
      </c>
      <c r="N445" s="1" t="s">
        <v>9091</v>
      </c>
      <c r="O445" s="1" t="s">
        <v>2075</v>
      </c>
      <c r="P445" s="1" t="s">
        <v>9092</v>
      </c>
      <c r="Q445" s="1" t="s">
        <v>9093</v>
      </c>
      <c r="R445" s="1" t="s">
        <v>9094</v>
      </c>
      <c r="S445" s="1" t="s">
        <v>9095</v>
      </c>
      <c r="T445" s="1" t="s">
        <v>9096</v>
      </c>
      <c r="U445" s="1" t="s">
        <v>9097</v>
      </c>
      <c r="V445" s="1" t="s">
        <v>68</v>
      </c>
      <c r="W445" s="1" t="s">
        <v>68</v>
      </c>
      <c r="X445" s="1" t="s">
        <v>68</v>
      </c>
      <c r="Y445" s="1" t="s">
        <v>68</v>
      </c>
      <c r="Z445" s="1">
        <v>41.0</v>
      </c>
      <c r="AA445" s="1">
        <v>0.0</v>
      </c>
      <c r="AB445" s="1">
        <v>0.0</v>
      </c>
      <c r="AC445" s="1">
        <v>1.0</v>
      </c>
      <c r="AD445" s="1">
        <v>1.0</v>
      </c>
      <c r="AE445" s="1" t="s">
        <v>1596</v>
      </c>
      <c r="AF445" s="1" t="s">
        <v>1182</v>
      </c>
      <c r="AG445" s="1" t="s">
        <v>1597</v>
      </c>
      <c r="AH445" s="1" t="s">
        <v>4800</v>
      </c>
      <c r="AI445" s="1" t="s">
        <v>4801</v>
      </c>
      <c r="AJ445" s="1" t="s">
        <v>68</v>
      </c>
      <c r="AK445" s="1" t="s">
        <v>4802</v>
      </c>
      <c r="AL445" s="1" t="s">
        <v>4803</v>
      </c>
      <c r="AM445" s="1" t="s">
        <v>224</v>
      </c>
      <c r="AN445" s="1">
        <v>2026.0</v>
      </c>
      <c r="AO445" s="1">
        <v>294.0</v>
      </c>
      <c r="AP445" s="1" t="s">
        <v>68</v>
      </c>
      <c r="AQ445" s="1" t="s">
        <v>68</v>
      </c>
      <c r="AR445" s="1" t="s">
        <v>68</v>
      </c>
      <c r="AS445" s="1" t="s">
        <v>68</v>
      </c>
      <c r="AT445" s="1" t="s">
        <v>68</v>
      </c>
      <c r="AU445" s="1" t="s">
        <v>68</v>
      </c>
      <c r="AV445" s="1" t="s">
        <v>68</v>
      </c>
      <c r="AW445" s="1">
        <v>107668.0</v>
      </c>
      <c r="AX445" s="1" t="s">
        <v>9098</v>
      </c>
      <c r="AY445" s="3" t="str">
        <f>HYPERLINK("http://dx.doi.org/10.1016/j.fishres.2026.107668","http://dx.doi.org/10.1016/j.fishres.2026.107668")</f>
        <v>http://dx.doi.org/10.1016/j.fishres.2026.107668</v>
      </c>
      <c r="AZ445" s="1" t="s">
        <v>68</v>
      </c>
      <c r="BA445" s="1" t="s">
        <v>4888</v>
      </c>
      <c r="BB445" s="1">
        <v>11.0</v>
      </c>
      <c r="BC445" s="1" t="s">
        <v>4805</v>
      </c>
      <c r="BD445" s="1" t="s">
        <v>92</v>
      </c>
      <c r="BE445" s="1" t="s">
        <v>4805</v>
      </c>
      <c r="BF445" s="1" t="s">
        <v>9099</v>
      </c>
      <c r="BG445" s="1" t="s">
        <v>68</v>
      </c>
      <c r="BH445" s="1" t="s">
        <v>867</v>
      </c>
      <c r="BI445" s="1" t="s">
        <v>68</v>
      </c>
      <c r="BJ445" s="1" t="s">
        <v>68</v>
      </c>
      <c r="BK445" s="1" t="s">
        <v>95</v>
      </c>
      <c r="BL445" s="1" t="s">
        <v>9100</v>
      </c>
      <c r="BM445" s="1" t="str">
        <f>HYPERLINK("https%3A%2F%2Fwww.webofscience.com%2Fwos%2Fwoscc%2Ffull-record%2FWOS:001685633700001","View Full Record in Web of Science")</f>
        <v>View Full Record in Web of Science</v>
      </c>
    </row>
    <row r="446" ht="12.75" customHeight="1">
      <c r="A446" s="1" t="s">
        <v>65</v>
      </c>
      <c r="B446" s="1" t="s">
        <v>9101</v>
      </c>
      <c r="C446" s="1" t="s">
        <v>9102</v>
      </c>
      <c r="D446" s="1" t="s">
        <v>68</v>
      </c>
      <c r="E446" s="1" t="s">
        <v>9103</v>
      </c>
      <c r="F446" s="1" t="s">
        <v>749</v>
      </c>
      <c r="G446" s="1" t="s">
        <v>68</v>
      </c>
      <c r="H446" s="1" t="s">
        <v>71</v>
      </c>
      <c r="I446" s="1" t="s">
        <v>72</v>
      </c>
      <c r="J446" s="1" t="s">
        <v>68</v>
      </c>
      <c r="K446" s="1" t="s">
        <v>68</v>
      </c>
      <c r="L446" s="1" t="s">
        <v>68</v>
      </c>
      <c r="M446" s="1" t="s">
        <v>68</v>
      </c>
      <c r="N446" s="1" t="s">
        <v>9104</v>
      </c>
      <c r="O446" s="1" t="s">
        <v>9105</v>
      </c>
      <c r="P446" s="1" t="s">
        <v>9106</v>
      </c>
      <c r="Q446" s="1" t="s">
        <v>9107</v>
      </c>
      <c r="R446" s="1" t="s">
        <v>9108</v>
      </c>
      <c r="S446" s="1" t="s">
        <v>9109</v>
      </c>
      <c r="T446" s="1" t="s">
        <v>9110</v>
      </c>
      <c r="U446" s="1" t="s">
        <v>9111</v>
      </c>
      <c r="V446" s="1" t="s">
        <v>9112</v>
      </c>
      <c r="W446" s="1" t="s">
        <v>68</v>
      </c>
      <c r="X446" s="1" t="s">
        <v>68</v>
      </c>
      <c r="Y446" s="1" t="s">
        <v>68</v>
      </c>
      <c r="Z446" s="1">
        <v>24.0</v>
      </c>
      <c r="AA446" s="1">
        <v>81.0</v>
      </c>
      <c r="AB446" s="1">
        <v>95.0</v>
      </c>
      <c r="AC446" s="1">
        <v>1.0</v>
      </c>
      <c r="AD446" s="1">
        <v>98.0</v>
      </c>
      <c r="AE446" s="1" t="s">
        <v>758</v>
      </c>
      <c r="AF446" s="1" t="s">
        <v>759</v>
      </c>
      <c r="AG446" s="1" t="s">
        <v>760</v>
      </c>
      <c r="AH446" s="1" t="s">
        <v>761</v>
      </c>
      <c r="AI446" s="1" t="s">
        <v>762</v>
      </c>
      <c r="AJ446" s="1" t="s">
        <v>68</v>
      </c>
      <c r="AK446" s="1" t="s">
        <v>763</v>
      </c>
      <c r="AL446" s="1" t="s">
        <v>764</v>
      </c>
      <c r="AM446" s="1" t="s">
        <v>68</v>
      </c>
      <c r="AN446" s="1">
        <v>2012.0</v>
      </c>
      <c r="AO446" s="1">
        <v>39.0</v>
      </c>
      <c r="AP446" s="1">
        <v>8.0</v>
      </c>
      <c r="AQ446" s="1" t="s">
        <v>68</v>
      </c>
      <c r="AR446" s="1" t="s">
        <v>68</v>
      </c>
      <c r="AS446" s="1" t="s">
        <v>68</v>
      </c>
      <c r="AT446" s="1" t="s">
        <v>68</v>
      </c>
      <c r="AU446" s="1">
        <v>696.0</v>
      </c>
      <c r="AV446" s="1">
        <v>704.0</v>
      </c>
      <c r="AW446" s="1" t="s">
        <v>68</v>
      </c>
      <c r="AX446" s="1" t="s">
        <v>9113</v>
      </c>
      <c r="AY446" s="3" t="str">
        <f>HYPERLINK("http://dx.doi.org/10.1071/WR12092","http://dx.doi.org/10.1071/WR12092")</f>
        <v>http://dx.doi.org/10.1071/WR12092</v>
      </c>
      <c r="AZ446" s="1" t="s">
        <v>68</v>
      </c>
      <c r="BA446" s="1" t="s">
        <v>68</v>
      </c>
      <c r="BB446" s="1">
        <v>9.0</v>
      </c>
      <c r="BC446" s="1" t="s">
        <v>766</v>
      </c>
      <c r="BD446" s="1" t="s">
        <v>92</v>
      </c>
      <c r="BE446" s="1" t="s">
        <v>767</v>
      </c>
      <c r="BF446" s="1" t="s">
        <v>9114</v>
      </c>
      <c r="BG446" s="1" t="s">
        <v>68</v>
      </c>
      <c r="BH446" s="1" t="s">
        <v>68</v>
      </c>
      <c r="BI446" s="1" t="s">
        <v>68</v>
      </c>
      <c r="BJ446" s="1" t="s">
        <v>68</v>
      </c>
      <c r="BK446" s="1" t="s">
        <v>95</v>
      </c>
      <c r="BL446" s="1" t="s">
        <v>9115</v>
      </c>
      <c r="BM446" s="1" t="str">
        <f>HYPERLINK("https%3A%2F%2Fwww.webofscience.com%2Fwos%2Fwoscc%2Ffull-record%2FWOS:000312453900005","View Full Record in Web of Science")</f>
        <v>View Full Record in Web of Science</v>
      </c>
    </row>
    <row r="447" ht="12.75" customHeight="1">
      <c r="A447" s="1" t="s">
        <v>65</v>
      </c>
      <c r="B447" s="1" t="s">
        <v>9116</v>
      </c>
      <c r="C447" s="1" t="s">
        <v>9117</v>
      </c>
      <c r="D447" s="1" t="s">
        <v>68</v>
      </c>
      <c r="E447" s="1" t="s">
        <v>9118</v>
      </c>
      <c r="F447" s="1" t="s">
        <v>5946</v>
      </c>
      <c r="G447" s="1" t="s">
        <v>68</v>
      </c>
      <c r="H447" s="1" t="s">
        <v>71</v>
      </c>
      <c r="I447" s="1" t="s">
        <v>72</v>
      </c>
      <c r="J447" s="1" t="s">
        <v>68</v>
      </c>
      <c r="K447" s="1" t="s">
        <v>68</v>
      </c>
      <c r="L447" s="1" t="s">
        <v>68</v>
      </c>
      <c r="M447" s="1" t="s">
        <v>68</v>
      </c>
      <c r="N447" s="1" t="s">
        <v>9119</v>
      </c>
      <c r="O447" s="1" t="s">
        <v>9120</v>
      </c>
      <c r="P447" s="1" t="s">
        <v>9121</v>
      </c>
      <c r="Q447" s="1" t="s">
        <v>9122</v>
      </c>
      <c r="R447" s="1" t="s">
        <v>9123</v>
      </c>
      <c r="S447" s="1" t="s">
        <v>9124</v>
      </c>
      <c r="T447" s="1" t="s">
        <v>9125</v>
      </c>
      <c r="U447" s="1" t="s">
        <v>9126</v>
      </c>
      <c r="V447" s="1" t="s">
        <v>9127</v>
      </c>
      <c r="W447" s="1" t="s">
        <v>68</v>
      </c>
      <c r="X447" s="1" t="s">
        <v>68</v>
      </c>
      <c r="Y447" s="1" t="s">
        <v>68</v>
      </c>
      <c r="Z447" s="1">
        <v>28.0</v>
      </c>
      <c r="AA447" s="1">
        <v>17.0</v>
      </c>
      <c r="AB447" s="1">
        <v>17.0</v>
      </c>
      <c r="AC447" s="1">
        <v>1.0</v>
      </c>
      <c r="AD447" s="1">
        <v>10.0</v>
      </c>
      <c r="AE447" s="1" t="s">
        <v>2239</v>
      </c>
      <c r="AF447" s="1" t="s">
        <v>2240</v>
      </c>
      <c r="AG447" s="1" t="s">
        <v>2241</v>
      </c>
      <c r="AH447" s="1" t="s">
        <v>5959</v>
      </c>
      <c r="AI447" s="1" t="s">
        <v>5960</v>
      </c>
      <c r="AJ447" s="1" t="s">
        <v>68</v>
      </c>
      <c r="AK447" s="1" t="s">
        <v>5961</v>
      </c>
      <c r="AL447" s="1" t="s">
        <v>5962</v>
      </c>
      <c r="AM447" s="1" t="s">
        <v>68</v>
      </c>
      <c r="AN447" s="1">
        <v>2016.0</v>
      </c>
      <c r="AO447" s="1">
        <v>4.0</v>
      </c>
      <c r="AP447" s="1" t="s">
        <v>68</v>
      </c>
      <c r="AQ447" s="1" t="s">
        <v>68</v>
      </c>
      <c r="AR447" s="1" t="s">
        <v>68</v>
      </c>
      <c r="AS447" s="1" t="s">
        <v>68</v>
      </c>
      <c r="AT447" s="1" t="s">
        <v>68</v>
      </c>
      <c r="AU447" s="1" t="s">
        <v>68</v>
      </c>
      <c r="AV447" s="1" t="s">
        <v>68</v>
      </c>
      <c r="AW447" s="1" t="s">
        <v>9128</v>
      </c>
      <c r="AX447" s="1" t="s">
        <v>9129</v>
      </c>
      <c r="AY447" s="3" t="str">
        <f>HYPERLINK("http://dx.doi.org/10.3897/BDJ.4.e8692","http://dx.doi.org/10.3897/BDJ.4.e8692")</f>
        <v>http://dx.doi.org/10.3897/BDJ.4.e8692</v>
      </c>
      <c r="AZ447" s="1" t="s">
        <v>68</v>
      </c>
      <c r="BA447" s="1" t="s">
        <v>68</v>
      </c>
      <c r="BB447" s="1">
        <v>23.0</v>
      </c>
      <c r="BC447" s="1" t="s">
        <v>1171</v>
      </c>
      <c r="BD447" s="1" t="s">
        <v>92</v>
      </c>
      <c r="BE447" s="1" t="s">
        <v>1172</v>
      </c>
      <c r="BF447" s="1" t="s">
        <v>9130</v>
      </c>
      <c r="BG447" s="1">
        <v>2.7932909E7</v>
      </c>
      <c r="BH447" s="1" t="s">
        <v>94</v>
      </c>
      <c r="BI447" s="1" t="s">
        <v>68</v>
      </c>
      <c r="BJ447" s="1" t="s">
        <v>68</v>
      </c>
      <c r="BK447" s="1" t="s">
        <v>95</v>
      </c>
      <c r="BL447" s="1" t="s">
        <v>9131</v>
      </c>
      <c r="BM447" s="1" t="str">
        <f>HYPERLINK("https%3A%2F%2Fwww.webofscience.com%2Fwos%2Fwoscc%2Ffull-record%2FWOS:000449618200117","View Full Record in Web of Science")</f>
        <v>View Full Record in Web of Science</v>
      </c>
    </row>
    <row r="448" ht="12.75" customHeight="1">
      <c r="A448" s="1" t="s">
        <v>65</v>
      </c>
      <c r="B448" s="1" t="s">
        <v>9132</v>
      </c>
      <c r="C448" s="1" t="s">
        <v>9133</v>
      </c>
      <c r="D448" s="1" t="s">
        <v>68</v>
      </c>
      <c r="E448" s="1" t="s">
        <v>9134</v>
      </c>
      <c r="F448" s="1" t="s">
        <v>1895</v>
      </c>
      <c r="G448" s="1" t="s">
        <v>68</v>
      </c>
      <c r="H448" s="1" t="s">
        <v>71</v>
      </c>
      <c r="I448" s="1" t="s">
        <v>72</v>
      </c>
      <c r="J448" s="1" t="s">
        <v>68</v>
      </c>
      <c r="K448" s="1" t="s">
        <v>68</v>
      </c>
      <c r="L448" s="1" t="s">
        <v>68</v>
      </c>
      <c r="M448" s="1" t="s">
        <v>68</v>
      </c>
      <c r="N448" s="1" t="s">
        <v>68</v>
      </c>
      <c r="O448" s="1" t="s">
        <v>9135</v>
      </c>
      <c r="P448" s="1" t="s">
        <v>9136</v>
      </c>
      <c r="Q448" s="1" t="s">
        <v>9137</v>
      </c>
      <c r="R448" s="1" t="s">
        <v>9138</v>
      </c>
      <c r="S448" s="1" t="s">
        <v>9139</v>
      </c>
      <c r="T448" s="1" t="s">
        <v>9140</v>
      </c>
      <c r="U448" s="1" t="s">
        <v>9141</v>
      </c>
      <c r="V448" s="1" t="s">
        <v>9142</v>
      </c>
      <c r="W448" s="1" t="s">
        <v>9143</v>
      </c>
      <c r="X448" s="1" t="s">
        <v>9144</v>
      </c>
      <c r="Y448" s="1" t="s">
        <v>9145</v>
      </c>
      <c r="Z448" s="1">
        <v>82.0</v>
      </c>
      <c r="AA448" s="1">
        <v>3.0</v>
      </c>
      <c r="AB448" s="1">
        <v>3.0</v>
      </c>
      <c r="AC448" s="1">
        <v>1.0</v>
      </c>
      <c r="AD448" s="1">
        <v>3.0</v>
      </c>
      <c r="AE448" s="1" t="s">
        <v>1906</v>
      </c>
      <c r="AF448" s="1" t="s">
        <v>1907</v>
      </c>
      <c r="AG448" s="1" t="s">
        <v>1908</v>
      </c>
      <c r="AH448" s="1" t="s">
        <v>68</v>
      </c>
      <c r="AI448" s="1" t="s">
        <v>1909</v>
      </c>
      <c r="AJ448" s="1" t="s">
        <v>68</v>
      </c>
      <c r="AK448" s="1" t="s">
        <v>1895</v>
      </c>
      <c r="AL448" s="1" t="s">
        <v>1910</v>
      </c>
      <c r="AM448" s="1" t="s">
        <v>68</v>
      </c>
      <c r="AN448" s="1">
        <v>2025.0</v>
      </c>
      <c r="AO448" s="1">
        <v>20.0</v>
      </c>
      <c r="AP448" s="1">
        <v>6.0</v>
      </c>
      <c r="AQ448" s="1" t="s">
        <v>68</v>
      </c>
      <c r="AR448" s="1" t="s">
        <v>68</v>
      </c>
      <c r="AS448" s="1" t="s">
        <v>68</v>
      </c>
      <c r="AT448" s="1" t="s">
        <v>68</v>
      </c>
      <c r="AU448" s="1" t="s">
        <v>68</v>
      </c>
      <c r="AV448" s="1" t="s">
        <v>68</v>
      </c>
      <c r="AW448" s="1" t="s">
        <v>9146</v>
      </c>
      <c r="AX448" s="1" t="s">
        <v>9147</v>
      </c>
      <c r="AY448" s="3" t="str">
        <f>HYPERLINK("http://dx.doi.org/10.1371/journal.pone.0324701","http://dx.doi.org/10.1371/journal.pone.0324701")</f>
        <v>http://dx.doi.org/10.1371/journal.pone.0324701</v>
      </c>
      <c r="AZ448" s="1" t="s">
        <v>68</v>
      </c>
      <c r="BA448" s="1" t="s">
        <v>68</v>
      </c>
      <c r="BB448" s="1">
        <v>19.0</v>
      </c>
      <c r="BC448" s="1" t="s">
        <v>742</v>
      </c>
      <c r="BD448" s="1" t="s">
        <v>92</v>
      </c>
      <c r="BE448" s="1" t="s">
        <v>743</v>
      </c>
      <c r="BF448" s="1" t="s">
        <v>9148</v>
      </c>
      <c r="BG448" s="1">
        <v>4.0493641E7</v>
      </c>
      <c r="BH448" s="1" t="s">
        <v>94</v>
      </c>
      <c r="BI448" s="1" t="s">
        <v>68</v>
      </c>
      <c r="BJ448" s="1" t="s">
        <v>68</v>
      </c>
      <c r="BK448" s="1" t="s">
        <v>95</v>
      </c>
      <c r="BL448" s="1" t="s">
        <v>9149</v>
      </c>
      <c r="BM448" s="1" t="str">
        <f>HYPERLINK("https%3A%2F%2Fwww.webofscience.com%2Fwos%2Fwoscc%2Ffull-record%2FWOS:001508974100015","View Full Record in Web of Science")</f>
        <v>View Full Record in Web of Science</v>
      </c>
    </row>
    <row r="449" ht="12.75" customHeight="1">
      <c r="A449" s="1" t="s">
        <v>65</v>
      </c>
      <c r="B449" s="1" t="s">
        <v>9150</v>
      </c>
      <c r="C449" s="1" t="s">
        <v>9151</v>
      </c>
      <c r="D449" s="1" t="s">
        <v>68</v>
      </c>
      <c r="E449" s="1" t="s">
        <v>9152</v>
      </c>
      <c r="F449" s="1" t="s">
        <v>2908</v>
      </c>
      <c r="G449" s="1" t="s">
        <v>68</v>
      </c>
      <c r="H449" s="1" t="s">
        <v>71</v>
      </c>
      <c r="I449" s="1" t="s">
        <v>72</v>
      </c>
      <c r="J449" s="1" t="s">
        <v>68</v>
      </c>
      <c r="K449" s="1" t="s">
        <v>68</v>
      </c>
      <c r="L449" s="1" t="s">
        <v>68</v>
      </c>
      <c r="M449" s="1" t="s">
        <v>68</v>
      </c>
      <c r="N449" s="1" t="s">
        <v>9153</v>
      </c>
      <c r="O449" s="1" t="s">
        <v>9154</v>
      </c>
      <c r="P449" s="1" t="s">
        <v>9155</v>
      </c>
      <c r="Q449" s="1" t="s">
        <v>9156</v>
      </c>
      <c r="R449" s="1" t="s">
        <v>9157</v>
      </c>
      <c r="S449" s="1" t="s">
        <v>9158</v>
      </c>
      <c r="T449" s="1" t="s">
        <v>9159</v>
      </c>
      <c r="U449" s="1" t="s">
        <v>9160</v>
      </c>
      <c r="V449" s="1" t="s">
        <v>9161</v>
      </c>
      <c r="W449" s="1" t="s">
        <v>9162</v>
      </c>
      <c r="X449" s="1" t="s">
        <v>9163</v>
      </c>
      <c r="Y449" s="1" t="s">
        <v>9164</v>
      </c>
      <c r="Z449" s="1">
        <v>40.0</v>
      </c>
      <c r="AA449" s="1">
        <v>4.0</v>
      </c>
      <c r="AB449" s="1">
        <v>4.0</v>
      </c>
      <c r="AC449" s="1">
        <v>2.0</v>
      </c>
      <c r="AD449" s="1">
        <v>10.0</v>
      </c>
      <c r="AE449" s="1" t="s">
        <v>503</v>
      </c>
      <c r="AF449" s="1" t="s">
        <v>504</v>
      </c>
      <c r="AG449" s="1" t="s">
        <v>505</v>
      </c>
      <c r="AH449" s="1" t="s">
        <v>68</v>
      </c>
      <c r="AI449" s="1" t="s">
        <v>2921</v>
      </c>
      <c r="AJ449" s="1" t="s">
        <v>68</v>
      </c>
      <c r="AK449" s="1" t="s">
        <v>2922</v>
      </c>
      <c r="AL449" s="1" t="s">
        <v>2923</v>
      </c>
      <c r="AM449" s="1" t="s">
        <v>9165</v>
      </c>
      <c r="AN449" s="1">
        <v>2024.0</v>
      </c>
      <c r="AO449" s="1">
        <v>5.0</v>
      </c>
      <c r="AP449" s="1">
        <v>4.0</v>
      </c>
      <c r="AQ449" s="1" t="s">
        <v>68</v>
      </c>
      <c r="AR449" s="1" t="s">
        <v>68</v>
      </c>
      <c r="AS449" s="1" t="s">
        <v>68</v>
      </c>
      <c r="AT449" s="1" t="s">
        <v>68</v>
      </c>
      <c r="AU449" s="1" t="s">
        <v>68</v>
      </c>
      <c r="AV449" s="1" t="s">
        <v>68</v>
      </c>
      <c r="AW449" s="1" t="s">
        <v>9166</v>
      </c>
      <c r="AX449" s="1" t="s">
        <v>9167</v>
      </c>
      <c r="AY449" s="3" t="str">
        <f>HYPERLINK("http://dx.doi.org/10.1002/2688-8319.12400","http://dx.doi.org/10.1002/2688-8319.12400")</f>
        <v>http://dx.doi.org/10.1002/2688-8319.12400</v>
      </c>
      <c r="AZ449" s="1" t="s">
        <v>68</v>
      </c>
      <c r="BA449" s="1" t="s">
        <v>68</v>
      </c>
      <c r="BB449" s="1">
        <v>7.0</v>
      </c>
      <c r="BC449" s="1" t="s">
        <v>332</v>
      </c>
      <c r="BD449" s="1" t="s">
        <v>197</v>
      </c>
      <c r="BE449" s="1" t="s">
        <v>333</v>
      </c>
      <c r="BF449" s="1" t="s">
        <v>9168</v>
      </c>
      <c r="BG449" s="1" t="s">
        <v>68</v>
      </c>
      <c r="BH449" s="1" t="s">
        <v>94</v>
      </c>
      <c r="BI449" s="1" t="s">
        <v>68</v>
      </c>
      <c r="BJ449" s="1" t="s">
        <v>68</v>
      </c>
      <c r="BK449" s="1" t="s">
        <v>95</v>
      </c>
      <c r="BL449" s="1" t="s">
        <v>9169</v>
      </c>
      <c r="BM449" s="1" t="str">
        <f>HYPERLINK("https%3A%2F%2Fwww.webofscience.com%2Fwos%2Fwoscc%2Ffull-record%2FWOS:001369905000001","View Full Record in Web of Science")</f>
        <v>View Full Record in Web of Science</v>
      </c>
    </row>
    <row r="450" ht="12.75" customHeight="1">
      <c r="A450" s="1" t="s">
        <v>65</v>
      </c>
      <c r="B450" s="1" t="s">
        <v>9170</v>
      </c>
      <c r="C450" s="1" t="s">
        <v>9171</v>
      </c>
      <c r="D450" s="1" t="s">
        <v>68</v>
      </c>
      <c r="E450" s="1" t="s">
        <v>9172</v>
      </c>
      <c r="F450" s="1" t="s">
        <v>3005</v>
      </c>
      <c r="G450" s="1" t="s">
        <v>68</v>
      </c>
      <c r="H450" s="1" t="s">
        <v>71</v>
      </c>
      <c r="I450" s="1" t="s">
        <v>72</v>
      </c>
      <c r="J450" s="1" t="s">
        <v>68</v>
      </c>
      <c r="K450" s="1" t="s">
        <v>68</v>
      </c>
      <c r="L450" s="1" t="s">
        <v>68</v>
      </c>
      <c r="M450" s="1" t="s">
        <v>68</v>
      </c>
      <c r="N450" s="1" t="s">
        <v>9173</v>
      </c>
      <c r="O450" s="1" t="s">
        <v>9174</v>
      </c>
      <c r="P450" s="1" t="s">
        <v>9175</v>
      </c>
      <c r="Q450" s="1" t="s">
        <v>9176</v>
      </c>
      <c r="R450" s="1" t="s">
        <v>9177</v>
      </c>
      <c r="S450" s="1" t="s">
        <v>9178</v>
      </c>
      <c r="T450" s="1" t="s">
        <v>9179</v>
      </c>
      <c r="U450" s="1" t="s">
        <v>9180</v>
      </c>
      <c r="V450" s="1" t="s">
        <v>9181</v>
      </c>
      <c r="W450" s="1" t="s">
        <v>9182</v>
      </c>
      <c r="X450" s="1" t="s">
        <v>9183</v>
      </c>
      <c r="Y450" s="1" t="s">
        <v>9184</v>
      </c>
      <c r="Z450" s="1">
        <v>58.0</v>
      </c>
      <c r="AA450" s="1">
        <v>0.0</v>
      </c>
      <c r="AB450" s="1">
        <v>0.0</v>
      </c>
      <c r="AC450" s="1">
        <v>2.0</v>
      </c>
      <c r="AD450" s="1">
        <v>13.0</v>
      </c>
      <c r="AE450" s="1" t="s">
        <v>503</v>
      </c>
      <c r="AF450" s="1" t="s">
        <v>504</v>
      </c>
      <c r="AG450" s="1" t="s">
        <v>505</v>
      </c>
      <c r="AH450" s="1" t="s">
        <v>3017</v>
      </c>
      <c r="AI450" s="1" t="s">
        <v>3018</v>
      </c>
      <c r="AJ450" s="1" t="s">
        <v>68</v>
      </c>
      <c r="AK450" s="1" t="s">
        <v>3005</v>
      </c>
      <c r="AL450" s="1" t="s">
        <v>3019</v>
      </c>
      <c r="AM450" s="1" t="s">
        <v>1789</v>
      </c>
      <c r="AN450" s="1">
        <v>2025.0</v>
      </c>
      <c r="AO450" s="1">
        <v>167.0</v>
      </c>
      <c r="AP450" s="1">
        <v>1.0</v>
      </c>
      <c r="AQ450" s="1" t="s">
        <v>68</v>
      </c>
      <c r="AR450" s="1" t="s">
        <v>68</v>
      </c>
      <c r="AS450" s="1" t="s">
        <v>68</v>
      </c>
      <c r="AT450" s="1" t="s">
        <v>68</v>
      </c>
      <c r="AU450" s="1">
        <v>25.0</v>
      </c>
      <c r="AV450" s="1">
        <v>40.0</v>
      </c>
      <c r="AW450" s="1" t="s">
        <v>68</v>
      </c>
      <c r="AX450" s="1" t="s">
        <v>9185</v>
      </c>
      <c r="AY450" s="3" t="str">
        <f>HYPERLINK("http://dx.doi.org/10.1111/ibi.13280","http://dx.doi.org/10.1111/ibi.13280")</f>
        <v>http://dx.doi.org/10.1111/ibi.13280</v>
      </c>
      <c r="AZ450" s="1" t="s">
        <v>68</v>
      </c>
      <c r="BA450" s="1" t="s">
        <v>1889</v>
      </c>
      <c r="BB450" s="1">
        <v>16.0</v>
      </c>
      <c r="BC450" s="1" t="s">
        <v>3021</v>
      </c>
      <c r="BD450" s="1" t="s">
        <v>92</v>
      </c>
      <c r="BE450" s="1" t="s">
        <v>933</v>
      </c>
      <c r="BF450" s="1" t="s">
        <v>9186</v>
      </c>
      <c r="BG450" s="1" t="s">
        <v>68</v>
      </c>
      <c r="BH450" s="1" t="s">
        <v>512</v>
      </c>
      <c r="BI450" s="1" t="s">
        <v>68</v>
      </c>
      <c r="BJ450" s="1" t="s">
        <v>68</v>
      </c>
      <c r="BK450" s="1" t="s">
        <v>95</v>
      </c>
      <c r="BL450" s="1" t="s">
        <v>9187</v>
      </c>
      <c r="BM450" s="1" t="str">
        <f>HYPERLINK("https%3A%2F%2Fwww.webofscience.com%2Fwos%2Fwoscc%2Ffull-record%2FWOS:001099825500001","View Full Record in Web of Science")</f>
        <v>View Full Record in Web of Science</v>
      </c>
    </row>
    <row r="451" ht="12.75" customHeight="1">
      <c r="A451" s="1" t="s">
        <v>65</v>
      </c>
      <c r="B451" s="1" t="s">
        <v>9188</v>
      </c>
      <c r="C451" s="1" t="s">
        <v>9189</v>
      </c>
      <c r="D451" s="1" t="s">
        <v>68</v>
      </c>
      <c r="E451" s="1" t="s">
        <v>9190</v>
      </c>
      <c r="F451" s="1" t="s">
        <v>7158</v>
      </c>
      <c r="G451" s="1" t="s">
        <v>68</v>
      </c>
      <c r="H451" s="1" t="s">
        <v>71</v>
      </c>
      <c r="I451" s="1" t="s">
        <v>101</v>
      </c>
      <c r="J451" s="1" t="s">
        <v>68</v>
      </c>
      <c r="K451" s="1" t="s">
        <v>68</v>
      </c>
      <c r="L451" s="1" t="s">
        <v>68</v>
      </c>
      <c r="M451" s="1" t="s">
        <v>68</v>
      </c>
      <c r="N451" s="1" t="s">
        <v>9191</v>
      </c>
      <c r="O451" s="1" t="s">
        <v>9192</v>
      </c>
      <c r="P451" s="1" t="s">
        <v>9193</v>
      </c>
      <c r="Q451" s="1" t="s">
        <v>9194</v>
      </c>
      <c r="R451" s="1" t="s">
        <v>68</v>
      </c>
      <c r="S451" s="1" t="s">
        <v>9195</v>
      </c>
      <c r="T451" s="1" t="s">
        <v>9196</v>
      </c>
      <c r="U451" s="1" t="s">
        <v>9197</v>
      </c>
      <c r="V451" s="1" t="s">
        <v>9198</v>
      </c>
      <c r="W451" s="1" t="s">
        <v>9199</v>
      </c>
      <c r="X451" s="1" t="s">
        <v>9200</v>
      </c>
      <c r="Y451" s="1" t="s">
        <v>9201</v>
      </c>
      <c r="Z451" s="1">
        <v>105.0</v>
      </c>
      <c r="AA451" s="1">
        <v>24.0</v>
      </c>
      <c r="AB451" s="1">
        <v>27.0</v>
      </c>
      <c r="AC451" s="1">
        <v>4.0</v>
      </c>
      <c r="AD451" s="1">
        <v>28.0</v>
      </c>
      <c r="AE451" s="1" t="s">
        <v>247</v>
      </c>
      <c r="AF451" s="1" t="s">
        <v>248</v>
      </c>
      <c r="AG451" s="1" t="s">
        <v>249</v>
      </c>
      <c r="AH451" s="1" t="s">
        <v>68</v>
      </c>
      <c r="AI451" s="1" t="s">
        <v>7169</v>
      </c>
      <c r="AJ451" s="1" t="s">
        <v>68</v>
      </c>
      <c r="AK451" s="1" t="s">
        <v>7158</v>
      </c>
      <c r="AL451" s="1" t="s">
        <v>7170</v>
      </c>
      <c r="AM451" s="1" t="s">
        <v>404</v>
      </c>
      <c r="AN451" s="1">
        <v>2021.0</v>
      </c>
      <c r="AO451" s="1">
        <v>13.0</v>
      </c>
      <c r="AP451" s="1">
        <v>9.0</v>
      </c>
      <c r="AQ451" s="1" t="s">
        <v>68</v>
      </c>
      <c r="AR451" s="1" t="s">
        <v>68</v>
      </c>
      <c r="AS451" s="1" t="s">
        <v>68</v>
      </c>
      <c r="AT451" s="1" t="s">
        <v>68</v>
      </c>
      <c r="AU451" s="1" t="s">
        <v>68</v>
      </c>
      <c r="AV451" s="1" t="s">
        <v>68</v>
      </c>
      <c r="AW451" s="1">
        <v>454.0</v>
      </c>
      <c r="AX451" s="1" t="s">
        <v>9202</v>
      </c>
      <c r="AY451" s="3" t="str">
        <f>HYPERLINK("http://dx.doi.org/10.3390/d13090454","http://dx.doi.org/10.3390/d13090454")</f>
        <v>http://dx.doi.org/10.3390/d13090454</v>
      </c>
      <c r="AZ451" s="1" t="s">
        <v>68</v>
      </c>
      <c r="BA451" s="1" t="s">
        <v>68</v>
      </c>
      <c r="BB451" s="1">
        <v>21.0</v>
      </c>
      <c r="BC451" s="1" t="s">
        <v>1011</v>
      </c>
      <c r="BD451" s="1" t="s">
        <v>92</v>
      </c>
      <c r="BE451" s="1" t="s">
        <v>123</v>
      </c>
      <c r="BF451" s="1" t="s">
        <v>9203</v>
      </c>
      <c r="BG451" s="1" t="s">
        <v>68</v>
      </c>
      <c r="BH451" s="1" t="s">
        <v>94</v>
      </c>
      <c r="BI451" s="1" t="s">
        <v>68</v>
      </c>
      <c r="BJ451" s="1" t="s">
        <v>68</v>
      </c>
      <c r="BK451" s="1" t="s">
        <v>95</v>
      </c>
      <c r="BL451" s="1" t="s">
        <v>9204</v>
      </c>
      <c r="BM451" s="1" t="str">
        <f>HYPERLINK("https%3A%2F%2Fwww.webofscience.com%2Fwos%2Fwoscc%2Ffull-record%2FWOS:000699074700001","View Full Record in Web of Science")</f>
        <v>View Full Record in Web of Science</v>
      </c>
    </row>
    <row r="452" ht="12.75" customHeight="1">
      <c r="A452" s="1" t="s">
        <v>65</v>
      </c>
      <c r="B452" s="1" t="s">
        <v>9205</v>
      </c>
      <c r="C452" s="1" t="s">
        <v>9206</v>
      </c>
      <c r="D452" s="1" t="s">
        <v>68</v>
      </c>
      <c r="E452" s="1" t="s">
        <v>9207</v>
      </c>
      <c r="F452" s="1" t="s">
        <v>9208</v>
      </c>
      <c r="G452" s="1" t="s">
        <v>68</v>
      </c>
      <c r="H452" s="1" t="s">
        <v>71</v>
      </c>
      <c r="I452" s="1" t="s">
        <v>72</v>
      </c>
      <c r="J452" s="1" t="s">
        <v>68</v>
      </c>
      <c r="K452" s="1" t="s">
        <v>68</v>
      </c>
      <c r="L452" s="1" t="s">
        <v>68</v>
      </c>
      <c r="M452" s="1" t="s">
        <v>68</v>
      </c>
      <c r="N452" s="1" t="s">
        <v>9209</v>
      </c>
      <c r="O452" s="1" t="s">
        <v>9210</v>
      </c>
      <c r="P452" s="1" t="s">
        <v>9211</v>
      </c>
      <c r="Q452" s="1" t="s">
        <v>9212</v>
      </c>
      <c r="R452" s="1" t="s">
        <v>9213</v>
      </c>
      <c r="S452" s="1" t="s">
        <v>9214</v>
      </c>
      <c r="T452" s="1" t="s">
        <v>9215</v>
      </c>
      <c r="U452" s="1" t="s">
        <v>9216</v>
      </c>
      <c r="V452" s="1" t="s">
        <v>9217</v>
      </c>
      <c r="W452" s="1" t="s">
        <v>9218</v>
      </c>
      <c r="X452" s="1" t="s">
        <v>9219</v>
      </c>
      <c r="Y452" s="1" t="s">
        <v>9220</v>
      </c>
      <c r="Z452" s="1">
        <v>110.0</v>
      </c>
      <c r="AA452" s="1">
        <v>8.0</v>
      </c>
      <c r="AB452" s="1">
        <v>9.0</v>
      </c>
      <c r="AC452" s="1">
        <v>2.0</v>
      </c>
      <c r="AD452" s="1">
        <v>19.0</v>
      </c>
      <c r="AE452" s="1" t="s">
        <v>4371</v>
      </c>
      <c r="AF452" s="1" t="s">
        <v>4372</v>
      </c>
      <c r="AG452" s="1" t="s">
        <v>4373</v>
      </c>
      <c r="AH452" s="1" t="s">
        <v>9221</v>
      </c>
      <c r="AI452" s="1" t="s">
        <v>68</v>
      </c>
      <c r="AJ452" s="1" t="s">
        <v>68</v>
      </c>
      <c r="AK452" s="1" t="s">
        <v>9222</v>
      </c>
      <c r="AL452" s="1" t="s">
        <v>9223</v>
      </c>
      <c r="AM452" s="1" t="s">
        <v>959</v>
      </c>
      <c r="AN452" s="1">
        <v>2022.0</v>
      </c>
      <c r="AO452" s="1">
        <v>4.0</v>
      </c>
      <c r="AP452" s="1">
        <v>8.0</v>
      </c>
      <c r="AQ452" s="1" t="s">
        <v>68</v>
      </c>
      <c r="AR452" s="1" t="s">
        <v>68</v>
      </c>
      <c r="AS452" s="1" t="s">
        <v>68</v>
      </c>
      <c r="AT452" s="1" t="s">
        <v>68</v>
      </c>
      <c r="AU452" s="1" t="s">
        <v>68</v>
      </c>
      <c r="AV452" s="1" t="s">
        <v>68</v>
      </c>
      <c r="AW452" s="1">
        <v>85001.0</v>
      </c>
      <c r="AX452" s="1" t="s">
        <v>9224</v>
      </c>
      <c r="AY452" s="3" t="str">
        <f>HYPERLINK("http://dx.doi.org/10.1088/2515-7620/ac8398","http://dx.doi.org/10.1088/2515-7620/ac8398")</f>
        <v>http://dx.doi.org/10.1088/2515-7620/ac8398</v>
      </c>
      <c r="AZ452" s="1" t="s">
        <v>68</v>
      </c>
      <c r="BA452" s="1" t="s">
        <v>68</v>
      </c>
      <c r="BB452" s="1">
        <v>14.0</v>
      </c>
      <c r="BC452" s="1" t="s">
        <v>484</v>
      </c>
      <c r="BD452" s="1" t="s">
        <v>92</v>
      </c>
      <c r="BE452" s="1" t="s">
        <v>333</v>
      </c>
      <c r="BF452" s="1" t="s">
        <v>9225</v>
      </c>
      <c r="BG452" s="1" t="s">
        <v>68</v>
      </c>
      <c r="BH452" s="1" t="s">
        <v>462</v>
      </c>
      <c r="BI452" s="1" t="s">
        <v>68</v>
      </c>
      <c r="BJ452" s="1" t="s">
        <v>68</v>
      </c>
      <c r="BK452" s="1" t="s">
        <v>95</v>
      </c>
      <c r="BL452" s="1" t="s">
        <v>9226</v>
      </c>
      <c r="BM452" s="1" t="str">
        <f>HYPERLINK("https%3A%2F%2Fwww.webofscience.com%2Fwos%2Fwoscc%2Ffull-record%2FWOS:000837395900001","View Full Record in Web of Science")</f>
        <v>View Full Record in Web of Science</v>
      </c>
    </row>
    <row r="453" ht="12.75" customHeight="1">
      <c r="A453" s="1" t="s">
        <v>65</v>
      </c>
      <c r="B453" s="1" t="s">
        <v>9227</v>
      </c>
      <c r="C453" s="1" t="s">
        <v>9228</v>
      </c>
      <c r="D453" s="1" t="s">
        <v>68</v>
      </c>
      <c r="E453" s="1" t="s">
        <v>9229</v>
      </c>
      <c r="F453" s="1" t="s">
        <v>3027</v>
      </c>
      <c r="G453" s="1" t="s">
        <v>68</v>
      </c>
      <c r="H453" s="1" t="s">
        <v>71</v>
      </c>
      <c r="I453" s="1" t="s">
        <v>72</v>
      </c>
      <c r="J453" s="1" t="s">
        <v>68</v>
      </c>
      <c r="K453" s="1" t="s">
        <v>68</v>
      </c>
      <c r="L453" s="1" t="s">
        <v>68</v>
      </c>
      <c r="M453" s="1" t="s">
        <v>68</v>
      </c>
      <c r="N453" s="1" t="s">
        <v>9230</v>
      </c>
      <c r="O453" s="1" t="s">
        <v>9231</v>
      </c>
      <c r="P453" s="1" t="s">
        <v>9232</v>
      </c>
      <c r="Q453" s="1" t="s">
        <v>9233</v>
      </c>
      <c r="R453" s="1" t="s">
        <v>6585</v>
      </c>
      <c r="S453" s="1" t="s">
        <v>9234</v>
      </c>
      <c r="T453" s="1" t="s">
        <v>6587</v>
      </c>
      <c r="U453" s="1" t="s">
        <v>68</v>
      </c>
      <c r="V453" s="1" t="s">
        <v>68</v>
      </c>
      <c r="W453" s="1" t="s">
        <v>6588</v>
      </c>
      <c r="X453" s="1" t="s">
        <v>6588</v>
      </c>
      <c r="Y453" s="1" t="s">
        <v>9235</v>
      </c>
      <c r="Z453" s="1">
        <v>61.0</v>
      </c>
      <c r="AA453" s="1">
        <v>11.0</v>
      </c>
      <c r="AB453" s="1">
        <v>11.0</v>
      </c>
      <c r="AC453" s="1">
        <v>1.0</v>
      </c>
      <c r="AD453" s="1">
        <v>14.0</v>
      </c>
      <c r="AE453" s="1" t="s">
        <v>450</v>
      </c>
      <c r="AF453" s="1" t="s">
        <v>451</v>
      </c>
      <c r="AG453" s="1" t="s">
        <v>452</v>
      </c>
      <c r="AH453" s="1" t="s">
        <v>3039</v>
      </c>
      <c r="AI453" s="1" t="s">
        <v>3040</v>
      </c>
      <c r="AJ453" s="1" t="s">
        <v>68</v>
      </c>
      <c r="AK453" s="1" t="s">
        <v>3041</v>
      </c>
      <c r="AL453" s="1" t="s">
        <v>3042</v>
      </c>
      <c r="AM453" s="1" t="s">
        <v>790</v>
      </c>
      <c r="AN453" s="1">
        <v>2020.0</v>
      </c>
      <c r="AO453" s="1">
        <v>56.0</v>
      </c>
      <c r="AP453" s="1" t="s">
        <v>68</v>
      </c>
      <c r="AQ453" s="1" t="s">
        <v>68</v>
      </c>
      <c r="AR453" s="1" t="s">
        <v>68</v>
      </c>
      <c r="AS453" s="1" t="s">
        <v>68</v>
      </c>
      <c r="AT453" s="1" t="s">
        <v>68</v>
      </c>
      <c r="AU453" s="1" t="s">
        <v>68</v>
      </c>
      <c r="AV453" s="1" t="s">
        <v>68</v>
      </c>
      <c r="AW453" s="1">
        <v>125826.0</v>
      </c>
      <c r="AX453" s="1" t="s">
        <v>9236</v>
      </c>
      <c r="AY453" s="3" t="str">
        <f>HYPERLINK("http://dx.doi.org/10.1016/j.jnc.2020.125826","http://dx.doi.org/10.1016/j.jnc.2020.125826")</f>
        <v>http://dx.doi.org/10.1016/j.jnc.2020.125826</v>
      </c>
      <c r="AZ453" s="1" t="s">
        <v>68</v>
      </c>
      <c r="BA453" s="1" t="s">
        <v>68</v>
      </c>
      <c r="BB453" s="1">
        <v>8.0</v>
      </c>
      <c r="BC453" s="1" t="s">
        <v>1011</v>
      </c>
      <c r="BD453" s="1" t="s">
        <v>92</v>
      </c>
      <c r="BE453" s="1" t="s">
        <v>123</v>
      </c>
      <c r="BF453" s="1" t="s">
        <v>9237</v>
      </c>
      <c r="BG453" s="1" t="s">
        <v>68</v>
      </c>
      <c r="BH453" s="1" t="s">
        <v>68</v>
      </c>
      <c r="BI453" s="1" t="s">
        <v>68</v>
      </c>
      <c r="BJ453" s="1" t="s">
        <v>68</v>
      </c>
      <c r="BK453" s="1" t="s">
        <v>95</v>
      </c>
      <c r="BL453" s="1" t="s">
        <v>9238</v>
      </c>
      <c r="BM453" s="1" t="str">
        <f>HYPERLINK("https%3A%2F%2Fwww.webofscience.com%2Fwos%2Fwoscc%2Ffull-record%2FWOS:000556148300002","View Full Record in Web of Science")</f>
        <v>View Full Record in Web of Science</v>
      </c>
    </row>
    <row r="454" ht="12.75" customHeight="1">
      <c r="A454" s="1" t="s">
        <v>65</v>
      </c>
      <c r="B454" s="1" t="s">
        <v>9239</v>
      </c>
      <c r="C454" s="1" t="s">
        <v>9240</v>
      </c>
      <c r="D454" s="1" t="s">
        <v>68</v>
      </c>
      <c r="E454" s="1" t="s">
        <v>9241</v>
      </c>
      <c r="F454" s="1" t="s">
        <v>517</v>
      </c>
      <c r="G454" s="1" t="s">
        <v>68</v>
      </c>
      <c r="H454" s="1" t="s">
        <v>71</v>
      </c>
      <c r="I454" s="1" t="s">
        <v>72</v>
      </c>
      <c r="J454" s="1" t="s">
        <v>68</v>
      </c>
      <c r="K454" s="1" t="s">
        <v>68</v>
      </c>
      <c r="L454" s="1" t="s">
        <v>68</v>
      </c>
      <c r="M454" s="1" t="s">
        <v>68</v>
      </c>
      <c r="N454" s="1" t="s">
        <v>9242</v>
      </c>
      <c r="O454" s="1" t="s">
        <v>9243</v>
      </c>
      <c r="P454" s="1" t="s">
        <v>9244</v>
      </c>
      <c r="Q454" s="1" t="s">
        <v>9245</v>
      </c>
      <c r="R454" s="1" t="s">
        <v>9246</v>
      </c>
      <c r="S454" s="1" t="s">
        <v>9247</v>
      </c>
      <c r="T454" s="1" t="s">
        <v>9248</v>
      </c>
      <c r="U454" s="1" t="s">
        <v>9249</v>
      </c>
      <c r="V454" s="1" t="s">
        <v>9250</v>
      </c>
      <c r="W454" s="1" t="s">
        <v>68</v>
      </c>
      <c r="X454" s="1" t="s">
        <v>68</v>
      </c>
      <c r="Y454" s="1" t="s">
        <v>68</v>
      </c>
      <c r="Z454" s="1">
        <v>41.0</v>
      </c>
      <c r="AA454" s="1">
        <v>15.0</v>
      </c>
      <c r="AB454" s="1">
        <v>20.0</v>
      </c>
      <c r="AC454" s="1">
        <v>0.0</v>
      </c>
      <c r="AD454" s="1">
        <v>19.0</v>
      </c>
      <c r="AE454" s="1" t="s">
        <v>529</v>
      </c>
      <c r="AF454" s="1" t="s">
        <v>530</v>
      </c>
      <c r="AG454" s="1" t="s">
        <v>531</v>
      </c>
      <c r="AH454" s="1" t="s">
        <v>532</v>
      </c>
      <c r="AI454" s="1" t="s">
        <v>533</v>
      </c>
      <c r="AJ454" s="1" t="s">
        <v>68</v>
      </c>
      <c r="AK454" s="1" t="s">
        <v>534</v>
      </c>
      <c r="AL454" s="1" t="s">
        <v>535</v>
      </c>
      <c r="AM454" s="1" t="s">
        <v>1789</v>
      </c>
      <c r="AN454" s="1">
        <v>2022.0</v>
      </c>
      <c r="AO454" s="1">
        <v>59.0</v>
      </c>
      <c r="AP454" s="1">
        <v>1.0</v>
      </c>
      <c r="AQ454" s="1" t="s">
        <v>68</v>
      </c>
      <c r="AR454" s="1" t="s">
        <v>68</v>
      </c>
      <c r="AS454" s="1" t="s">
        <v>68</v>
      </c>
      <c r="AT454" s="1" t="s">
        <v>68</v>
      </c>
      <c r="AU454" s="1">
        <v>355.0</v>
      </c>
      <c r="AV454" s="1">
        <v>362.0</v>
      </c>
      <c r="AW454" s="1" t="s">
        <v>68</v>
      </c>
      <c r="AX454" s="1" t="s">
        <v>9251</v>
      </c>
      <c r="AY454" s="3" t="str">
        <f>HYPERLINK("http://dx.doi.org/10.1093/jme/tjab161","http://dx.doi.org/10.1093/jme/tjab161")</f>
        <v>http://dx.doi.org/10.1093/jme/tjab161</v>
      </c>
      <c r="AZ454" s="1" t="s">
        <v>68</v>
      </c>
      <c r="BA454" s="1" t="s">
        <v>3214</v>
      </c>
      <c r="BB454" s="1">
        <v>8.0</v>
      </c>
      <c r="BC454" s="1" t="s">
        <v>539</v>
      </c>
      <c r="BD454" s="1" t="s">
        <v>92</v>
      </c>
      <c r="BE454" s="1" t="s">
        <v>539</v>
      </c>
      <c r="BF454" s="1" t="s">
        <v>9252</v>
      </c>
      <c r="BG454" s="1">
        <v>3.4546359E7</v>
      </c>
      <c r="BH454" s="1" t="s">
        <v>512</v>
      </c>
      <c r="BI454" s="1" t="s">
        <v>68</v>
      </c>
      <c r="BJ454" s="1" t="s">
        <v>68</v>
      </c>
      <c r="BK454" s="1" t="s">
        <v>95</v>
      </c>
      <c r="BL454" s="1" t="s">
        <v>9253</v>
      </c>
      <c r="BM454" s="1" t="str">
        <f>HYPERLINK("https%3A%2F%2Fwww.webofscience.com%2Fwos%2Fwoscc%2Ffull-record%2FWOS:000745015200038","View Full Record in Web of Science")</f>
        <v>View Full Record in Web of Science</v>
      </c>
    </row>
    <row r="455" ht="12.75" customHeight="1">
      <c r="A455" s="1" t="s">
        <v>65</v>
      </c>
      <c r="B455" s="1" t="s">
        <v>9254</v>
      </c>
      <c r="C455" s="1" t="s">
        <v>9255</v>
      </c>
      <c r="D455" s="1" t="s">
        <v>68</v>
      </c>
      <c r="E455" s="1" t="s">
        <v>9256</v>
      </c>
      <c r="F455" s="1" t="s">
        <v>2677</v>
      </c>
      <c r="G455" s="1" t="s">
        <v>68</v>
      </c>
      <c r="H455" s="1" t="s">
        <v>71</v>
      </c>
      <c r="I455" s="1" t="s">
        <v>72</v>
      </c>
      <c r="J455" s="1" t="s">
        <v>68</v>
      </c>
      <c r="K455" s="1" t="s">
        <v>68</v>
      </c>
      <c r="L455" s="1" t="s">
        <v>68</v>
      </c>
      <c r="M455" s="1" t="s">
        <v>68</v>
      </c>
      <c r="N455" s="1" t="s">
        <v>9257</v>
      </c>
      <c r="O455" s="1" t="s">
        <v>9258</v>
      </c>
      <c r="P455" s="1" t="s">
        <v>9259</v>
      </c>
      <c r="Q455" s="1" t="s">
        <v>9260</v>
      </c>
      <c r="R455" s="1" t="s">
        <v>9261</v>
      </c>
      <c r="S455" s="1" t="s">
        <v>9262</v>
      </c>
      <c r="T455" s="1" t="s">
        <v>9263</v>
      </c>
      <c r="U455" s="1" t="s">
        <v>9264</v>
      </c>
      <c r="V455" s="1" t="s">
        <v>9265</v>
      </c>
      <c r="W455" s="1" t="s">
        <v>9266</v>
      </c>
      <c r="X455" s="1" t="s">
        <v>9266</v>
      </c>
      <c r="Y455" s="1" t="s">
        <v>9267</v>
      </c>
      <c r="Z455" s="1">
        <v>61.0</v>
      </c>
      <c r="AA455" s="1">
        <v>0.0</v>
      </c>
      <c r="AB455" s="1">
        <v>0.0</v>
      </c>
      <c r="AC455" s="1">
        <v>1.0</v>
      </c>
      <c r="AD455" s="1">
        <v>1.0</v>
      </c>
      <c r="AE455" s="1" t="s">
        <v>503</v>
      </c>
      <c r="AF455" s="1" t="s">
        <v>504</v>
      </c>
      <c r="AG455" s="1" t="s">
        <v>505</v>
      </c>
      <c r="AH455" s="1" t="s">
        <v>2687</v>
      </c>
      <c r="AI455" s="1" t="s">
        <v>2688</v>
      </c>
      <c r="AJ455" s="1" t="s">
        <v>68</v>
      </c>
      <c r="AK455" s="1" t="s">
        <v>2689</v>
      </c>
      <c r="AL455" s="1" t="s">
        <v>2690</v>
      </c>
      <c r="AM455" s="1" t="s">
        <v>9268</v>
      </c>
      <c r="AN455" s="1">
        <v>2025.0</v>
      </c>
      <c r="AO455" s="1">
        <v>35.0</v>
      </c>
      <c r="AP455" s="1">
        <v>1.0</v>
      </c>
      <c r="AQ455" s="1" t="s">
        <v>68</v>
      </c>
      <c r="AR455" s="1" t="s">
        <v>68</v>
      </c>
      <c r="AS455" s="1" t="s">
        <v>68</v>
      </c>
      <c r="AT455" s="1" t="s">
        <v>68</v>
      </c>
      <c r="AU455" s="1" t="s">
        <v>68</v>
      </c>
      <c r="AV455" s="1" t="s">
        <v>68</v>
      </c>
      <c r="AW455" s="1" t="s">
        <v>9269</v>
      </c>
      <c r="AX455" s="1" t="s">
        <v>9270</v>
      </c>
      <c r="AY455" s="3" t="str">
        <f>HYPERLINK("http://dx.doi.org/10.1002/aqc.70059","http://dx.doi.org/10.1002/aqc.70059")</f>
        <v>http://dx.doi.org/10.1002/aqc.70059</v>
      </c>
      <c r="AZ455" s="1" t="s">
        <v>68</v>
      </c>
      <c r="BA455" s="1" t="s">
        <v>68</v>
      </c>
      <c r="BB455" s="1">
        <v>14.0</v>
      </c>
      <c r="BC455" s="1" t="s">
        <v>2693</v>
      </c>
      <c r="BD455" s="1" t="s">
        <v>92</v>
      </c>
      <c r="BE455" s="1" t="s">
        <v>2694</v>
      </c>
      <c r="BF455" s="1" t="s">
        <v>9271</v>
      </c>
      <c r="BG455" s="1" t="s">
        <v>68</v>
      </c>
      <c r="BH455" s="1" t="s">
        <v>867</v>
      </c>
      <c r="BI455" s="1" t="s">
        <v>68</v>
      </c>
      <c r="BJ455" s="1" t="s">
        <v>68</v>
      </c>
      <c r="BK455" s="1" t="s">
        <v>95</v>
      </c>
      <c r="BL455" s="1" t="s">
        <v>9272</v>
      </c>
      <c r="BM455" s="1" t="str">
        <f>HYPERLINK("https%3A%2F%2Fwww.webofscience.com%2Fwos%2Fwoscc%2Ffull-record%2FWOS:001406164700001","View Full Record in Web of Science")</f>
        <v>View Full Record in Web of Science</v>
      </c>
    </row>
    <row r="456" ht="12.75" customHeight="1">
      <c r="A456" s="1" t="s">
        <v>65</v>
      </c>
      <c r="B456" s="1" t="s">
        <v>9273</v>
      </c>
      <c r="C456" s="1" t="s">
        <v>9274</v>
      </c>
      <c r="D456" s="1" t="s">
        <v>68</v>
      </c>
      <c r="E456" s="1" t="s">
        <v>9275</v>
      </c>
      <c r="F456" s="1" t="s">
        <v>9276</v>
      </c>
      <c r="G456" s="1" t="s">
        <v>68</v>
      </c>
      <c r="H456" s="1" t="s">
        <v>71</v>
      </c>
      <c r="I456" s="1" t="s">
        <v>72</v>
      </c>
      <c r="J456" s="1" t="s">
        <v>68</v>
      </c>
      <c r="K456" s="1" t="s">
        <v>68</v>
      </c>
      <c r="L456" s="1" t="s">
        <v>68</v>
      </c>
      <c r="M456" s="1" t="s">
        <v>68</v>
      </c>
      <c r="N456" s="1" t="s">
        <v>9277</v>
      </c>
      <c r="O456" s="1" t="s">
        <v>9278</v>
      </c>
      <c r="P456" s="1" t="s">
        <v>9279</v>
      </c>
      <c r="Q456" s="1" t="s">
        <v>9280</v>
      </c>
      <c r="R456" s="1" t="s">
        <v>9281</v>
      </c>
      <c r="S456" s="1" t="s">
        <v>9282</v>
      </c>
      <c r="T456" s="1" t="s">
        <v>9283</v>
      </c>
      <c r="U456" s="1" t="s">
        <v>9284</v>
      </c>
      <c r="V456" s="1" t="s">
        <v>68</v>
      </c>
      <c r="W456" s="1" t="s">
        <v>68</v>
      </c>
      <c r="X456" s="1" t="s">
        <v>68</v>
      </c>
      <c r="Y456" s="1" t="s">
        <v>68</v>
      </c>
      <c r="Z456" s="1">
        <v>38.0</v>
      </c>
      <c r="AA456" s="1">
        <v>1.0</v>
      </c>
      <c r="AB456" s="1">
        <v>1.0</v>
      </c>
      <c r="AC456" s="1">
        <v>0.0</v>
      </c>
      <c r="AD456" s="1">
        <v>2.0</v>
      </c>
      <c r="AE456" s="1" t="s">
        <v>2944</v>
      </c>
      <c r="AF456" s="1" t="s">
        <v>839</v>
      </c>
      <c r="AG456" s="1" t="s">
        <v>2945</v>
      </c>
      <c r="AH456" s="1" t="s">
        <v>9285</v>
      </c>
      <c r="AI456" s="1" t="s">
        <v>9286</v>
      </c>
      <c r="AJ456" s="1" t="s">
        <v>68</v>
      </c>
      <c r="AK456" s="1" t="s">
        <v>9276</v>
      </c>
      <c r="AL456" s="1" t="s">
        <v>9287</v>
      </c>
      <c r="AM456" s="1" t="s">
        <v>1435</v>
      </c>
      <c r="AN456" s="1">
        <v>2022.0</v>
      </c>
      <c r="AO456" s="1">
        <v>30.0</v>
      </c>
      <c r="AP456" s="1">
        <v>2.0</v>
      </c>
      <c r="AQ456" s="1" t="s">
        <v>68</v>
      </c>
      <c r="AR456" s="1" t="s">
        <v>68</v>
      </c>
      <c r="AS456" s="1" t="s">
        <v>68</v>
      </c>
      <c r="AT456" s="1" t="s">
        <v>68</v>
      </c>
      <c r="AU456" s="1">
        <v>75.0</v>
      </c>
      <c r="AV456" s="1">
        <v>85.0</v>
      </c>
      <c r="AW456" s="1" t="s">
        <v>68</v>
      </c>
      <c r="AX456" s="1" t="s">
        <v>9288</v>
      </c>
      <c r="AY456" s="3" t="str">
        <f>HYPERLINK("http://dx.doi.org/10.2478/orhu-2022-0021","http://dx.doi.org/10.2478/orhu-2022-0021")</f>
        <v>http://dx.doi.org/10.2478/orhu-2022-0021</v>
      </c>
      <c r="AZ456" s="1" t="s">
        <v>68</v>
      </c>
      <c r="BA456" s="1" t="s">
        <v>68</v>
      </c>
      <c r="BB456" s="1">
        <v>11.0</v>
      </c>
      <c r="BC456" s="1" t="s">
        <v>3021</v>
      </c>
      <c r="BD456" s="1" t="s">
        <v>197</v>
      </c>
      <c r="BE456" s="1" t="s">
        <v>933</v>
      </c>
      <c r="BF456" s="1" t="s">
        <v>9289</v>
      </c>
      <c r="BG456" s="1" t="s">
        <v>68</v>
      </c>
      <c r="BH456" s="1" t="s">
        <v>462</v>
      </c>
      <c r="BI456" s="1" t="s">
        <v>68</v>
      </c>
      <c r="BJ456" s="1" t="s">
        <v>68</v>
      </c>
      <c r="BK456" s="1" t="s">
        <v>95</v>
      </c>
      <c r="BL456" s="1" t="s">
        <v>9290</v>
      </c>
      <c r="BM456" s="1" t="str">
        <f>HYPERLINK("https%3A%2F%2Fwww.webofscience.com%2Fwos%2Fwoscc%2Ffull-record%2FWOS:000897171800006","View Full Record in Web of Science")</f>
        <v>View Full Record in Web of Science</v>
      </c>
    </row>
    <row r="457" ht="12.75" customHeight="1">
      <c r="A457" s="1" t="s">
        <v>65</v>
      </c>
      <c r="B457" s="1" t="s">
        <v>9291</v>
      </c>
      <c r="C457" s="1" t="s">
        <v>9292</v>
      </c>
      <c r="D457" s="1" t="s">
        <v>68</v>
      </c>
      <c r="E457" s="1" t="s">
        <v>9293</v>
      </c>
      <c r="F457" s="1" t="s">
        <v>649</v>
      </c>
      <c r="G457" s="1" t="s">
        <v>68</v>
      </c>
      <c r="H457" s="1" t="s">
        <v>71</v>
      </c>
      <c r="I457" s="1" t="s">
        <v>72</v>
      </c>
      <c r="J457" s="1" t="s">
        <v>68</v>
      </c>
      <c r="K457" s="1" t="s">
        <v>68</v>
      </c>
      <c r="L457" s="1" t="s">
        <v>68</v>
      </c>
      <c r="M457" s="1" t="s">
        <v>68</v>
      </c>
      <c r="N457" s="1" t="s">
        <v>9294</v>
      </c>
      <c r="O457" s="1" t="s">
        <v>9295</v>
      </c>
      <c r="P457" s="1" t="s">
        <v>9296</v>
      </c>
      <c r="Q457" s="1" t="s">
        <v>9297</v>
      </c>
      <c r="R457" s="1" t="s">
        <v>9298</v>
      </c>
      <c r="S457" s="1" t="s">
        <v>655</v>
      </c>
      <c r="T457" s="1" t="s">
        <v>656</v>
      </c>
      <c r="U457" s="1" t="s">
        <v>1363</v>
      </c>
      <c r="V457" s="1" t="s">
        <v>9299</v>
      </c>
      <c r="W457" s="1" t="s">
        <v>659</v>
      </c>
      <c r="X457" s="1" t="s">
        <v>660</v>
      </c>
      <c r="Y457" s="1" t="s">
        <v>9300</v>
      </c>
      <c r="Z457" s="1">
        <v>50.0</v>
      </c>
      <c r="AA457" s="1">
        <v>14.0</v>
      </c>
      <c r="AB457" s="1">
        <v>15.0</v>
      </c>
      <c r="AC457" s="1">
        <v>0.0</v>
      </c>
      <c r="AD457" s="1">
        <v>15.0</v>
      </c>
      <c r="AE457" s="1" t="s">
        <v>662</v>
      </c>
      <c r="AF457" s="1" t="s">
        <v>663</v>
      </c>
      <c r="AG457" s="1" t="s">
        <v>664</v>
      </c>
      <c r="AH457" s="1" t="s">
        <v>68</v>
      </c>
      <c r="AI457" s="1" t="s">
        <v>665</v>
      </c>
      <c r="AJ457" s="1" t="s">
        <v>68</v>
      </c>
      <c r="AK457" s="1" t="s">
        <v>666</v>
      </c>
      <c r="AL457" s="1" t="s">
        <v>667</v>
      </c>
      <c r="AM457" s="1" t="s">
        <v>9301</v>
      </c>
      <c r="AN457" s="1">
        <v>2021.0</v>
      </c>
      <c r="AO457" s="1">
        <v>20.0</v>
      </c>
      <c r="AP457" s="1">
        <v>1.0</v>
      </c>
      <c r="AQ457" s="1" t="s">
        <v>68</v>
      </c>
      <c r="AR457" s="1" t="s">
        <v>68</v>
      </c>
      <c r="AS457" s="1" t="s">
        <v>68</v>
      </c>
      <c r="AT457" s="1" t="s">
        <v>68</v>
      </c>
      <c r="AU457" s="1" t="s">
        <v>68</v>
      </c>
      <c r="AV457" s="1" t="s">
        <v>68</v>
      </c>
      <c r="AW457" s="1">
        <v>453.0</v>
      </c>
      <c r="AX457" s="1" t="s">
        <v>9302</v>
      </c>
      <c r="AY457" s="3" t="str">
        <f>HYPERLINK("http://dx.doi.org/10.1186/s12936-021-03989-4","http://dx.doi.org/10.1186/s12936-021-03989-4")</f>
        <v>http://dx.doi.org/10.1186/s12936-021-03989-4</v>
      </c>
      <c r="AZ457" s="1" t="s">
        <v>68</v>
      </c>
      <c r="BA457" s="1" t="s">
        <v>68</v>
      </c>
      <c r="BB457" s="1">
        <v>18.0</v>
      </c>
      <c r="BC457" s="1" t="s">
        <v>670</v>
      </c>
      <c r="BD457" s="1" t="s">
        <v>92</v>
      </c>
      <c r="BE457" s="1" t="s">
        <v>670</v>
      </c>
      <c r="BF457" s="1" t="s">
        <v>9303</v>
      </c>
      <c r="BG457" s="1">
        <v>3.4861863E7</v>
      </c>
      <c r="BH457" s="1" t="s">
        <v>672</v>
      </c>
      <c r="BI457" s="1" t="s">
        <v>68</v>
      </c>
      <c r="BJ457" s="1" t="s">
        <v>68</v>
      </c>
      <c r="BK457" s="1" t="s">
        <v>95</v>
      </c>
      <c r="BL457" s="1" t="s">
        <v>9304</v>
      </c>
      <c r="BM457" s="1" t="str">
        <f>HYPERLINK("https%3A%2F%2Fwww.webofscience.com%2Fwos%2Fwoscc%2Ffull-record%2FWOS:000726062900002","View Full Record in Web of Science")</f>
        <v>View Full Record in Web of Science</v>
      </c>
    </row>
    <row r="458" ht="12.75" customHeight="1">
      <c r="A458" s="1" t="s">
        <v>65</v>
      </c>
      <c r="B458" s="1" t="s">
        <v>9305</v>
      </c>
      <c r="C458" s="1" t="s">
        <v>9306</v>
      </c>
      <c r="D458" s="1" t="s">
        <v>68</v>
      </c>
      <c r="E458" s="1" t="s">
        <v>9307</v>
      </c>
      <c r="F458" s="1" t="s">
        <v>9308</v>
      </c>
      <c r="G458" s="1" t="s">
        <v>68</v>
      </c>
      <c r="H458" s="1" t="s">
        <v>71</v>
      </c>
      <c r="I458" s="1" t="s">
        <v>72</v>
      </c>
      <c r="J458" s="1" t="s">
        <v>68</v>
      </c>
      <c r="K458" s="1" t="s">
        <v>68</v>
      </c>
      <c r="L458" s="1" t="s">
        <v>68</v>
      </c>
      <c r="M458" s="1" t="s">
        <v>68</v>
      </c>
      <c r="N458" s="1" t="s">
        <v>9309</v>
      </c>
      <c r="O458" s="1" t="s">
        <v>68</v>
      </c>
      <c r="P458" s="1" t="s">
        <v>9310</v>
      </c>
      <c r="Q458" s="1" t="s">
        <v>9311</v>
      </c>
      <c r="R458" s="1" t="s">
        <v>9312</v>
      </c>
      <c r="S458" s="1" t="s">
        <v>9313</v>
      </c>
      <c r="T458" s="1" t="s">
        <v>9314</v>
      </c>
      <c r="U458" s="1" t="s">
        <v>9315</v>
      </c>
      <c r="V458" s="1" t="s">
        <v>9316</v>
      </c>
      <c r="W458" s="1" t="s">
        <v>9317</v>
      </c>
      <c r="X458" s="1" t="s">
        <v>9317</v>
      </c>
      <c r="Y458" s="1" t="s">
        <v>9318</v>
      </c>
      <c r="Z458" s="1">
        <v>26.0</v>
      </c>
      <c r="AA458" s="1">
        <v>13.0</v>
      </c>
      <c r="AB458" s="1">
        <v>15.0</v>
      </c>
      <c r="AC458" s="1">
        <v>2.0</v>
      </c>
      <c r="AD458" s="1">
        <v>14.0</v>
      </c>
      <c r="AE458" s="1" t="s">
        <v>662</v>
      </c>
      <c r="AF458" s="1" t="s">
        <v>663</v>
      </c>
      <c r="AG458" s="1" t="s">
        <v>664</v>
      </c>
      <c r="AH458" s="1" t="s">
        <v>9319</v>
      </c>
      <c r="AI458" s="1" t="s">
        <v>68</v>
      </c>
      <c r="AJ458" s="1" t="s">
        <v>68</v>
      </c>
      <c r="AK458" s="1" t="s">
        <v>9320</v>
      </c>
      <c r="AL458" s="1" t="s">
        <v>9321</v>
      </c>
      <c r="AM458" s="1" t="s">
        <v>888</v>
      </c>
      <c r="AN458" s="1">
        <v>2023.0</v>
      </c>
      <c r="AO458" s="1">
        <v>22.0</v>
      </c>
      <c r="AP458" s="1">
        <v>1.0</v>
      </c>
      <c r="AQ458" s="1" t="s">
        <v>68</v>
      </c>
      <c r="AR458" s="1" t="s">
        <v>68</v>
      </c>
      <c r="AS458" s="1" t="s">
        <v>68</v>
      </c>
      <c r="AT458" s="1" t="s">
        <v>68</v>
      </c>
      <c r="AU458" s="1" t="s">
        <v>68</v>
      </c>
      <c r="AV458" s="1" t="s">
        <v>68</v>
      </c>
      <c r="AW458" s="1">
        <v>28.0</v>
      </c>
      <c r="AX458" s="1" t="s">
        <v>9322</v>
      </c>
      <c r="AY458" s="3" t="str">
        <f>HYPERLINK("http://dx.doi.org/10.1186/s12942-023-00350-7","http://dx.doi.org/10.1186/s12942-023-00350-7")</f>
        <v>http://dx.doi.org/10.1186/s12942-023-00350-7</v>
      </c>
      <c r="AZ458" s="1" t="s">
        <v>68</v>
      </c>
      <c r="BA458" s="1" t="s">
        <v>68</v>
      </c>
      <c r="BB458" s="1">
        <v>9.0</v>
      </c>
      <c r="BC458" s="1" t="s">
        <v>3647</v>
      </c>
      <c r="BD458" s="1" t="s">
        <v>279</v>
      </c>
      <c r="BE458" s="1" t="s">
        <v>3647</v>
      </c>
      <c r="BF458" s="1" t="s">
        <v>9323</v>
      </c>
      <c r="BG458" s="1">
        <v>3.7898732E7</v>
      </c>
      <c r="BH458" s="1" t="s">
        <v>94</v>
      </c>
      <c r="BI458" s="1" t="s">
        <v>68</v>
      </c>
      <c r="BJ458" s="1" t="s">
        <v>68</v>
      </c>
      <c r="BK458" s="1" t="s">
        <v>95</v>
      </c>
      <c r="BL458" s="1" t="s">
        <v>9324</v>
      </c>
      <c r="BM458" s="1" t="str">
        <f>HYPERLINK("https%3A%2F%2Fwww.webofscience.com%2Fwos%2Fwoscc%2Ffull-record%2FWOS:001092167100001","View Full Record in Web of Science")</f>
        <v>View Full Record in Web of Science</v>
      </c>
    </row>
    <row r="459" ht="12.75" customHeight="1">
      <c r="A459" s="1" t="s">
        <v>65</v>
      </c>
      <c r="B459" s="1" t="s">
        <v>9325</v>
      </c>
      <c r="C459" s="1" t="s">
        <v>9326</v>
      </c>
      <c r="D459" s="1" t="s">
        <v>68</v>
      </c>
      <c r="E459" s="1" t="s">
        <v>9327</v>
      </c>
      <c r="F459" s="1" t="s">
        <v>1996</v>
      </c>
      <c r="G459" s="1" t="s">
        <v>68</v>
      </c>
      <c r="H459" s="1" t="s">
        <v>71</v>
      </c>
      <c r="I459" s="1" t="s">
        <v>72</v>
      </c>
      <c r="J459" s="1" t="s">
        <v>68</v>
      </c>
      <c r="K459" s="1" t="s">
        <v>68</v>
      </c>
      <c r="L459" s="1" t="s">
        <v>68</v>
      </c>
      <c r="M459" s="1" t="s">
        <v>68</v>
      </c>
      <c r="N459" s="1" t="s">
        <v>9328</v>
      </c>
      <c r="O459" s="1" t="s">
        <v>68</v>
      </c>
      <c r="P459" s="1" t="s">
        <v>9329</v>
      </c>
      <c r="Q459" s="1" t="s">
        <v>9330</v>
      </c>
      <c r="R459" s="1" t="s">
        <v>9331</v>
      </c>
      <c r="S459" s="1" t="s">
        <v>9332</v>
      </c>
      <c r="T459" s="1" t="s">
        <v>9333</v>
      </c>
      <c r="U459" s="1" t="s">
        <v>9334</v>
      </c>
      <c r="V459" s="1" t="s">
        <v>9335</v>
      </c>
      <c r="W459" s="1" t="s">
        <v>9336</v>
      </c>
      <c r="X459" s="1" t="s">
        <v>9337</v>
      </c>
      <c r="Y459" s="1" t="s">
        <v>9338</v>
      </c>
      <c r="Z459" s="1">
        <v>35.0</v>
      </c>
      <c r="AA459" s="1">
        <v>12.0</v>
      </c>
      <c r="AB459" s="1">
        <v>17.0</v>
      </c>
      <c r="AC459" s="1">
        <v>1.0</v>
      </c>
      <c r="AD459" s="1">
        <v>13.0</v>
      </c>
      <c r="AE459" s="1" t="s">
        <v>247</v>
      </c>
      <c r="AF459" s="1" t="s">
        <v>248</v>
      </c>
      <c r="AG459" s="1" t="s">
        <v>249</v>
      </c>
      <c r="AH459" s="1" t="s">
        <v>68</v>
      </c>
      <c r="AI459" s="1" t="s">
        <v>2007</v>
      </c>
      <c r="AJ459" s="1" t="s">
        <v>68</v>
      </c>
      <c r="AK459" s="1" t="s">
        <v>2008</v>
      </c>
      <c r="AL459" s="1" t="s">
        <v>2009</v>
      </c>
      <c r="AM459" s="1" t="s">
        <v>2194</v>
      </c>
      <c r="AN459" s="1">
        <v>2022.0</v>
      </c>
      <c r="AO459" s="1">
        <v>14.0</v>
      </c>
      <c r="AP459" s="1">
        <v>7.0</v>
      </c>
      <c r="AQ459" s="1" t="s">
        <v>68</v>
      </c>
      <c r="AR459" s="1" t="s">
        <v>68</v>
      </c>
      <c r="AS459" s="1" t="s">
        <v>68</v>
      </c>
      <c r="AT459" s="1" t="s">
        <v>68</v>
      </c>
      <c r="AU459" s="1" t="s">
        <v>68</v>
      </c>
      <c r="AV459" s="1" t="s">
        <v>68</v>
      </c>
      <c r="AW459" s="1">
        <v>4078.0</v>
      </c>
      <c r="AX459" s="1" t="s">
        <v>9339</v>
      </c>
      <c r="AY459" s="3" t="str">
        <f>HYPERLINK("http://dx.doi.org/10.3390/su14074078","http://dx.doi.org/10.3390/su14074078")</f>
        <v>http://dx.doi.org/10.3390/su14074078</v>
      </c>
      <c r="AZ459" s="1" t="s">
        <v>68</v>
      </c>
      <c r="BA459" s="1" t="s">
        <v>68</v>
      </c>
      <c r="BB459" s="1">
        <v>17.0</v>
      </c>
      <c r="BC459" s="1" t="s">
        <v>1052</v>
      </c>
      <c r="BD459" s="1" t="s">
        <v>279</v>
      </c>
      <c r="BE459" s="1" t="s">
        <v>1053</v>
      </c>
      <c r="BF459" s="1" t="s">
        <v>9340</v>
      </c>
      <c r="BG459" s="1" t="s">
        <v>68</v>
      </c>
      <c r="BH459" s="1" t="s">
        <v>1767</v>
      </c>
      <c r="BI459" s="1" t="s">
        <v>68</v>
      </c>
      <c r="BJ459" s="1" t="s">
        <v>68</v>
      </c>
      <c r="BK459" s="1" t="s">
        <v>95</v>
      </c>
      <c r="BL459" s="1" t="s">
        <v>9341</v>
      </c>
      <c r="BM459" s="1" t="str">
        <f>HYPERLINK("https%3A%2F%2Fwww.webofscience.com%2Fwos%2Fwoscc%2Ffull-record%2FWOS:000781314800001","View Full Record in Web of Science")</f>
        <v>View Full Record in Web of Science</v>
      </c>
    </row>
    <row r="460" ht="12.75" customHeight="1">
      <c r="A460" s="1" t="s">
        <v>65</v>
      </c>
      <c r="B460" s="1" t="s">
        <v>9342</v>
      </c>
      <c r="C460" s="1" t="s">
        <v>9343</v>
      </c>
      <c r="D460" s="1" t="s">
        <v>68</v>
      </c>
      <c r="E460" s="1" t="s">
        <v>9344</v>
      </c>
      <c r="F460" s="1" t="s">
        <v>1518</v>
      </c>
      <c r="G460" s="1" t="s">
        <v>68</v>
      </c>
      <c r="H460" s="1" t="s">
        <v>71</v>
      </c>
      <c r="I460" s="1" t="s">
        <v>72</v>
      </c>
      <c r="J460" s="1" t="s">
        <v>68</v>
      </c>
      <c r="K460" s="1" t="s">
        <v>68</v>
      </c>
      <c r="L460" s="1" t="s">
        <v>68</v>
      </c>
      <c r="M460" s="1" t="s">
        <v>68</v>
      </c>
      <c r="N460" s="1" t="s">
        <v>9345</v>
      </c>
      <c r="O460" s="1" t="s">
        <v>9346</v>
      </c>
      <c r="P460" s="1" t="s">
        <v>9347</v>
      </c>
      <c r="Q460" s="1" t="s">
        <v>9348</v>
      </c>
      <c r="R460" s="1" t="s">
        <v>9349</v>
      </c>
      <c r="S460" s="1" t="s">
        <v>9350</v>
      </c>
      <c r="T460" s="1" t="s">
        <v>9351</v>
      </c>
      <c r="U460" s="1" t="s">
        <v>9352</v>
      </c>
      <c r="V460" s="1" t="s">
        <v>9353</v>
      </c>
      <c r="W460" s="1" t="s">
        <v>9354</v>
      </c>
      <c r="X460" s="1" t="s">
        <v>9355</v>
      </c>
      <c r="Y460" s="1" t="s">
        <v>9356</v>
      </c>
      <c r="Z460" s="1">
        <v>57.0</v>
      </c>
      <c r="AA460" s="1">
        <v>6.0</v>
      </c>
      <c r="AB460" s="1">
        <v>6.0</v>
      </c>
      <c r="AC460" s="1">
        <v>5.0</v>
      </c>
      <c r="AD460" s="1">
        <v>5.0</v>
      </c>
      <c r="AE460" s="1" t="s">
        <v>1527</v>
      </c>
      <c r="AF460" s="1" t="s">
        <v>663</v>
      </c>
      <c r="AG460" s="1" t="s">
        <v>1528</v>
      </c>
      <c r="AH460" s="1" t="s">
        <v>1529</v>
      </c>
      <c r="AI460" s="1" t="s">
        <v>68</v>
      </c>
      <c r="AJ460" s="1" t="s">
        <v>68</v>
      </c>
      <c r="AK460" s="1" t="s">
        <v>1530</v>
      </c>
      <c r="AL460" s="1" t="s">
        <v>1531</v>
      </c>
      <c r="AM460" s="1" t="s">
        <v>68</v>
      </c>
      <c r="AN460" s="1">
        <v>2025.0</v>
      </c>
      <c r="AO460" s="1">
        <v>10.0</v>
      </c>
      <c r="AP460" s="1">
        <v>1.0</v>
      </c>
      <c r="AQ460" s="1" t="s">
        <v>68</v>
      </c>
      <c r="AR460" s="1" t="s">
        <v>68</v>
      </c>
      <c r="AS460" s="1" t="s">
        <v>68</v>
      </c>
      <c r="AT460" s="1" t="s">
        <v>68</v>
      </c>
      <c r="AU460" s="1" t="s">
        <v>68</v>
      </c>
      <c r="AV460" s="1" t="s">
        <v>68</v>
      </c>
      <c r="AW460" s="1">
        <v>10.0</v>
      </c>
      <c r="AX460" s="1" t="s">
        <v>9357</v>
      </c>
      <c r="AY460" s="3" t="str">
        <f>HYPERLINK("http://dx.doi.org/10.5334/cstp.749","http://dx.doi.org/10.5334/cstp.749")</f>
        <v>http://dx.doi.org/10.5334/cstp.749</v>
      </c>
      <c r="AZ460" s="1" t="s">
        <v>68</v>
      </c>
      <c r="BA460" s="1" t="s">
        <v>68</v>
      </c>
      <c r="BB460" s="1">
        <v>15.0</v>
      </c>
      <c r="BC460" s="1" t="s">
        <v>1533</v>
      </c>
      <c r="BD460" s="1" t="s">
        <v>197</v>
      </c>
      <c r="BE460" s="1" t="s">
        <v>1534</v>
      </c>
      <c r="BF460" s="1" t="s">
        <v>8590</v>
      </c>
      <c r="BG460" s="1" t="s">
        <v>68</v>
      </c>
      <c r="BH460" s="1" t="s">
        <v>94</v>
      </c>
      <c r="BI460" s="1" t="s">
        <v>68</v>
      </c>
      <c r="BJ460" s="1" t="s">
        <v>68</v>
      </c>
      <c r="BK460" s="1" t="s">
        <v>95</v>
      </c>
      <c r="BL460" s="1" t="s">
        <v>9358</v>
      </c>
      <c r="BM460" s="1" t="str">
        <f>HYPERLINK("https%3A%2F%2Fwww.webofscience.com%2Fwos%2Fwoscc%2Ffull-record%2FWOS:001558117500004","View Full Record in Web of Science")</f>
        <v>View Full Record in Web of Science</v>
      </c>
    </row>
    <row r="461" ht="12.75" customHeight="1">
      <c r="A461" s="1" t="s">
        <v>65</v>
      </c>
      <c r="B461" s="1" t="s">
        <v>9359</v>
      </c>
      <c r="C461" s="1" t="s">
        <v>9360</v>
      </c>
      <c r="D461" s="1" t="s">
        <v>68</v>
      </c>
      <c r="E461" s="1" t="s">
        <v>9361</v>
      </c>
      <c r="F461" s="1" t="s">
        <v>9362</v>
      </c>
      <c r="G461" s="1" t="s">
        <v>68</v>
      </c>
      <c r="H461" s="1" t="s">
        <v>71</v>
      </c>
      <c r="I461" s="1" t="s">
        <v>72</v>
      </c>
      <c r="J461" s="1" t="s">
        <v>68</v>
      </c>
      <c r="K461" s="1" t="s">
        <v>68</v>
      </c>
      <c r="L461" s="1" t="s">
        <v>68</v>
      </c>
      <c r="M461" s="1" t="s">
        <v>68</v>
      </c>
      <c r="N461" s="1" t="s">
        <v>9363</v>
      </c>
      <c r="O461" s="1" t="s">
        <v>9364</v>
      </c>
      <c r="P461" s="1" t="s">
        <v>9365</v>
      </c>
      <c r="Q461" s="1" t="s">
        <v>9366</v>
      </c>
      <c r="R461" s="1" t="s">
        <v>9367</v>
      </c>
      <c r="S461" s="1" t="s">
        <v>9368</v>
      </c>
      <c r="T461" s="1" t="s">
        <v>9369</v>
      </c>
      <c r="U461" s="1" t="s">
        <v>68</v>
      </c>
      <c r="V461" s="1" t="s">
        <v>9370</v>
      </c>
      <c r="W461" s="1" t="s">
        <v>9371</v>
      </c>
      <c r="X461" s="1" t="s">
        <v>9371</v>
      </c>
      <c r="Y461" s="1" t="s">
        <v>9372</v>
      </c>
      <c r="Z461" s="1">
        <v>63.0</v>
      </c>
      <c r="AA461" s="1">
        <v>1.0</v>
      </c>
      <c r="AB461" s="1">
        <v>1.0</v>
      </c>
      <c r="AC461" s="1">
        <v>5.0</v>
      </c>
      <c r="AD461" s="1">
        <v>10.0</v>
      </c>
      <c r="AE461" s="1" t="s">
        <v>247</v>
      </c>
      <c r="AF461" s="1" t="s">
        <v>248</v>
      </c>
      <c r="AG461" s="1" t="s">
        <v>249</v>
      </c>
      <c r="AH461" s="1" t="s">
        <v>68</v>
      </c>
      <c r="AI461" s="1" t="s">
        <v>9373</v>
      </c>
      <c r="AJ461" s="1" t="s">
        <v>68</v>
      </c>
      <c r="AK461" s="1" t="s">
        <v>9374</v>
      </c>
      <c r="AL461" s="1" t="s">
        <v>9375</v>
      </c>
      <c r="AM461" s="1" t="s">
        <v>9376</v>
      </c>
      <c r="AN461" s="1">
        <v>2025.0</v>
      </c>
      <c r="AO461" s="1">
        <v>6.0</v>
      </c>
      <c r="AP461" s="1">
        <v>1.0</v>
      </c>
      <c r="AQ461" s="1" t="s">
        <v>68</v>
      </c>
      <c r="AR461" s="1" t="s">
        <v>68</v>
      </c>
      <c r="AS461" s="1" t="s">
        <v>68</v>
      </c>
      <c r="AT461" s="1" t="s">
        <v>68</v>
      </c>
      <c r="AU461" s="1" t="s">
        <v>68</v>
      </c>
      <c r="AV461" s="1" t="s">
        <v>68</v>
      </c>
      <c r="AW461" s="1">
        <v>6.0</v>
      </c>
      <c r="AX461" s="1" t="s">
        <v>9377</v>
      </c>
      <c r="AY461" s="3" t="str">
        <f>HYPERLINK("http://dx.doi.org/10.3390/birds6010006","http://dx.doi.org/10.3390/birds6010006")</f>
        <v>http://dx.doi.org/10.3390/birds6010006</v>
      </c>
      <c r="AZ461" s="1" t="s">
        <v>68</v>
      </c>
      <c r="BA461" s="1" t="s">
        <v>68</v>
      </c>
      <c r="BB461" s="1">
        <v>15.0</v>
      </c>
      <c r="BC461" s="1" t="s">
        <v>3021</v>
      </c>
      <c r="BD461" s="1" t="s">
        <v>197</v>
      </c>
      <c r="BE461" s="1" t="s">
        <v>933</v>
      </c>
      <c r="BF461" s="1" t="s">
        <v>9378</v>
      </c>
      <c r="BG461" s="1" t="s">
        <v>68</v>
      </c>
      <c r="BH461" s="1" t="s">
        <v>94</v>
      </c>
      <c r="BI461" s="1" t="s">
        <v>68</v>
      </c>
      <c r="BJ461" s="1" t="s">
        <v>68</v>
      </c>
      <c r="BK461" s="1" t="s">
        <v>95</v>
      </c>
      <c r="BL461" s="1" t="s">
        <v>9379</v>
      </c>
      <c r="BM461" s="1" t="str">
        <f>HYPERLINK("https%3A%2F%2Fwww.webofscience.com%2Fwos%2Fwoscc%2Ffull-record%2FWOS:001482891000001","View Full Record in Web of Science")</f>
        <v>View Full Record in Web of Science</v>
      </c>
    </row>
    <row r="462" ht="12.75" customHeight="1">
      <c r="A462" s="1" t="s">
        <v>65</v>
      </c>
      <c r="B462" s="1" t="s">
        <v>9380</v>
      </c>
      <c r="C462" s="1" t="s">
        <v>9381</v>
      </c>
      <c r="D462" s="1" t="s">
        <v>68</v>
      </c>
      <c r="E462" s="1" t="s">
        <v>9382</v>
      </c>
      <c r="F462" s="1" t="s">
        <v>8258</v>
      </c>
      <c r="G462" s="1" t="s">
        <v>68</v>
      </c>
      <c r="H462" s="1" t="s">
        <v>71</v>
      </c>
      <c r="I462" s="1" t="s">
        <v>72</v>
      </c>
      <c r="J462" s="1" t="s">
        <v>68</v>
      </c>
      <c r="K462" s="1" t="s">
        <v>68</v>
      </c>
      <c r="L462" s="1" t="s">
        <v>68</v>
      </c>
      <c r="M462" s="1" t="s">
        <v>68</v>
      </c>
      <c r="N462" s="1" t="s">
        <v>9383</v>
      </c>
      <c r="O462" s="1" t="s">
        <v>9384</v>
      </c>
      <c r="P462" s="1" t="s">
        <v>9385</v>
      </c>
      <c r="Q462" s="1" t="s">
        <v>9386</v>
      </c>
      <c r="R462" s="1" t="s">
        <v>9387</v>
      </c>
      <c r="S462" s="1" t="s">
        <v>9388</v>
      </c>
      <c r="T462" s="1" t="s">
        <v>9389</v>
      </c>
      <c r="U462" s="1" t="s">
        <v>9390</v>
      </c>
      <c r="V462" s="1" t="s">
        <v>9391</v>
      </c>
      <c r="W462" s="1" t="s">
        <v>68</v>
      </c>
      <c r="X462" s="1" t="s">
        <v>68</v>
      </c>
      <c r="Y462" s="1" t="s">
        <v>68</v>
      </c>
      <c r="Z462" s="1">
        <v>43.0</v>
      </c>
      <c r="AA462" s="1">
        <v>12.0</v>
      </c>
      <c r="AB462" s="1">
        <v>13.0</v>
      </c>
      <c r="AC462" s="1">
        <v>1.0</v>
      </c>
      <c r="AD462" s="1">
        <v>47.0</v>
      </c>
      <c r="AE462" s="1" t="s">
        <v>114</v>
      </c>
      <c r="AF462" s="1" t="s">
        <v>1505</v>
      </c>
      <c r="AG462" s="1" t="s">
        <v>1506</v>
      </c>
      <c r="AH462" s="1" t="s">
        <v>8271</v>
      </c>
      <c r="AI462" s="1" t="s">
        <v>8272</v>
      </c>
      <c r="AJ462" s="1" t="s">
        <v>68</v>
      </c>
      <c r="AK462" s="1" t="s">
        <v>8273</v>
      </c>
      <c r="AL462" s="1" t="s">
        <v>8274</v>
      </c>
      <c r="AM462" s="1" t="s">
        <v>120</v>
      </c>
      <c r="AN462" s="1">
        <v>2017.0</v>
      </c>
      <c r="AO462" s="1">
        <v>21.0</v>
      </c>
      <c r="AP462" s="1" t="s">
        <v>9392</v>
      </c>
      <c r="AQ462" s="1" t="s">
        <v>68</v>
      </c>
      <c r="AR462" s="1" t="s">
        <v>68</v>
      </c>
      <c r="AS462" s="1" t="s">
        <v>68</v>
      </c>
      <c r="AT462" s="1" t="s">
        <v>68</v>
      </c>
      <c r="AU462" s="1">
        <v>907.0</v>
      </c>
      <c r="AV462" s="1">
        <v>915.0</v>
      </c>
      <c r="AW462" s="1" t="s">
        <v>68</v>
      </c>
      <c r="AX462" s="1" t="s">
        <v>9393</v>
      </c>
      <c r="AY462" s="3" t="str">
        <f>HYPERLINK("http://dx.doi.org/10.1007/s10841-017-0030-z","http://dx.doi.org/10.1007/s10841-017-0030-z")</f>
        <v>http://dx.doi.org/10.1007/s10841-017-0030-z</v>
      </c>
      <c r="AZ462" s="1" t="s">
        <v>68</v>
      </c>
      <c r="BA462" s="1" t="s">
        <v>68</v>
      </c>
      <c r="BB462" s="1">
        <v>9.0</v>
      </c>
      <c r="BC462" s="1" t="s">
        <v>3698</v>
      </c>
      <c r="BD462" s="1" t="s">
        <v>92</v>
      </c>
      <c r="BE462" s="1" t="s">
        <v>3699</v>
      </c>
      <c r="BF462" s="1" t="s">
        <v>9394</v>
      </c>
      <c r="BG462" s="1" t="s">
        <v>68</v>
      </c>
      <c r="BH462" s="1" t="s">
        <v>68</v>
      </c>
      <c r="BI462" s="1" t="s">
        <v>68</v>
      </c>
      <c r="BJ462" s="1" t="s">
        <v>68</v>
      </c>
      <c r="BK462" s="1" t="s">
        <v>95</v>
      </c>
      <c r="BL462" s="1" t="s">
        <v>9395</v>
      </c>
      <c r="BM462" s="1" t="str">
        <f>HYPERLINK("https%3A%2F%2Fwww.webofscience.com%2Fwos%2Fwoscc%2Ffull-record%2FWOS:000417608400015","View Full Record in Web of Science")</f>
        <v>View Full Record in Web of Science</v>
      </c>
    </row>
    <row r="463" ht="12.75" customHeight="1">
      <c r="A463" s="1" t="s">
        <v>65</v>
      </c>
      <c r="B463" s="1" t="s">
        <v>9396</v>
      </c>
      <c r="C463" s="1" t="s">
        <v>9397</v>
      </c>
      <c r="D463" s="1" t="s">
        <v>68</v>
      </c>
      <c r="E463" s="1" t="s">
        <v>9398</v>
      </c>
      <c r="F463" s="1" t="s">
        <v>798</v>
      </c>
      <c r="G463" s="1" t="s">
        <v>68</v>
      </c>
      <c r="H463" s="1" t="s">
        <v>71</v>
      </c>
      <c r="I463" s="1" t="s">
        <v>72</v>
      </c>
      <c r="J463" s="1" t="s">
        <v>68</v>
      </c>
      <c r="K463" s="1" t="s">
        <v>68</v>
      </c>
      <c r="L463" s="1" t="s">
        <v>68</v>
      </c>
      <c r="M463" s="1" t="s">
        <v>68</v>
      </c>
      <c r="N463" s="1" t="s">
        <v>9399</v>
      </c>
      <c r="O463" s="1" t="s">
        <v>9400</v>
      </c>
      <c r="P463" s="1" t="s">
        <v>9401</v>
      </c>
      <c r="Q463" s="1" t="s">
        <v>9402</v>
      </c>
      <c r="R463" s="1" t="s">
        <v>9403</v>
      </c>
      <c r="S463" s="1" t="s">
        <v>9404</v>
      </c>
      <c r="T463" s="1" t="s">
        <v>9405</v>
      </c>
      <c r="U463" s="1" t="s">
        <v>9406</v>
      </c>
      <c r="V463" s="1" t="s">
        <v>9407</v>
      </c>
      <c r="W463" s="1" t="s">
        <v>9408</v>
      </c>
      <c r="X463" s="1" t="s">
        <v>9409</v>
      </c>
      <c r="Y463" s="1" t="s">
        <v>9410</v>
      </c>
      <c r="Z463" s="1">
        <v>34.0</v>
      </c>
      <c r="AA463" s="1">
        <v>5.0</v>
      </c>
      <c r="AB463" s="1">
        <v>6.0</v>
      </c>
      <c r="AC463" s="1">
        <v>2.0</v>
      </c>
      <c r="AD463" s="1">
        <v>15.0</v>
      </c>
      <c r="AE463" s="1" t="s">
        <v>811</v>
      </c>
      <c r="AF463" s="1" t="s">
        <v>1666</v>
      </c>
      <c r="AG463" s="1" t="s">
        <v>1667</v>
      </c>
      <c r="AH463" s="1" t="s">
        <v>813</v>
      </c>
      <c r="AI463" s="1" t="s">
        <v>814</v>
      </c>
      <c r="AJ463" s="1" t="s">
        <v>68</v>
      </c>
      <c r="AK463" s="1" t="s">
        <v>815</v>
      </c>
      <c r="AL463" s="1" t="s">
        <v>816</v>
      </c>
      <c r="AM463" s="1" t="s">
        <v>120</v>
      </c>
      <c r="AN463" s="1">
        <v>2022.0</v>
      </c>
      <c r="AO463" s="1">
        <v>276.0</v>
      </c>
      <c r="AP463" s="1" t="s">
        <v>68</v>
      </c>
      <c r="AQ463" s="1" t="s">
        <v>68</v>
      </c>
      <c r="AR463" s="1" t="s">
        <v>68</v>
      </c>
      <c r="AS463" s="1" t="s">
        <v>68</v>
      </c>
      <c r="AT463" s="1" t="s">
        <v>68</v>
      </c>
      <c r="AU463" s="1" t="s">
        <v>68</v>
      </c>
      <c r="AV463" s="1" t="s">
        <v>68</v>
      </c>
      <c r="AW463" s="1">
        <v>109807.0</v>
      </c>
      <c r="AX463" s="1" t="s">
        <v>9411</v>
      </c>
      <c r="AY463" s="3" t="str">
        <f>HYPERLINK("http://dx.doi.org/10.1016/j.biocon.2022.109807","http://dx.doi.org/10.1016/j.biocon.2022.109807")</f>
        <v>http://dx.doi.org/10.1016/j.biocon.2022.109807</v>
      </c>
      <c r="AZ463" s="1" t="s">
        <v>68</v>
      </c>
      <c r="BA463" s="1" t="s">
        <v>226</v>
      </c>
      <c r="BB463" s="1">
        <v>7.0</v>
      </c>
      <c r="BC463" s="1" t="s">
        <v>122</v>
      </c>
      <c r="BD463" s="1" t="s">
        <v>92</v>
      </c>
      <c r="BE463" s="1" t="s">
        <v>123</v>
      </c>
      <c r="BF463" s="1" t="s">
        <v>9412</v>
      </c>
      <c r="BG463" s="1" t="s">
        <v>68</v>
      </c>
      <c r="BH463" s="1" t="s">
        <v>591</v>
      </c>
      <c r="BI463" s="1" t="s">
        <v>68</v>
      </c>
      <c r="BJ463" s="1" t="s">
        <v>68</v>
      </c>
      <c r="BK463" s="1" t="s">
        <v>95</v>
      </c>
      <c r="BL463" s="1" t="s">
        <v>9413</v>
      </c>
      <c r="BM463" s="1" t="str">
        <f>HYPERLINK("https%3A%2F%2Fwww.webofscience.com%2Fwos%2Fwoscc%2Ffull-record%2FWOS:000890316100014","View Full Record in Web of Science")</f>
        <v>View Full Record in Web of Science</v>
      </c>
    </row>
    <row r="464" ht="12.75" customHeight="1">
      <c r="A464" s="1" t="s">
        <v>65</v>
      </c>
      <c r="B464" s="1" t="s">
        <v>9414</v>
      </c>
      <c r="C464" s="1" t="s">
        <v>9415</v>
      </c>
      <c r="D464" s="1" t="s">
        <v>68</v>
      </c>
      <c r="E464" s="1" t="s">
        <v>9416</v>
      </c>
      <c r="F464" s="1" t="s">
        <v>5080</v>
      </c>
      <c r="G464" s="1" t="s">
        <v>68</v>
      </c>
      <c r="H464" s="1" t="s">
        <v>71</v>
      </c>
      <c r="I464" s="1" t="s">
        <v>72</v>
      </c>
      <c r="J464" s="1" t="s">
        <v>68</v>
      </c>
      <c r="K464" s="1" t="s">
        <v>68</v>
      </c>
      <c r="L464" s="1" t="s">
        <v>68</v>
      </c>
      <c r="M464" s="1" t="s">
        <v>68</v>
      </c>
      <c r="N464" s="1" t="s">
        <v>9417</v>
      </c>
      <c r="O464" s="1" t="s">
        <v>9418</v>
      </c>
      <c r="P464" s="1" t="s">
        <v>9419</v>
      </c>
      <c r="Q464" s="1" t="s">
        <v>9420</v>
      </c>
      <c r="R464" s="1" t="s">
        <v>9421</v>
      </c>
      <c r="S464" s="1" t="s">
        <v>9422</v>
      </c>
      <c r="T464" s="1" t="s">
        <v>9423</v>
      </c>
      <c r="U464" s="1" t="s">
        <v>1864</v>
      </c>
      <c r="V464" s="1" t="s">
        <v>9424</v>
      </c>
      <c r="W464" s="1" t="s">
        <v>9425</v>
      </c>
      <c r="X464" s="1" t="s">
        <v>9426</v>
      </c>
      <c r="Y464" s="1" t="s">
        <v>9427</v>
      </c>
      <c r="Z464" s="1">
        <v>35.0</v>
      </c>
      <c r="AA464" s="1">
        <v>10.0</v>
      </c>
      <c r="AB464" s="1">
        <v>12.0</v>
      </c>
      <c r="AC464" s="1">
        <v>0.0</v>
      </c>
      <c r="AD464" s="1">
        <v>8.0</v>
      </c>
      <c r="AE464" s="1" t="s">
        <v>662</v>
      </c>
      <c r="AF464" s="1" t="s">
        <v>663</v>
      </c>
      <c r="AG464" s="1" t="s">
        <v>664</v>
      </c>
      <c r="AH464" s="1" t="s">
        <v>68</v>
      </c>
      <c r="AI464" s="1" t="s">
        <v>5092</v>
      </c>
      <c r="AJ464" s="1" t="s">
        <v>68</v>
      </c>
      <c r="AK464" s="1" t="s">
        <v>5080</v>
      </c>
      <c r="AL464" s="1" t="s">
        <v>5093</v>
      </c>
      <c r="AM464" s="1" t="s">
        <v>9428</v>
      </c>
      <c r="AN464" s="1">
        <v>2021.0</v>
      </c>
      <c r="AO464" s="1">
        <v>21.0</v>
      </c>
      <c r="AP464" s="1">
        <v>1.0</v>
      </c>
      <c r="AQ464" s="1" t="s">
        <v>68</v>
      </c>
      <c r="AR464" s="1" t="s">
        <v>68</v>
      </c>
      <c r="AS464" s="1" t="s">
        <v>68</v>
      </c>
      <c r="AT464" s="1" t="s">
        <v>68</v>
      </c>
      <c r="AU464" s="1" t="s">
        <v>68</v>
      </c>
      <c r="AV464" s="1" t="s">
        <v>68</v>
      </c>
      <c r="AW464" s="1">
        <v>509.0</v>
      </c>
      <c r="AX464" s="1" t="s">
        <v>9429</v>
      </c>
      <c r="AY464" s="3" t="str">
        <f>HYPERLINK("http://dx.doi.org/10.1186/s12889-021-10493-6","http://dx.doi.org/10.1186/s12889-021-10493-6")</f>
        <v>http://dx.doi.org/10.1186/s12889-021-10493-6</v>
      </c>
      <c r="AZ464" s="1" t="s">
        <v>68</v>
      </c>
      <c r="BA464" s="1" t="s">
        <v>68</v>
      </c>
      <c r="BB464" s="1">
        <v>8.0</v>
      </c>
      <c r="BC464" s="1" t="s">
        <v>3647</v>
      </c>
      <c r="BD464" s="1" t="s">
        <v>92</v>
      </c>
      <c r="BE464" s="1" t="s">
        <v>3647</v>
      </c>
      <c r="BF464" s="1" t="s">
        <v>9430</v>
      </c>
      <c r="BG464" s="1">
        <v>3.3726697E7</v>
      </c>
      <c r="BH464" s="1" t="s">
        <v>94</v>
      </c>
      <c r="BI464" s="1" t="s">
        <v>68</v>
      </c>
      <c r="BJ464" s="1" t="s">
        <v>68</v>
      </c>
      <c r="BK464" s="1" t="s">
        <v>95</v>
      </c>
      <c r="BL464" s="1" t="s">
        <v>9431</v>
      </c>
      <c r="BM464" s="1" t="str">
        <f>HYPERLINK("https%3A%2F%2Fwww.webofscience.com%2Fwos%2Fwoscc%2Ffull-record%2FWOS:000630090200003","View Full Record in Web of Science")</f>
        <v>View Full Record in Web of Science</v>
      </c>
    </row>
    <row r="465" ht="12.75" customHeight="1">
      <c r="A465" s="1" t="s">
        <v>65</v>
      </c>
      <c r="B465" s="1" t="s">
        <v>9432</v>
      </c>
      <c r="C465" s="1" t="s">
        <v>9433</v>
      </c>
      <c r="D465" s="1" t="s">
        <v>68</v>
      </c>
      <c r="E465" s="1" t="s">
        <v>9434</v>
      </c>
      <c r="F465" s="1" t="s">
        <v>467</v>
      </c>
      <c r="G465" s="1" t="s">
        <v>68</v>
      </c>
      <c r="H465" s="1" t="s">
        <v>71</v>
      </c>
      <c r="I465" s="1" t="s">
        <v>72</v>
      </c>
      <c r="J465" s="1" t="s">
        <v>68</v>
      </c>
      <c r="K465" s="1" t="s">
        <v>68</v>
      </c>
      <c r="L465" s="1" t="s">
        <v>68</v>
      </c>
      <c r="M465" s="1" t="s">
        <v>68</v>
      </c>
      <c r="N465" s="1" t="s">
        <v>9435</v>
      </c>
      <c r="O465" s="1" t="s">
        <v>9436</v>
      </c>
      <c r="P465" s="1" t="s">
        <v>9437</v>
      </c>
      <c r="Q465" s="1" t="s">
        <v>9438</v>
      </c>
      <c r="R465" s="1" t="s">
        <v>9439</v>
      </c>
      <c r="S465" s="1" t="s">
        <v>9440</v>
      </c>
      <c r="T465" s="1" t="s">
        <v>9441</v>
      </c>
      <c r="U465" s="1" t="s">
        <v>9442</v>
      </c>
      <c r="V465" s="1" t="s">
        <v>9443</v>
      </c>
      <c r="W465" s="1" t="s">
        <v>9444</v>
      </c>
      <c r="X465" s="1" t="s">
        <v>9444</v>
      </c>
      <c r="Y465" s="1" t="s">
        <v>9445</v>
      </c>
      <c r="Z465" s="1">
        <v>58.0</v>
      </c>
      <c r="AA465" s="1">
        <v>0.0</v>
      </c>
      <c r="AB465" s="1">
        <v>0.0</v>
      </c>
      <c r="AC465" s="1">
        <v>2.0</v>
      </c>
      <c r="AD465" s="1">
        <v>2.0</v>
      </c>
      <c r="AE465" s="1" t="s">
        <v>83</v>
      </c>
      <c r="AF465" s="1" t="s">
        <v>84</v>
      </c>
      <c r="AG465" s="1" t="s">
        <v>85</v>
      </c>
      <c r="AH465" s="1" t="s">
        <v>68</v>
      </c>
      <c r="AI465" s="1" t="s">
        <v>479</v>
      </c>
      <c r="AJ465" s="1" t="s">
        <v>68</v>
      </c>
      <c r="AK465" s="1" t="s">
        <v>480</v>
      </c>
      <c r="AL465" s="1" t="s">
        <v>481</v>
      </c>
      <c r="AM465" s="1" t="s">
        <v>9446</v>
      </c>
      <c r="AN465" s="1">
        <v>2025.0</v>
      </c>
      <c r="AO465" s="1">
        <v>13.0</v>
      </c>
      <c r="AP465" s="1" t="s">
        <v>68</v>
      </c>
      <c r="AQ465" s="1" t="s">
        <v>68</v>
      </c>
      <c r="AR465" s="1" t="s">
        <v>68</v>
      </c>
      <c r="AS465" s="1" t="s">
        <v>68</v>
      </c>
      <c r="AT465" s="1" t="s">
        <v>68</v>
      </c>
      <c r="AU465" s="1" t="s">
        <v>68</v>
      </c>
      <c r="AV465" s="1" t="s">
        <v>68</v>
      </c>
      <c r="AW465" s="1">
        <v>1610130.0</v>
      </c>
      <c r="AX465" s="1" t="s">
        <v>9447</v>
      </c>
      <c r="AY465" s="3" t="str">
        <f>HYPERLINK("http://dx.doi.org/10.3389/fenvs.2025.1610130","http://dx.doi.org/10.3389/fenvs.2025.1610130")</f>
        <v>http://dx.doi.org/10.3389/fenvs.2025.1610130</v>
      </c>
      <c r="AZ465" s="1" t="s">
        <v>68</v>
      </c>
      <c r="BA465" s="1" t="s">
        <v>68</v>
      </c>
      <c r="BB465" s="1">
        <v>15.0</v>
      </c>
      <c r="BC465" s="1" t="s">
        <v>484</v>
      </c>
      <c r="BD465" s="1" t="s">
        <v>92</v>
      </c>
      <c r="BE465" s="1" t="s">
        <v>333</v>
      </c>
      <c r="BF465" s="1" t="s">
        <v>9448</v>
      </c>
      <c r="BG465" s="1" t="s">
        <v>68</v>
      </c>
      <c r="BH465" s="1" t="s">
        <v>94</v>
      </c>
      <c r="BI465" s="1" t="s">
        <v>68</v>
      </c>
      <c r="BJ465" s="1" t="s">
        <v>68</v>
      </c>
      <c r="BK465" s="1" t="s">
        <v>95</v>
      </c>
      <c r="BL465" s="1" t="s">
        <v>9449</v>
      </c>
      <c r="BM465" s="1" t="str">
        <f>HYPERLINK("https%3A%2F%2Fwww.webofscience.com%2Fwos%2Fwoscc%2Ffull-record%2FWOS:001537295800001","View Full Record in Web of Science")</f>
        <v>View Full Record in Web of Science</v>
      </c>
    </row>
    <row r="466" ht="12.75" customHeight="1">
      <c r="A466" s="1" t="s">
        <v>65</v>
      </c>
      <c r="B466" s="1" t="s">
        <v>9450</v>
      </c>
      <c r="C466" s="1" t="s">
        <v>9451</v>
      </c>
      <c r="D466" s="1" t="s">
        <v>68</v>
      </c>
      <c r="E466" s="1" t="s">
        <v>9452</v>
      </c>
      <c r="F466" s="1" t="s">
        <v>2089</v>
      </c>
      <c r="G466" s="1" t="s">
        <v>68</v>
      </c>
      <c r="H466" s="1" t="s">
        <v>71</v>
      </c>
      <c r="I466" s="1" t="s">
        <v>72</v>
      </c>
      <c r="J466" s="1" t="s">
        <v>68</v>
      </c>
      <c r="K466" s="1" t="s">
        <v>68</v>
      </c>
      <c r="L466" s="1" t="s">
        <v>68</v>
      </c>
      <c r="M466" s="1" t="s">
        <v>68</v>
      </c>
      <c r="N466" s="1" t="s">
        <v>9453</v>
      </c>
      <c r="O466" s="1" t="s">
        <v>9454</v>
      </c>
      <c r="P466" s="1" t="s">
        <v>9455</v>
      </c>
      <c r="Q466" s="1" t="s">
        <v>9456</v>
      </c>
      <c r="R466" s="1" t="s">
        <v>9457</v>
      </c>
      <c r="S466" s="1" t="s">
        <v>9458</v>
      </c>
      <c r="T466" s="1" t="s">
        <v>9459</v>
      </c>
      <c r="U466" s="1" t="s">
        <v>9460</v>
      </c>
      <c r="V466" s="1" t="s">
        <v>9461</v>
      </c>
      <c r="W466" s="1" t="s">
        <v>68</v>
      </c>
      <c r="X466" s="1" t="s">
        <v>68</v>
      </c>
      <c r="Y466" s="1" t="s">
        <v>68</v>
      </c>
      <c r="Z466" s="1">
        <v>35.0</v>
      </c>
      <c r="AA466" s="1">
        <v>57.0</v>
      </c>
      <c r="AB466" s="1">
        <v>72.0</v>
      </c>
      <c r="AC466" s="1">
        <v>1.0</v>
      </c>
      <c r="AD466" s="1">
        <v>129.0</v>
      </c>
      <c r="AE466" s="1" t="s">
        <v>114</v>
      </c>
      <c r="AF466" s="1" t="s">
        <v>1505</v>
      </c>
      <c r="AG466" s="1" t="s">
        <v>1506</v>
      </c>
      <c r="AH466" s="1" t="s">
        <v>2102</v>
      </c>
      <c r="AI466" s="1" t="s">
        <v>2103</v>
      </c>
      <c r="AJ466" s="1" t="s">
        <v>68</v>
      </c>
      <c r="AK466" s="1" t="s">
        <v>2104</v>
      </c>
      <c r="AL466" s="1" t="s">
        <v>2105</v>
      </c>
      <c r="AM466" s="1" t="s">
        <v>1169</v>
      </c>
      <c r="AN466" s="1">
        <v>2019.0</v>
      </c>
      <c r="AO466" s="1">
        <v>191.0</v>
      </c>
      <c r="AP466" s="1">
        <v>3.0</v>
      </c>
      <c r="AQ466" s="1" t="s">
        <v>68</v>
      </c>
      <c r="AR466" s="1" t="s">
        <v>68</v>
      </c>
      <c r="AS466" s="1" t="s">
        <v>68</v>
      </c>
      <c r="AT466" s="1" t="s">
        <v>68</v>
      </c>
      <c r="AU466" s="1" t="s">
        <v>68</v>
      </c>
      <c r="AV466" s="1" t="s">
        <v>68</v>
      </c>
      <c r="AW466" s="1">
        <v>172.0</v>
      </c>
      <c r="AX466" s="1" t="s">
        <v>9462</v>
      </c>
      <c r="AY466" s="3" t="str">
        <f>HYPERLINK("http://dx.doi.org/10.1007/s10661-019-7297-3","http://dx.doi.org/10.1007/s10661-019-7297-3")</f>
        <v>http://dx.doi.org/10.1007/s10661-019-7297-3</v>
      </c>
      <c r="AZ466" s="1" t="s">
        <v>68</v>
      </c>
      <c r="BA466" s="1" t="s">
        <v>68</v>
      </c>
      <c r="BB466" s="1">
        <v>10.0</v>
      </c>
      <c r="BC466" s="1" t="s">
        <v>484</v>
      </c>
      <c r="BD466" s="1" t="s">
        <v>92</v>
      </c>
      <c r="BE466" s="1" t="s">
        <v>333</v>
      </c>
      <c r="BF466" s="1" t="s">
        <v>9463</v>
      </c>
      <c r="BG466" s="1">
        <v>3.0783766E7</v>
      </c>
      <c r="BH466" s="1" t="s">
        <v>68</v>
      </c>
      <c r="BI466" s="1" t="s">
        <v>68</v>
      </c>
      <c r="BJ466" s="1" t="s">
        <v>68</v>
      </c>
      <c r="BK466" s="1" t="s">
        <v>95</v>
      </c>
      <c r="BL466" s="1" t="s">
        <v>9464</v>
      </c>
      <c r="BM466" s="1" t="str">
        <f>HYPERLINK("https%3A%2F%2Fwww.webofscience.com%2Fwos%2Fwoscc%2Ffull-record%2FWOS:000459163100002","View Full Record in Web of Science")</f>
        <v>View Full Record in Web of Science</v>
      </c>
    </row>
    <row r="467" ht="12.75" customHeight="1">
      <c r="A467" s="1" t="s">
        <v>65</v>
      </c>
      <c r="B467" s="1" t="s">
        <v>9465</v>
      </c>
      <c r="C467" s="1" t="s">
        <v>9466</v>
      </c>
      <c r="D467" s="1" t="s">
        <v>68</v>
      </c>
      <c r="E467" s="1" t="s">
        <v>9467</v>
      </c>
      <c r="F467" s="1" t="s">
        <v>9468</v>
      </c>
      <c r="G467" s="1" t="s">
        <v>68</v>
      </c>
      <c r="H467" s="1" t="s">
        <v>71</v>
      </c>
      <c r="I467" s="1" t="s">
        <v>72</v>
      </c>
      <c r="J467" s="1" t="s">
        <v>68</v>
      </c>
      <c r="K467" s="1" t="s">
        <v>68</v>
      </c>
      <c r="L467" s="1" t="s">
        <v>68</v>
      </c>
      <c r="M467" s="1" t="s">
        <v>68</v>
      </c>
      <c r="N467" s="1" t="s">
        <v>9469</v>
      </c>
      <c r="O467" s="1" t="s">
        <v>9470</v>
      </c>
      <c r="P467" s="1" t="s">
        <v>9471</v>
      </c>
      <c r="Q467" s="1" t="s">
        <v>9472</v>
      </c>
      <c r="R467" s="1" t="s">
        <v>9473</v>
      </c>
      <c r="S467" s="1" t="s">
        <v>9474</v>
      </c>
      <c r="T467" s="1" t="s">
        <v>9475</v>
      </c>
      <c r="U467" s="1" t="s">
        <v>9476</v>
      </c>
      <c r="V467" s="1" t="s">
        <v>9477</v>
      </c>
      <c r="W467" s="1" t="s">
        <v>9478</v>
      </c>
      <c r="X467" s="1" t="s">
        <v>9479</v>
      </c>
      <c r="Y467" s="1" t="s">
        <v>9480</v>
      </c>
      <c r="Z467" s="1">
        <v>49.0</v>
      </c>
      <c r="AA467" s="1">
        <v>40.0</v>
      </c>
      <c r="AB467" s="1">
        <v>47.0</v>
      </c>
      <c r="AC467" s="1">
        <v>1.0</v>
      </c>
      <c r="AD467" s="1">
        <v>46.0</v>
      </c>
      <c r="AE467" s="1" t="s">
        <v>811</v>
      </c>
      <c r="AF467" s="1" t="s">
        <v>1666</v>
      </c>
      <c r="AG467" s="1" t="s">
        <v>1667</v>
      </c>
      <c r="AH467" s="1" t="s">
        <v>9481</v>
      </c>
      <c r="AI467" s="1" t="s">
        <v>9482</v>
      </c>
      <c r="AJ467" s="1" t="s">
        <v>68</v>
      </c>
      <c r="AK467" s="1" t="s">
        <v>9483</v>
      </c>
      <c r="AL467" s="1" t="s">
        <v>9484</v>
      </c>
      <c r="AM467" s="1" t="s">
        <v>9485</v>
      </c>
      <c r="AN467" s="1">
        <v>2022.0</v>
      </c>
      <c r="AO467" s="1">
        <v>311.0</v>
      </c>
      <c r="AP467" s="1" t="s">
        <v>68</v>
      </c>
      <c r="AQ467" s="1" t="s">
        <v>68</v>
      </c>
      <c r="AR467" s="1" t="s">
        <v>68</v>
      </c>
      <c r="AS467" s="1" t="s">
        <v>68</v>
      </c>
      <c r="AT467" s="1" t="s">
        <v>68</v>
      </c>
      <c r="AU467" s="1" t="s">
        <v>68</v>
      </c>
      <c r="AV467" s="1" t="s">
        <v>68</v>
      </c>
      <c r="AW467" s="1">
        <v>120011.0</v>
      </c>
      <c r="AX467" s="1" t="s">
        <v>9486</v>
      </c>
      <c r="AY467" s="3" t="str">
        <f>HYPERLINK("http://dx.doi.org/10.1016/j.envpol.2022.120011","http://dx.doi.org/10.1016/j.envpol.2022.120011")</f>
        <v>http://dx.doi.org/10.1016/j.envpol.2022.120011</v>
      </c>
      <c r="AZ467" s="1" t="s">
        <v>68</v>
      </c>
      <c r="BA467" s="1" t="s">
        <v>565</v>
      </c>
      <c r="BB467" s="1">
        <v>8.0</v>
      </c>
      <c r="BC467" s="1" t="s">
        <v>484</v>
      </c>
      <c r="BD467" s="1" t="s">
        <v>92</v>
      </c>
      <c r="BE467" s="1" t="s">
        <v>333</v>
      </c>
      <c r="BF467" s="1" t="s">
        <v>9487</v>
      </c>
      <c r="BG467" s="1">
        <v>3.5998775E7</v>
      </c>
      <c r="BH467" s="1" t="s">
        <v>867</v>
      </c>
      <c r="BI467" s="1" t="s">
        <v>68</v>
      </c>
      <c r="BJ467" s="1" t="s">
        <v>68</v>
      </c>
      <c r="BK467" s="1" t="s">
        <v>95</v>
      </c>
      <c r="BL467" s="1" t="s">
        <v>9488</v>
      </c>
      <c r="BM467" s="1" t="str">
        <f>HYPERLINK("https%3A%2F%2Fwww.webofscience.com%2Fwos%2Fwoscc%2Ffull-record%2FWOS:000860744600007","View Full Record in Web of Science")</f>
        <v>View Full Record in Web of Science</v>
      </c>
    </row>
    <row r="468" ht="12.75" customHeight="1">
      <c r="A468" s="1" t="s">
        <v>65</v>
      </c>
      <c r="B468" s="1" t="s">
        <v>9489</v>
      </c>
      <c r="C468" s="1" t="s">
        <v>9490</v>
      </c>
      <c r="D468" s="1" t="s">
        <v>68</v>
      </c>
      <c r="E468" s="1" t="s">
        <v>9491</v>
      </c>
      <c r="F468" s="1" t="s">
        <v>1106</v>
      </c>
      <c r="G468" s="1" t="s">
        <v>68</v>
      </c>
      <c r="H468" s="1" t="s">
        <v>71</v>
      </c>
      <c r="I468" s="1" t="s">
        <v>72</v>
      </c>
      <c r="J468" s="1" t="s">
        <v>68</v>
      </c>
      <c r="K468" s="1" t="s">
        <v>68</v>
      </c>
      <c r="L468" s="1" t="s">
        <v>68</v>
      </c>
      <c r="M468" s="1" t="s">
        <v>68</v>
      </c>
      <c r="N468" s="1" t="s">
        <v>9492</v>
      </c>
      <c r="O468" s="1" t="s">
        <v>9493</v>
      </c>
      <c r="P468" s="1" t="s">
        <v>9494</v>
      </c>
      <c r="Q468" s="1" t="s">
        <v>9495</v>
      </c>
      <c r="R468" s="1" t="s">
        <v>9496</v>
      </c>
      <c r="S468" s="1" t="s">
        <v>9497</v>
      </c>
      <c r="T468" s="1" t="s">
        <v>9498</v>
      </c>
      <c r="U468" s="1" t="s">
        <v>9499</v>
      </c>
      <c r="V468" s="1" t="s">
        <v>9500</v>
      </c>
      <c r="W468" s="1" t="s">
        <v>9501</v>
      </c>
      <c r="X468" s="1" t="s">
        <v>9502</v>
      </c>
      <c r="Y468" s="1" t="s">
        <v>9503</v>
      </c>
      <c r="Z468" s="1">
        <v>44.0</v>
      </c>
      <c r="AA468" s="1">
        <v>82.0</v>
      </c>
      <c r="AB468" s="1">
        <v>94.0</v>
      </c>
      <c r="AC468" s="1">
        <v>3.0</v>
      </c>
      <c r="AD468" s="1">
        <v>33.0</v>
      </c>
      <c r="AE468" s="1" t="s">
        <v>83</v>
      </c>
      <c r="AF468" s="1" t="s">
        <v>84</v>
      </c>
      <c r="AG468" s="1" t="s">
        <v>85</v>
      </c>
      <c r="AH468" s="1" t="s">
        <v>68</v>
      </c>
      <c r="AI468" s="1" t="s">
        <v>1119</v>
      </c>
      <c r="AJ468" s="1" t="s">
        <v>68</v>
      </c>
      <c r="AK468" s="1" t="s">
        <v>1120</v>
      </c>
      <c r="AL468" s="1" t="s">
        <v>1121</v>
      </c>
      <c r="AM468" s="1" t="s">
        <v>9504</v>
      </c>
      <c r="AN468" s="1">
        <v>2019.0</v>
      </c>
      <c r="AO468" s="1">
        <v>6.0</v>
      </c>
      <c r="AP468" s="1" t="s">
        <v>68</v>
      </c>
      <c r="AQ468" s="1" t="s">
        <v>68</v>
      </c>
      <c r="AR468" s="1" t="s">
        <v>68</v>
      </c>
      <c r="AS468" s="1" t="s">
        <v>68</v>
      </c>
      <c r="AT468" s="1" t="s">
        <v>68</v>
      </c>
      <c r="AU468" s="1" t="s">
        <v>68</v>
      </c>
      <c r="AV468" s="1" t="s">
        <v>68</v>
      </c>
      <c r="AW468" s="1">
        <v>349.0</v>
      </c>
      <c r="AX468" s="1" t="s">
        <v>9505</v>
      </c>
      <c r="AY468" s="3" t="str">
        <f>HYPERLINK("http://dx.doi.org/10.3389/fmars.2019.00349","http://dx.doi.org/10.3389/fmars.2019.00349")</f>
        <v>http://dx.doi.org/10.3389/fmars.2019.00349</v>
      </c>
      <c r="AZ468" s="1" t="s">
        <v>68</v>
      </c>
      <c r="BA468" s="1" t="s">
        <v>68</v>
      </c>
      <c r="BB468" s="1">
        <v>11.0</v>
      </c>
      <c r="BC468" s="1" t="s">
        <v>1124</v>
      </c>
      <c r="BD468" s="1" t="s">
        <v>279</v>
      </c>
      <c r="BE468" s="1" t="s">
        <v>1125</v>
      </c>
      <c r="BF468" s="1" t="s">
        <v>9506</v>
      </c>
      <c r="BG468" s="1" t="s">
        <v>68</v>
      </c>
      <c r="BH468" s="1" t="s">
        <v>618</v>
      </c>
      <c r="BI468" s="1" t="s">
        <v>68</v>
      </c>
      <c r="BJ468" s="1" t="s">
        <v>68</v>
      </c>
      <c r="BK468" s="1" t="s">
        <v>95</v>
      </c>
      <c r="BL468" s="1" t="s">
        <v>9507</v>
      </c>
      <c r="BM468" s="1" t="str">
        <f>HYPERLINK("https%3A%2F%2Fwww.webofscience.com%2Fwos%2Fwoscc%2Ffull-record%2FWOS:000473484200001","View Full Record in Web of Science")</f>
        <v>View Full Record in Web of Science</v>
      </c>
    </row>
    <row r="469" ht="12.75" customHeight="1">
      <c r="A469" s="1" t="s">
        <v>65</v>
      </c>
      <c r="B469" s="1" t="s">
        <v>9508</v>
      </c>
      <c r="C469" s="1" t="s">
        <v>9509</v>
      </c>
      <c r="D469" s="1" t="s">
        <v>68</v>
      </c>
      <c r="E469" s="1" t="s">
        <v>9510</v>
      </c>
      <c r="F469" s="1" t="s">
        <v>1245</v>
      </c>
      <c r="G469" s="1" t="s">
        <v>68</v>
      </c>
      <c r="H469" s="1" t="s">
        <v>71</v>
      </c>
      <c r="I469" s="1" t="s">
        <v>72</v>
      </c>
      <c r="J469" s="1" t="s">
        <v>68</v>
      </c>
      <c r="K469" s="1" t="s">
        <v>68</v>
      </c>
      <c r="L469" s="1" t="s">
        <v>68</v>
      </c>
      <c r="M469" s="1" t="s">
        <v>68</v>
      </c>
      <c r="N469" s="1" t="s">
        <v>9511</v>
      </c>
      <c r="O469" s="1" t="s">
        <v>9512</v>
      </c>
      <c r="P469" s="1" t="s">
        <v>9513</v>
      </c>
      <c r="Q469" s="1" t="s">
        <v>9514</v>
      </c>
      <c r="R469" s="1" t="s">
        <v>9515</v>
      </c>
      <c r="S469" s="1" t="s">
        <v>9516</v>
      </c>
      <c r="T469" s="1" t="s">
        <v>9517</v>
      </c>
      <c r="U469" s="1" t="s">
        <v>68</v>
      </c>
      <c r="V469" s="1" t="s">
        <v>68</v>
      </c>
      <c r="W469" s="1" t="s">
        <v>9518</v>
      </c>
      <c r="X469" s="1" t="s">
        <v>9519</v>
      </c>
      <c r="Y469" s="1" t="s">
        <v>9520</v>
      </c>
      <c r="Z469" s="1">
        <v>57.0</v>
      </c>
      <c r="AA469" s="1">
        <v>6.0</v>
      </c>
      <c r="AB469" s="1">
        <v>6.0</v>
      </c>
      <c r="AC469" s="1">
        <v>0.0</v>
      </c>
      <c r="AD469" s="1">
        <v>16.0</v>
      </c>
      <c r="AE469" s="1" t="s">
        <v>1258</v>
      </c>
      <c r="AF469" s="1" t="s">
        <v>1259</v>
      </c>
      <c r="AG469" s="1" t="s">
        <v>1260</v>
      </c>
      <c r="AH469" s="1" t="s">
        <v>1261</v>
      </c>
      <c r="AI469" s="1" t="s">
        <v>68</v>
      </c>
      <c r="AJ469" s="1" t="s">
        <v>68</v>
      </c>
      <c r="AK469" s="1" t="s">
        <v>1262</v>
      </c>
      <c r="AL469" s="1" t="s">
        <v>1263</v>
      </c>
      <c r="AM469" s="1" t="s">
        <v>3782</v>
      </c>
      <c r="AN469" s="1">
        <v>2021.0</v>
      </c>
      <c r="AO469" s="1">
        <v>12.0</v>
      </c>
      <c r="AP469" s="1">
        <v>2.0</v>
      </c>
      <c r="AQ469" s="1" t="s">
        <v>68</v>
      </c>
      <c r="AR469" s="1" t="s">
        <v>68</v>
      </c>
      <c r="AS469" s="1" t="s">
        <v>68</v>
      </c>
      <c r="AT469" s="1" t="s">
        <v>68</v>
      </c>
      <c r="AU469" s="1">
        <v>331.0</v>
      </c>
      <c r="AV469" s="1">
        <v>343.0</v>
      </c>
      <c r="AW469" s="1" t="s">
        <v>68</v>
      </c>
      <c r="AX469" s="1" t="s">
        <v>9521</v>
      </c>
      <c r="AY469" s="3" t="str">
        <f>HYPERLINK("http://dx.doi.org/10.3391/mbi.2021.12.2.08","http://dx.doi.org/10.3391/mbi.2021.12.2.08")</f>
        <v>http://dx.doi.org/10.3391/mbi.2021.12.2.08</v>
      </c>
      <c r="AZ469" s="1" t="s">
        <v>68</v>
      </c>
      <c r="BA469" s="1" t="s">
        <v>68</v>
      </c>
      <c r="BB469" s="1">
        <v>13.0</v>
      </c>
      <c r="BC469" s="1" t="s">
        <v>1171</v>
      </c>
      <c r="BD469" s="1" t="s">
        <v>92</v>
      </c>
      <c r="BE469" s="1" t="s">
        <v>1172</v>
      </c>
      <c r="BF469" s="1" t="s">
        <v>9522</v>
      </c>
      <c r="BG469" s="1" t="s">
        <v>68</v>
      </c>
      <c r="BH469" s="1" t="s">
        <v>462</v>
      </c>
      <c r="BI469" s="1" t="s">
        <v>68</v>
      </c>
      <c r="BJ469" s="1" t="s">
        <v>68</v>
      </c>
      <c r="BK469" s="1" t="s">
        <v>95</v>
      </c>
      <c r="BL469" s="1" t="s">
        <v>9523</v>
      </c>
      <c r="BM469" s="1" t="str">
        <f>HYPERLINK("https%3A%2F%2Fwww.webofscience.com%2Fwos%2Fwoscc%2Ffull-record%2FWOS:000640623900008","View Full Record in Web of Science")</f>
        <v>View Full Record in Web of Science</v>
      </c>
    </row>
    <row r="470" ht="12.75" customHeight="1">
      <c r="A470" s="1" t="s">
        <v>65</v>
      </c>
      <c r="B470" s="1" t="s">
        <v>9524</v>
      </c>
      <c r="C470" s="1" t="s">
        <v>9525</v>
      </c>
      <c r="D470" s="1" t="s">
        <v>68</v>
      </c>
      <c r="E470" s="1" t="s">
        <v>9526</v>
      </c>
      <c r="F470" s="1" t="s">
        <v>9527</v>
      </c>
      <c r="G470" s="1" t="s">
        <v>68</v>
      </c>
      <c r="H470" s="1" t="s">
        <v>71</v>
      </c>
      <c r="I470" s="1" t="s">
        <v>597</v>
      </c>
      <c r="J470" s="1" t="s">
        <v>68</v>
      </c>
      <c r="K470" s="1" t="s">
        <v>68</v>
      </c>
      <c r="L470" s="1" t="s">
        <v>68</v>
      </c>
      <c r="M470" s="1" t="s">
        <v>68</v>
      </c>
      <c r="N470" s="1" t="s">
        <v>9528</v>
      </c>
      <c r="O470" s="1" t="s">
        <v>68</v>
      </c>
      <c r="P470" s="1" t="s">
        <v>9529</v>
      </c>
      <c r="Q470" s="1" t="s">
        <v>9530</v>
      </c>
      <c r="R470" s="1" t="s">
        <v>9531</v>
      </c>
      <c r="S470" s="1" t="s">
        <v>9532</v>
      </c>
      <c r="T470" s="1" t="s">
        <v>9533</v>
      </c>
      <c r="U470" s="1" t="s">
        <v>68</v>
      </c>
      <c r="V470" s="1" t="s">
        <v>9534</v>
      </c>
      <c r="W470" s="1" t="s">
        <v>9535</v>
      </c>
      <c r="X470" s="1" t="s">
        <v>9536</v>
      </c>
      <c r="Y470" s="1" t="s">
        <v>9537</v>
      </c>
      <c r="Z470" s="1">
        <v>29.0</v>
      </c>
      <c r="AA470" s="1">
        <v>7.0</v>
      </c>
      <c r="AB470" s="1">
        <v>7.0</v>
      </c>
      <c r="AC470" s="1">
        <v>2.0</v>
      </c>
      <c r="AD470" s="1">
        <v>4.0</v>
      </c>
      <c r="AE470" s="1" t="s">
        <v>9538</v>
      </c>
      <c r="AF470" s="1" t="s">
        <v>9539</v>
      </c>
      <c r="AG470" s="1" t="s">
        <v>9540</v>
      </c>
      <c r="AH470" s="1" t="s">
        <v>68</v>
      </c>
      <c r="AI470" s="1" t="s">
        <v>9541</v>
      </c>
      <c r="AJ470" s="1" t="s">
        <v>68</v>
      </c>
      <c r="AK470" s="1" t="s">
        <v>9542</v>
      </c>
      <c r="AL470" s="1" t="s">
        <v>9543</v>
      </c>
      <c r="AM470" s="1" t="s">
        <v>252</v>
      </c>
      <c r="AN470" s="1">
        <v>2024.0</v>
      </c>
      <c r="AO470" s="1">
        <v>27.0</v>
      </c>
      <c r="AP470" s="1" t="s">
        <v>68</v>
      </c>
      <c r="AQ470" s="1" t="s">
        <v>68</v>
      </c>
      <c r="AR470" s="1">
        <v>2.0</v>
      </c>
      <c r="AS470" s="1" t="s">
        <v>563</v>
      </c>
      <c r="AT470" s="1" t="s">
        <v>68</v>
      </c>
      <c r="AU470" s="1" t="s">
        <v>68</v>
      </c>
      <c r="AV470" s="1" t="s">
        <v>68</v>
      </c>
      <c r="AW470" s="1" t="s">
        <v>9544</v>
      </c>
      <c r="AX470" s="1" t="s">
        <v>9545</v>
      </c>
      <c r="AY470" s="3" t="str">
        <f>HYPERLINK("http://dx.doi.org/10.1002/jia2.26277","http://dx.doi.org/10.1002/jia2.26277")</f>
        <v>http://dx.doi.org/10.1002/jia2.26277</v>
      </c>
      <c r="AZ470" s="1" t="s">
        <v>68</v>
      </c>
      <c r="BA470" s="1" t="s">
        <v>68</v>
      </c>
      <c r="BB470" s="1">
        <v>6.0</v>
      </c>
      <c r="BC470" s="1" t="s">
        <v>9546</v>
      </c>
      <c r="BD470" s="1" t="s">
        <v>92</v>
      </c>
      <c r="BE470" s="1" t="s">
        <v>9546</v>
      </c>
      <c r="BF470" s="1" t="s">
        <v>9547</v>
      </c>
      <c r="BG470" s="1">
        <v>3.8988038E7</v>
      </c>
      <c r="BH470" s="1" t="s">
        <v>94</v>
      </c>
      <c r="BI470" s="1" t="s">
        <v>68</v>
      </c>
      <c r="BJ470" s="1" t="s">
        <v>68</v>
      </c>
      <c r="BK470" s="1" t="s">
        <v>95</v>
      </c>
      <c r="BL470" s="1" t="s">
        <v>9548</v>
      </c>
      <c r="BM470" s="1" t="str">
        <f>HYPERLINK("https%3A%2F%2Fwww.webofscience.com%2Fwos%2Fwoscc%2Ffull-record%2FWOS:001266361800008","View Full Record in Web of Science")</f>
        <v>View Full Record in Web of Science</v>
      </c>
    </row>
    <row r="471" ht="12.75" customHeight="1">
      <c r="A471" s="1" t="s">
        <v>65</v>
      </c>
      <c r="B471" s="1" t="s">
        <v>9549</v>
      </c>
      <c r="C471" s="1" t="s">
        <v>9550</v>
      </c>
      <c r="D471" s="1" t="s">
        <v>68</v>
      </c>
      <c r="E471" s="1" t="s">
        <v>9551</v>
      </c>
      <c r="F471" s="1" t="s">
        <v>9552</v>
      </c>
      <c r="G471" s="1" t="s">
        <v>68</v>
      </c>
      <c r="H471" s="1" t="s">
        <v>71</v>
      </c>
      <c r="I471" s="1" t="s">
        <v>72</v>
      </c>
      <c r="J471" s="1" t="s">
        <v>68</v>
      </c>
      <c r="K471" s="1" t="s">
        <v>68</v>
      </c>
      <c r="L471" s="1" t="s">
        <v>68</v>
      </c>
      <c r="M471" s="1" t="s">
        <v>68</v>
      </c>
      <c r="N471" s="1" t="s">
        <v>9553</v>
      </c>
      <c r="O471" s="1" t="s">
        <v>9554</v>
      </c>
      <c r="P471" s="1" t="s">
        <v>9555</v>
      </c>
      <c r="Q471" s="1" t="s">
        <v>9556</v>
      </c>
      <c r="R471" s="1" t="s">
        <v>9557</v>
      </c>
      <c r="S471" s="1" t="s">
        <v>9558</v>
      </c>
      <c r="T471" s="1" t="s">
        <v>9559</v>
      </c>
      <c r="U471" s="1" t="s">
        <v>9560</v>
      </c>
      <c r="V471" s="1" t="s">
        <v>9561</v>
      </c>
      <c r="W471" s="1" t="s">
        <v>9562</v>
      </c>
      <c r="X471" s="1" t="s">
        <v>9563</v>
      </c>
      <c r="Y471" s="1" t="s">
        <v>9564</v>
      </c>
      <c r="Z471" s="1">
        <v>39.0</v>
      </c>
      <c r="AA471" s="1">
        <v>25.0</v>
      </c>
      <c r="AB471" s="1">
        <v>28.0</v>
      </c>
      <c r="AC471" s="1">
        <v>2.0</v>
      </c>
      <c r="AD471" s="1">
        <v>13.0</v>
      </c>
      <c r="AE471" s="1" t="s">
        <v>9565</v>
      </c>
      <c r="AF471" s="1" t="s">
        <v>785</v>
      </c>
      <c r="AG471" s="1" t="s">
        <v>9566</v>
      </c>
      <c r="AH471" s="1" t="s">
        <v>68</v>
      </c>
      <c r="AI471" s="1" t="s">
        <v>9567</v>
      </c>
      <c r="AJ471" s="1" t="s">
        <v>68</v>
      </c>
      <c r="AK471" s="1" t="s">
        <v>9568</v>
      </c>
      <c r="AL471" s="1" t="s">
        <v>9569</v>
      </c>
      <c r="AM471" s="1" t="s">
        <v>790</v>
      </c>
      <c r="AN471" s="1">
        <v>2019.0</v>
      </c>
      <c r="AO471" s="1">
        <v>6.0</v>
      </c>
      <c r="AP471" s="1">
        <v>8.0</v>
      </c>
      <c r="AQ471" s="1" t="s">
        <v>68</v>
      </c>
      <c r="AR471" s="1" t="s">
        <v>68</v>
      </c>
      <c r="AS471" s="1" t="s">
        <v>68</v>
      </c>
      <c r="AT471" s="1" t="s">
        <v>68</v>
      </c>
      <c r="AU471" s="1">
        <v>1547.0</v>
      </c>
      <c r="AV471" s="1">
        <v>1560.0</v>
      </c>
      <c r="AW471" s="1" t="s">
        <v>68</v>
      </c>
      <c r="AX471" s="1" t="s">
        <v>9570</v>
      </c>
      <c r="AY471" s="3" t="str">
        <f>HYPERLINK("http://dx.doi.org/10.1029/2019EA000588","http://dx.doi.org/10.1029/2019EA000588")</f>
        <v>http://dx.doi.org/10.1029/2019EA000588</v>
      </c>
      <c r="AZ471" s="1" t="s">
        <v>68</v>
      </c>
      <c r="BA471" s="1" t="s">
        <v>68</v>
      </c>
      <c r="BB471" s="1">
        <v>14.0</v>
      </c>
      <c r="BC471" s="1" t="s">
        <v>9571</v>
      </c>
      <c r="BD471" s="1" t="s">
        <v>92</v>
      </c>
      <c r="BE471" s="1" t="s">
        <v>9572</v>
      </c>
      <c r="BF471" s="1" t="s">
        <v>9573</v>
      </c>
      <c r="BG471" s="1" t="s">
        <v>68</v>
      </c>
      <c r="BH471" s="1" t="s">
        <v>94</v>
      </c>
      <c r="BI471" s="1" t="s">
        <v>68</v>
      </c>
      <c r="BJ471" s="1" t="s">
        <v>68</v>
      </c>
      <c r="BK471" s="1" t="s">
        <v>95</v>
      </c>
      <c r="BL471" s="1" t="s">
        <v>9574</v>
      </c>
      <c r="BM471" s="1" t="str">
        <f>HYPERLINK("https%3A%2F%2Fwww.webofscience.com%2Fwos%2Fwoscc%2Ffull-record%2FWOS:000490955600017","View Full Record in Web of Science")</f>
        <v>View Full Record in Web of Science</v>
      </c>
    </row>
    <row r="472" ht="12.75" customHeight="1">
      <c r="A472" s="1" t="s">
        <v>65</v>
      </c>
      <c r="B472" s="1" t="s">
        <v>9575</v>
      </c>
      <c r="C472" s="1" t="s">
        <v>9576</v>
      </c>
      <c r="D472" s="1" t="s">
        <v>68</v>
      </c>
      <c r="E472" s="1" t="s">
        <v>9577</v>
      </c>
      <c r="F472" s="1" t="s">
        <v>5425</v>
      </c>
      <c r="G472" s="1" t="s">
        <v>68</v>
      </c>
      <c r="H472" s="1" t="s">
        <v>71</v>
      </c>
      <c r="I472" s="1" t="s">
        <v>72</v>
      </c>
      <c r="J472" s="1" t="s">
        <v>68</v>
      </c>
      <c r="K472" s="1" t="s">
        <v>68</v>
      </c>
      <c r="L472" s="1" t="s">
        <v>68</v>
      </c>
      <c r="M472" s="1" t="s">
        <v>68</v>
      </c>
      <c r="N472" s="1" t="s">
        <v>9578</v>
      </c>
      <c r="O472" s="1" t="s">
        <v>9579</v>
      </c>
      <c r="P472" s="1" t="s">
        <v>9580</v>
      </c>
      <c r="Q472" s="1" t="s">
        <v>9581</v>
      </c>
      <c r="R472" s="1" t="s">
        <v>9582</v>
      </c>
      <c r="S472" s="1" t="s">
        <v>9583</v>
      </c>
      <c r="T472" s="1" t="s">
        <v>9584</v>
      </c>
      <c r="U472" s="1" t="s">
        <v>68</v>
      </c>
      <c r="V472" s="1" t="s">
        <v>4429</v>
      </c>
      <c r="W472" s="1" t="s">
        <v>68</v>
      </c>
      <c r="X472" s="1" t="s">
        <v>68</v>
      </c>
      <c r="Y472" s="1" t="s">
        <v>68</v>
      </c>
      <c r="Z472" s="1">
        <v>50.0</v>
      </c>
      <c r="AA472" s="1">
        <v>20.0</v>
      </c>
      <c r="AB472" s="1">
        <v>21.0</v>
      </c>
      <c r="AC472" s="1">
        <v>2.0</v>
      </c>
      <c r="AD472" s="1">
        <v>39.0</v>
      </c>
      <c r="AE472" s="1" t="s">
        <v>503</v>
      </c>
      <c r="AF472" s="1" t="s">
        <v>504</v>
      </c>
      <c r="AG472" s="1" t="s">
        <v>505</v>
      </c>
      <c r="AH472" s="1" t="s">
        <v>5435</v>
      </c>
      <c r="AI472" s="1" t="s">
        <v>5436</v>
      </c>
      <c r="AJ472" s="1" t="s">
        <v>68</v>
      </c>
      <c r="AK472" s="1" t="s">
        <v>5437</v>
      </c>
      <c r="AL472" s="1" t="s">
        <v>5438</v>
      </c>
      <c r="AM472" s="1" t="s">
        <v>428</v>
      </c>
      <c r="AN472" s="1">
        <v>2019.0</v>
      </c>
      <c r="AO472" s="1">
        <v>35.0</v>
      </c>
      <c r="AP472" s="1">
        <v>8.0</v>
      </c>
      <c r="AQ472" s="1" t="s">
        <v>68</v>
      </c>
      <c r="AR472" s="1" t="s">
        <v>68</v>
      </c>
      <c r="AS472" s="1" t="s">
        <v>563</v>
      </c>
      <c r="AT472" s="1" t="s">
        <v>68</v>
      </c>
      <c r="AU472" s="1">
        <v>1359.0</v>
      </c>
      <c r="AV472" s="1">
        <v>1373.0</v>
      </c>
      <c r="AW472" s="1" t="s">
        <v>68</v>
      </c>
      <c r="AX472" s="1" t="s">
        <v>9585</v>
      </c>
      <c r="AY472" s="3" t="str">
        <f>HYPERLINK("http://dx.doi.org/10.1002/rra.3483","http://dx.doi.org/10.1002/rra.3483")</f>
        <v>http://dx.doi.org/10.1002/rra.3483</v>
      </c>
      <c r="AZ472" s="1" t="s">
        <v>68</v>
      </c>
      <c r="BA472" s="1" t="s">
        <v>9586</v>
      </c>
      <c r="BB472" s="1">
        <v>15.0</v>
      </c>
      <c r="BC472" s="1" t="s">
        <v>2973</v>
      </c>
      <c r="BD472" s="1" t="s">
        <v>92</v>
      </c>
      <c r="BE472" s="1" t="s">
        <v>2974</v>
      </c>
      <c r="BF472" s="1" t="s">
        <v>9587</v>
      </c>
      <c r="BG472" s="1" t="s">
        <v>68</v>
      </c>
      <c r="BH472" s="1" t="s">
        <v>68</v>
      </c>
      <c r="BI472" s="1" t="s">
        <v>68</v>
      </c>
      <c r="BJ472" s="1" t="s">
        <v>68</v>
      </c>
      <c r="BK472" s="1" t="s">
        <v>95</v>
      </c>
      <c r="BL472" s="1" t="s">
        <v>9588</v>
      </c>
      <c r="BM472" s="1" t="str">
        <f>HYPERLINK("https%3A%2F%2Fwww.webofscience.com%2Fwos%2Fwoscc%2Ffull-record%2FWOS:000478419100001","View Full Record in Web of Science")</f>
        <v>View Full Record in Web of Science</v>
      </c>
    </row>
    <row r="473" ht="12.75" customHeight="1">
      <c r="A473" s="1" t="s">
        <v>65</v>
      </c>
      <c r="B473" s="1" t="s">
        <v>9589</v>
      </c>
      <c r="C473" s="1" t="s">
        <v>9590</v>
      </c>
      <c r="D473" s="1" t="s">
        <v>68</v>
      </c>
      <c r="E473" s="1" t="s">
        <v>9591</v>
      </c>
      <c r="F473" s="1" t="s">
        <v>5563</v>
      </c>
      <c r="G473" s="1" t="s">
        <v>68</v>
      </c>
      <c r="H473" s="1" t="s">
        <v>71</v>
      </c>
      <c r="I473" s="1" t="s">
        <v>72</v>
      </c>
      <c r="J473" s="1" t="s">
        <v>68</v>
      </c>
      <c r="K473" s="1" t="s">
        <v>68</v>
      </c>
      <c r="L473" s="1" t="s">
        <v>68</v>
      </c>
      <c r="M473" s="1" t="s">
        <v>68</v>
      </c>
      <c r="N473" s="1" t="s">
        <v>9592</v>
      </c>
      <c r="O473" s="1" t="s">
        <v>4221</v>
      </c>
      <c r="P473" s="1" t="s">
        <v>9593</v>
      </c>
      <c r="Q473" s="1" t="s">
        <v>9594</v>
      </c>
      <c r="R473" s="1" t="s">
        <v>9595</v>
      </c>
      <c r="S473" s="1" t="s">
        <v>9596</v>
      </c>
      <c r="T473" s="1" t="s">
        <v>9597</v>
      </c>
      <c r="U473" s="1" t="s">
        <v>9598</v>
      </c>
      <c r="V473" s="1" t="s">
        <v>68</v>
      </c>
      <c r="W473" s="1" t="s">
        <v>9599</v>
      </c>
      <c r="X473" s="1" t="s">
        <v>9600</v>
      </c>
      <c r="Y473" s="1" t="s">
        <v>9601</v>
      </c>
      <c r="Z473" s="1">
        <v>30.0</v>
      </c>
      <c r="AA473" s="1">
        <v>1.0</v>
      </c>
      <c r="AB473" s="1">
        <v>3.0</v>
      </c>
      <c r="AC473" s="1">
        <v>1.0</v>
      </c>
      <c r="AD473" s="1">
        <v>11.0</v>
      </c>
      <c r="AE473" s="1" t="s">
        <v>5573</v>
      </c>
      <c r="AF473" s="1" t="s">
        <v>5574</v>
      </c>
      <c r="AG473" s="1" t="s">
        <v>6718</v>
      </c>
      <c r="AH473" s="1" t="s">
        <v>5576</v>
      </c>
      <c r="AI473" s="1" t="s">
        <v>68</v>
      </c>
      <c r="AJ473" s="1" t="s">
        <v>68</v>
      </c>
      <c r="AK473" s="1" t="s">
        <v>5563</v>
      </c>
      <c r="AL473" s="1" t="s">
        <v>5577</v>
      </c>
      <c r="AM473" s="1" t="s">
        <v>9602</v>
      </c>
      <c r="AN473" s="1">
        <v>2021.0</v>
      </c>
      <c r="AO473" s="1">
        <v>6.0</v>
      </c>
      <c r="AP473" s="1" t="s">
        <v>68</v>
      </c>
      <c r="AQ473" s="1" t="s">
        <v>68</v>
      </c>
      <c r="AR473" s="1" t="s">
        <v>68</v>
      </c>
      <c r="AS473" s="1" t="s">
        <v>68</v>
      </c>
      <c r="AT473" s="1" t="s">
        <v>68</v>
      </c>
      <c r="AU473" s="1">
        <v>2028.0</v>
      </c>
      <c r="AV473" s="1">
        <v>2041.0</v>
      </c>
      <c r="AW473" s="1" t="s">
        <v>68</v>
      </c>
      <c r="AX473" s="1" t="s">
        <v>9603</v>
      </c>
      <c r="AY473" s="3" t="str">
        <f>HYPERLINK("http://dx.doi.org/10.1139/facets-2021-0013","http://dx.doi.org/10.1139/facets-2021-0013")</f>
        <v>http://dx.doi.org/10.1139/facets-2021-0013</v>
      </c>
      <c r="AZ473" s="1" t="s">
        <v>68</v>
      </c>
      <c r="BA473" s="1" t="s">
        <v>68</v>
      </c>
      <c r="BB473" s="1">
        <v>14.0</v>
      </c>
      <c r="BC473" s="1" t="s">
        <v>742</v>
      </c>
      <c r="BD473" s="1" t="s">
        <v>92</v>
      </c>
      <c r="BE473" s="1" t="s">
        <v>743</v>
      </c>
      <c r="BF473" s="1" t="s">
        <v>9604</v>
      </c>
      <c r="BG473" s="1" t="s">
        <v>68</v>
      </c>
      <c r="BH473" s="1" t="s">
        <v>462</v>
      </c>
      <c r="BI473" s="1" t="s">
        <v>68</v>
      </c>
      <c r="BJ473" s="1" t="s">
        <v>68</v>
      </c>
      <c r="BK473" s="1" t="s">
        <v>95</v>
      </c>
      <c r="BL473" s="1" t="s">
        <v>9605</v>
      </c>
      <c r="BM473" s="1" t="str">
        <f>HYPERLINK("https%3A%2F%2Fwww.webofscience.com%2Fwos%2Fwoscc%2Ffull-record%2FWOS:000729790500001","View Full Record in Web of Science")</f>
        <v>View Full Record in Web of Science</v>
      </c>
    </row>
    <row r="474" ht="12.75" customHeight="1">
      <c r="A474" s="1" t="s">
        <v>65</v>
      </c>
      <c r="B474" s="1" t="s">
        <v>9606</v>
      </c>
      <c r="C474" s="1" t="s">
        <v>9607</v>
      </c>
      <c r="D474" s="1" t="s">
        <v>68</v>
      </c>
      <c r="E474" s="1" t="s">
        <v>9608</v>
      </c>
      <c r="F474" s="1" t="s">
        <v>9609</v>
      </c>
      <c r="G474" s="1" t="s">
        <v>68</v>
      </c>
      <c r="H474" s="1" t="s">
        <v>71</v>
      </c>
      <c r="I474" s="1" t="s">
        <v>72</v>
      </c>
      <c r="J474" s="1" t="s">
        <v>68</v>
      </c>
      <c r="K474" s="1" t="s">
        <v>68</v>
      </c>
      <c r="L474" s="1" t="s">
        <v>68</v>
      </c>
      <c r="M474" s="1" t="s">
        <v>68</v>
      </c>
      <c r="N474" s="1" t="s">
        <v>9610</v>
      </c>
      <c r="O474" s="1" t="s">
        <v>9611</v>
      </c>
      <c r="P474" s="1" t="s">
        <v>9612</v>
      </c>
      <c r="Q474" s="1" t="s">
        <v>9613</v>
      </c>
      <c r="R474" s="1" t="s">
        <v>9614</v>
      </c>
      <c r="S474" s="1" t="s">
        <v>4761</v>
      </c>
      <c r="T474" s="1" t="s">
        <v>1425</v>
      </c>
      <c r="U474" s="1" t="s">
        <v>9615</v>
      </c>
      <c r="V474" s="1" t="s">
        <v>9616</v>
      </c>
      <c r="W474" s="1" t="s">
        <v>9617</v>
      </c>
      <c r="X474" s="1" t="s">
        <v>9618</v>
      </c>
      <c r="Y474" s="1" t="s">
        <v>9619</v>
      </c>
      <c r="Z474" s="1">
        <v>103.0</v>
      </c>
      <c r="AA474" s="1">
        <v>16.0</v>
      </c>
      <c r="AB474" s="1">
        <v>19.0</v>
      </c>
      <c r="AC474" s="1">
        <v>2.0</v>
      </c>
      <c r="AD474" s="1">
        <v>15.0</v>
      </c>
      <c r="AE474" s="1" t="s">
        <v>83</v>
      </c>
      <c r="AF474" s="1" t="s">
        <v>84</v>
      </c>
      <c r="AG474" s="1" t="s">
        <v>85</v>
      </c>
      <c r="AH474" s="1" t="s">
        <v>68</v>
      </c>
      <c r="AI474" s="1" t="s">
        <v>9620</v>
      </c>
      <c r="AJ474" s="1" t="s">
        <v>68</v>
      </c>
      <c r="AK474" s="1" t="s">
        <v>9621</v>
      </c>
      <c r="AL474" s="1" t="s">
        <v>9622</v>
      </c>
      <c r="AM474" s="1" t="s">
        <v>9623</v>
      </c>
      <c r="AN474" s="1">
        <v>2023.0</v>
      </c>
      <c r="AO474" s="1">
        <v>11.0</v>
      </c>
      <c r="AP474" s="1" t="s">
        <v>68</v>
      </c>
      <c r="AQ474" s="1" t="s">
        <v>68</v>
      </c>
      <c r="AR474" s="1" t="s">
        <v>68</v>
      </c>
      <c r="AS474" s="1" t="s">
        <v>68</v>
      </c>
      <c r="AT474" s="1" t="s">
        <v>68</v>
      </c>
      <c r="AU474" s="1" t="s">
        <v>68</v>
      </c>
      <c r="AV474" s="1" t="s">
        <v>68</v>
      </c>
      <c r="AW474" s="1">
        <v>1202188.0</v>
      </c>
      <c r="AX474" s="1" t="s">
        <v>9624</v>
      </c>
      <c r="AY474" s="3" t="str">
        <f>HYPERLINK("http://dx.doi.org/10.3389/fpubh.2023.1202188","http://dx.doi.org/10.3389/fpubh.2023.1202188")</f>
        <v>http://dx.doi.org/10.3389/fpubh.2023.1202188</v>
      </c>
      <c r="AZ474" s="1" t="s">
        <v>68</v>
      </c>
      <c r="BA474" s="1" t="s">
        <v>68</v>
      </c>
      <c r="BB474" s="1">
        <v>19.0</v>
      </c>
      <c r="BC474" s="1" t="s">
        <v>3647</v>
      </c>
      <c r="BD474" s="1" t="s">
        <v>279</v>
      </c>
      <c r="BE474" s="1" t="s">
        <v>3647</v>
      </c>
      <c r="BF474" s="1" t="s">
        <v>9625</v>
      </c>
      <c r="BG474" s="1">
        <v>3.7637808E7</v>
      </c>
      <c r="BH474" s="1" t="s">
        <v>94</v>
      </c>
      <c r="BI474" s="1" t="s">
        <v>68</v>
      </c>
      <c r="BJ474" s="1" t="s">
        <v>68</v>
      </c>
      <c r="BK474" s="1" t="s">
        <v>95</v>
      </c>
      <c r="BL474" s="1" t="s">
        <v>9626</v>
      </c>
      <c r="BM474" s="1" t="str">
        <f>HYPERLINK("https%3A%2F%2Fwww.webofscience.com%2Fwos%2Fwoscc%2Ffull-record%2FWOS:001053989300001","View Full Record in Web of Science")</f>
        <v>View Full Record in Web of Science</v>
      </c>
    </row>
    <row r="475" ht="12.75" customHeight="1">
      <c r="A475" s="1" t="s">
        <v>65</v>
      </c>
      <c r="B475" s="1" t="s">
        <v>7608</v>
      </c>
      <c r="C475" s="1" t="s">
        <v>7609</v>
      </c>
      <c r="D475" s="1" t="s">
        <v>68</v>
      </c>
      <c r="E475" s="1" t="s">
        <v>9627</v>
      </c>
      <c r="F475" s="1" t="s">
        <v>1895</v>
      </c>
      <c r="G475" s="1" t="s">
        <v>68</v>
      </c>
      <c r="H475" s="1" t="s">
        <v>71</v>
      </c>
      <c r="I475" s="1" t="s">
        <v>4330</v>
      </c>
      <c r="J475" s="1" t="s">
        <v>68</v>
      </c>
      <c r="K475" s="1" t="s">
        <v>68</v>
      </c>
      <c r="L475" s="1" t="s">
        <v>68</v>
      </c>
      <c r="M475" s="1" t="s">
        <v>68</v>
      </c>
      <c r="N475" s="1" t="s">
        <v>68</v>
      </c>
      <c r="O475" s="1" t="s">
        <v>68</v>
      </c>
      <c r="P475" s="1" t="s">
        <v>68</v>
      </c>
      <c r="Q475" s="1" t="s">
        <v>68</v>
      </c>
      <c r="R475" s="1" t="s">
        <v>68</v>
      </c>
      <c r="S475" s="1" t="s">
        <v>68</v>
      </c>
      <c r="T475" s="1" t="s">
        <v>68</v>
      </c>
      <c r="U475" s="1" t="s">
        <v>7616</v>
      </c>
      <c r="V475" s="1" t="s">
        <v>9628</v>
      </c>
      <c r="W475" s="1" t="s">
        <v>68</v>
      </c>
      <c r="X475" s="1" t="s">
        <v>68</v>
      </c>
      <c r="Y475" s="1" t="s">
        <v>68</v>
      </c>
      <c r="Z475" s="1">
        <v>1.0</v>
      </c>
      <c r="AA475" s="1">
        <v>10.0</v>
      </c>
      <c r="AB475" s="1">
        <v>11.0</v>
      </c>
      <c r="AC475" s="1">
        <v>0.0</v>
      </c>
      <c r="AD475" s="1">
        <v>27.0</v>
      </c>
      <c r="AE475" s="1" t="s">
        <v>1906</v>
      </c>
      <c r="AF475" s="1" t="s">
        <v>1907</v>
      </c>
      <c r="AG475" s="1" t="s">
        <v>1908</v>
      </c>
      <c r="AH475" s="1" t="s">
        <v>1909</v>
      </c>
      <c r="AI475" s="1" t="s">
        <v>68</v>
      </c>
      <c r="AJ475" s="1" t="s">
        <v>68</v>
      </c>
      <c r="AK475" s="1" t="s">
        <v>1895</v>
      </c>
      <c r="AL475" s="1" t="s">
        <v>1910</v>
      </c>
      <c r="AM475" s="1" t="s">
        <v>482</v>
      </c>
      <c r="AN475" s="1">
        <v>2016.0</v>
      </c>
      <c r="AO475" s="1">
        <v>11.0</v>
      </c>
      <c r="AP475" s="1">
        <v>5.0</v>
      </c>
      <c r="AQ475" s="1" t="s">
        <v>68</v>
      </c>
      <c r="AR475" s="1" t="s">
        <v>68</v>
      </c>
      <c r="AS475" s="1" t="s">
        <v>68</v>
      </c>
      <c r="AT475" s="1" t="s">
        <v>68</v>
      </c>
      <c r="AU475" s="1" t="s">
        <v>68</v>
      </c>
      <c r="AV475" s="1" t="s">
        <v>68</v>
      </c>
      <c r="AW475" s="1" t="s">
        <v>9629</v>
      </c>
      <c r="AX475" s="1" t="s">
        <v>9630</v>
      </c>
      <c r="AY475" s="3" t="str">
        <f>HYPERLINK("http://dx.doi.org/10.1371/journal.pone.0155571","http://dx.doi.org/10.1371/journal.pone.0155571")</f>
        <v>http://dx.doi.org/10.1371/journal.pone.0155571</v>
      </c>
      <c r="AZ475" s="1" t="s">
        <v>68</v>
      </c>
      <c r="BA475" s="1" t="s">
        <v>68</v>
      </c>
      <c r="BB475" s="1">
        <v>1.0</v>
      </c>
      <c r="BC475" s="1" t="s">
        <v>742</v>
      </c>
      <c r="BD475" s="1" t="s">
        <v>92</v>
      </c>
      <c r="BE475" s="1" t="s">
        <v>743</v>
      </c>
      <c r="BF475" s="1" t="s">
        <v>9631</v>
      </c>
      <c r="BG475" s="1">
        <v>2.7159165E7</v>
      </c>
      <c r="BH475" s="1" t="s">
        <v>94</v>
      </c>
      <c r="BI475" s="1" t="s">
        <v>68</v>
      </c>
      <c r="BJ475" s="1" t="s">
        <v>68</v>
      </c>
      <c r="BK475" s="1" t="s">
        <v>95</v>
      </c>
      <c r="BL475" s="1" t="s">
        <v>9632</v>
      </c>
      <c r="BM475" s="1" t="str">
        <f>HYPERLINK("https%3A%2F%2Fwww.webofscience.com%2Fwos%2Fwoscc%2Ffull-record%2FWOS:000376576700067","View Full Record in Web of Science")</f>
        <v>View Full Record in Web of Science</v>
      </c>
    </row>
    <row r="476" ht="12.75" customHeight="1">
      <c r="A476" s="1" t="s">
        <v>65</v>
      </c>
      <c r="B476" s="1" t="s">
        <v>9633</v>
      </c>
      <c r="C476" s="1" t="s">
        <v>9634</v>
      </c>
      <c r="D476" s="1" t="s">
        <v>68</v>
      </c>
      <c r="E476" s="1" t="s">
        <v>9635</v>
      </c>
      <c r="F476" s="1" t="s">
        <v>3568</v>
      </c>
      <c r="G476" s="1" t="s">
        <v>68</v>
      </c>
      <c r="H476" s="1" t="s">
        <v>71</v>
      </c>
      <c r="I476" s="1" t="s">
        <v>72</v>
      </c>
      <c r="J476" s="1" t="s">
        <v>68</v>
      </c>
      <c r="K476" s="1" t="s">
        <v>68</v>
      </c>
      <c r="L476" s="1" t="s">
        <v>68</v>
      </c>
      <c r="M476" s="1" t="s">
        <v>68</v>
      </c>
      <c r="N476" s="1" t="s">
        <v>9636</v>
      </c>
      <c r="O476" s="1" t="s">
        <v>9637</v>
      </c>
      <c r="P476" s="1" t="s">
        <v>9638</v>
      </c>
      <c r="Q476" s="1" t="s">
        <v>9639</v>
      </c>
      <c r="R476" s="1" t="s">
        <v>9640</v>
      </c>
      <c r="S476" s="1" t="s">
        <v>9641</v>
      </c>
      <c r="T476" s="1" t="s">
        <v>9642</v>
      </c>
      <c r="U476" s="1" t="s">
        <v>9643</v>
      </c>
      <c r="V476" s="1" t="s">
        <v>9644</v>
      </c>
      <c r="W476" s="1" t="s">
        <v>9645</v>
      </c>
      <c r="X476" s="1" t="s">
        <v>9646</v>
      </c>
      <c r="Y476" s="1" t="s">
        <v>9647</v>
      </c>
      <c r="Z476" s="1">
        <v>65.0</v>
      </c>
      <c r="AA476" s="1">
        <v>1.0</v>
      </c>
      <c r="AB476" s="1">
        <v>1.0</v>
      </c>
      <c r="AC476" s="1">
        <v>2.0</v>
      </c>
      <c r="AD476" s="1">
        <v>2.0</v>
      </c>
      <c r="AE476" s="1" t="s">
        <v>1596</v>
      </c>
      <c r="AF476" s="1" t="s">
        <v>1182</v>
      </c>
      <c r="AG476" s="1" t="s">
        <v>1597</v>
      </c>
      <c r="AH476" s="1" t="s">
        <v>3581</v>
      </c>
      <c r="AI476" s="1" t="s">
        <v>3582</v>
      </c>
      <c r="AJ476" s="1" t="s">
        <v>68</v>
      </c>
      <c r="AK476" s="1" t="s">
        <v>3583</v>
      </c>
      <c r="AL476" s="1" t="s">
        <v>3584</v>
      </c>
      <c r="AM476" s="1" t="s">
        <v>120</v>
      </c>
      <c r="AN476" s="1">
        <v>2025.0</v>
      </c>
      <c r="AO476" s="1">
        <v>272.0</v>
      </c>
      <c r="AP476" s="1" t="s">
        <v>68</v>
      </c>
      <c r="AQ476" s="1" t="s">
        <v>68</v>
      </c>
      <c r="AR476" s="1" t="s">
        <v>68</v>
      </c>
      <c r="AS476" s="1" t="s">
        <v>68</v>
      </c>
      <c r="AT476" s="1" t="s">
        <v>68</v>
      </c>
      <c r="AU476" s="1" t="s">
        <v>68</v>
      </c>
      <c r="AV476" s="1" t="s">
        <v>68</v>
      </c>
      <c r="AW476" s="1">
        <v>107921.0</v>
      </c>
      <c r="AX476" s="1" t="s">
        <v>9648</v>
      </c>
      <c r="AY476" s="3" t="str">
        <f>HYPERLINK("http://dx.doi.org/10.1016/j.actatropica.2025.107921","http://dx.doi.org/10.1016/j.actatropica.2025.107921")</f>
        <v>http://dx.doi.org/10.1016/j.actatropica.2025.107921</v>
      </c>
      <c r="AZ476" s="1" t="s">
        <v>68</v>
      </c>
      <c r="BA476" s="1" t="s">
        <v>4461</v>
      </c>
      <c r="BB476" s="1">
        <v>12.0</v>
      </c>
      <c r="BC476" s="1" t="s">
        <v>1289</v>
      </c>
      <c r="BD476" s="1" t="s">
        <v>92</v>
      </c>
      <c r="BE476" s="1" t="s">
        <v>1289</v>
      </c>
      <c r="BF476" s="1" t="s">
        <v>9649</v>
      </c>
      <c r="BG476" s="1">
        <v>4.1265509E7</v>
      </c>
      <c r="BH476" s="1" t="s">
        <v>867</v>
      </c>
      <c r="BI476" s="1" t="s">
        <v>68</v>
      </c>
      <c r="BJ476" s="1" t="s">
        <v>68</v>
      </c>
      <c r="BK476" s="1" t="s">
        <v>95</v>
      </c>
      <c r="BL476" s="1" t="s">
        <v>9650</v>
      </c>
      <c r="BM476" s="1" t="str">
        <f>HYPERLINK("https%3A%2F%2Fwww.webofscience.com%2Fwos%2Fwoscc%2Ffull-record%2FWOS:001629146200002","View Full Record in Web of Science")</f>
        <v>View Full Record in Web of Science</v>
      </c>
    </row>
    <row r="477" ht="12.75" customHeight="1">
      <c r="A477" s="1" t="s">
        <v>65</v>
      </c>
      <c r="B477" s="1" t="s">
        <v>9651</v>
      </c>
      <c r="C477" s="1" t="s">
        <v>9652</v>
      </c>
      <c r="D477" s="1" t="s">
        <v>68</v>
      </c>
      <c r="E477" s="1" t="s">
        <v>9653</v>
      </c>
      <c r="F477" s="1" t="s">
        <v>2956</v>
      </c>
      <c r="G477" s="1" t="s">
        <v>68</v>
      </c>
      <c r="H477" s="1" t="s">
        <v>71</v>
      </c>
      <c r="I477" s="1" t="s">
        <v>72</v>
      </c>
      <c r="J477" s="1" t="s">
        <v>68</v>
      </c>
      <c r="K477" s="1" t="s">
        <v>68</v>
      </c>
      <c r="L477" s="1" t="s">
        <v>68</v>
      </c>
      <c r="M477" s="1" t="s">
        <v>68</v>
      </c>
      <c r="N477" s="1" t="s">
        <v>9654</v>
      </c>
      <c r="O477" s="1" t="s">
        <v>9655</v>
      </c>
      <c r="P477" s="1" t="s">
        <v>9656</v>
      </c>
      <c r="Q477" s="1" t="s">
        <v>9657</v>
      </c>
      <c r="R477" s="1" t="s">
        <v>9658</v>
      </c>
      <c r="S477" s="1" t="s">
        <v>9659</v>
      </c>
      <c r="T477" s="1" t="s">
        <v>9660</v>
      </c>
      <c r="U477" s="1" t="s">
        <v>9661</v>
      </c>
      <c r="V477" s="1" t="s">
        <v>9662</v>
      </c>
      <c r="W477" s="1" t="s">
        <v>9663</v>
      </c>
      <c r="X477" s="1" t="s">
        <v>9664</v>
      </c>
      <c r="Y477" s="1" t="s">
        <v>9665</v>
      </c>
      <c r="Z477" s="1">
        <v>55.0</v>
      </c>
      <c r="AA477" s="1">
        <v>0.0</v>
      </c>
      <c r="AB477" s="1">
        <v>0.0</v>
      </c>
      <c r="AC477" s="1">
        <v>5.0</v>
      </c>
      <c r="AD477" s="1">
        <v>6.0</v>
      </c>
      <c r="AE477" s="1" t="s">
        <v>247</v>
      </c>
      <c r="AF477" s="1" t="s">
        <v>248</v>
      </c>
      <c r="AG477" s="1" t="s">
        <v>249</v>
      </c>
      <c r="AH477" s="1" t="s">
        <v>68</v>
      </c>
      <c r="AI477" s="1" t="s">
        <v>2969</v>
      </c>
      <c r="AJ477" s="1" t="s">
        <v>68</v>
      </c>
      <c r="AK477" s="1" t="s">
        <v>2970</v>
      </c>
      <c r="AL477" s="1" t="s">
        <v>2971</v>
      </c>
      <c r="AM477" s="1" t="s">
        <v>9666</v>
      </c>
      <c r="AN477" s="1">
        <v>2025.0</v>
      </c>
      <c r="AO477" s="1">
        <v>17.0</v>
      </c>
      <c r="AP477" s="1">
        <v>9.0</v>
      </c>
      <c r="AQ477" s="1" t="s">
        <v>68</v>
      </c>
      <c r="AR477" s="1" t="s">
        <v>68</v>
      </c>
      <c r="AS477" s="1" t="s">
        <v>68</v>
      </c>
      <c r="AT477" s="1" t="s">
        <v>68</v>
      </c>
      <c r="AU477" s="1" t="s">
        <v>68</v>
      </c>
      <c r="AV477" s="1" t="s">
        <v>68</v>
      </c>
      <c r="AW477" s="1">
        <v>1386.0</v>
      </c>
      <c r="AX477" s="1" t="s">
        <v>9667</v>
      </c>
      <c r="AY477" s="3" t="str">
        <f>HYPERLINK("http://dx.doi.org/10.3390/w17091386","http://dx.doi.org/10.3390/w17091386")</f>
        <v>http://dx.doi.org/10.3390/w17091386</v>
      </c>
      <c r="AZ477" s="1" t="s">
        <v>68</v>
      </c>
      <c r="BA477" s="1" t="s">
        <v>68</v>
      </c>
      <c r="BB477" s="1">
        <v>16.0</v>
      </c>
      <c r="BC477" s="1" t="s">
        <v>2973</v>
      </c>
      <c r="BD477" s="1" t="s">
        <v>92</v>
      </c>
      <c r="BE477" s="1" t="s">
        <v>2974</v>
      </c>
      <c r="BF477" s="1" t="s">
        <v>9668</v>
      </c>
      <c r="BG477" s="1" t="s">
        <v>68</v>
      </c>
      <c r="BH477" s="1" t="s">
        <v>462</v>
      </c>
      <c r="BI477" s="1" t="s">
        <v>68</v>
      </c>
      <c r="BJ477" s="1" t="s">
        <v>68</v>
      </c>
      <c r="BK477" s="1" t="s">
        <v>95</v>
      </c>
      <c r="BL477" s="1" t="s">
        <v>9669</v>
      </c>
      <c r="BM477" s="1" t="str">
        <f>HYPERLINK("https%3A%2F%2Fwww.webofscience.com%2Fwos%2Fwoscc%2Ffull-record%2FWOS:001486003100001","View Full Record in Web of Science")</f>
        <v>View Full Record in Web of Science</v>
      </c>
    </row>
    <row r="478" ht="12.75" customHeight="1">
      <c r="A478" s="1" t="s">
        <v>65</v>
      </c>
      <c r="B478" s="1" t="s">
        <v>9670</v>
      </c>
      <c r="C478" s="1" t="s">
        <v>9671</v>
      </c>
      <c r="D478" s="1" t="s">
        <v>68</v>
      </c>
      <c r="E478" s="1" t="s">
        <v>9672</v>
      </c>
      <c r="F478" s="1" t="s">
        <v>9673</v>
      </c>
      <c r="G478" s="1" t="s">
        <v>68</v>
      </c>
      <c r="H478" s="1" t="s">
        <v>71</v>
      </c>
      <c r="I478" s="1" t="s">
        <v>72</v>
      </c>
      <c r="J478" s="1" t="s">
        <v>68</v>
      </c>
      <c r="K478" s="1" t="s">
        <v>68</v>
      </c>
      <c r="L478" s="1" t="s">
        <v>68</v>
      </c>
      <c r="M478" s="1" t="s">
        <v>68</v>
      </c>
      <c r="N478" s="1" t="s">
        <v>9674</v>
      </c>
      <c r="O478" s="1" t="s">
        <v>9675</v>
      </c>
      <c r="P478" s="1" t="s">
        <v>9676</v>
      </c>
      <c r="Q478" s="1" t="s">
        <v>9677</v>
      </c>
      <c r="R478" s="1" t="s">
        <v>68</v>
      </c>
      <c r="S478" s="1" t="s">
        <v>9678</v>
      </c>
      <c r="T478" s="1" t="s">
        <v>9679</v>
      </c>
      <c r="U478" s="1" t="s">
        <v>68</v>
      </c>
      <c r="V478" s="1" t="s">
        <v>68</v>
      </c>
      <c r="W478" s="1" t="s">
        <v>9680</v>
      </c>
      <c r="X478" s="1" t="s">
        <v>9681</v>
      </c>
      <c r="Y478" s="1" t="s">
        <v>9682</v>
      </c>
      <c r="Z478" s="1">
        <v>22.0</v>
      </c>
      <c r="AA478" s="1">
        <v>3.0</v>
      </c>
      <c r="AB478" s="1">
        <v>4.0</v>
      </c>
      <c r="AC478" s="1">
        <v>0.0</v>
      </c>
      <c r="AD478" s="1">
        <v>4.0</v>
      </c>
      <c r="AE478" s="1" t="s">
        <v>1782</v>
      </c>
      <c r="AF478" s="1" t="s">
        <v>1783</v>
      </c>
      <c r="AG478" s="1" t="s">
        <v>1784</v>
      </c>
      <c r="AH478" s="1" t="s">
        <v>9683</v>
      </c>
      <c r="AI478" s="1" t="s">
        <v>9684</v>
      </c>
      <c r="AJ478" s="1" t="s">
        <v>68</v>
      </c>
      <c r="AK478" s="1" t="s">
        <v>9685</v>
      </c>
      <c r="AL478" s="1" t="s">
        <v>9686</v>
      </c>
      <c r="AM478" s="1" t="s">
        <v>1789</v>
      </c>
      <c r="AN478" s="1">
        <v>2023.0</v>
      </c>
      <c r="AO478" s="1">
        <v>164.0</v>
      </c>
      <c r="AP478" s="1">
        <v>1.0</v>
      </c>
      <c r="AQ478" s="1" t="s">
        <v>68</v>
      </c>
      <c r="AR478" s="1" t="s">
        <v>68</v>
      </c>
      <c r="AS478" s="1" t="s">
        <v>68</v>
      </c>
      <c r="AT478" s="1" t="s">
        <v>68</v>
      </c>
      <c r="AU478" s="1">
        <v>245.0</v>
      </c>
      <c r="AV478" s="1">
        <v>251.0</v>
      </c>
      <c r="AW478" s="1" t="s">
        <v>68</v>
      </c>
      <c r="AX478" s="1" t="s">
        <v>9687</v>
      </c>
      <c r="AY478" s="3" t="str">
        <f>HYPERLINK("http://dx.doi.org/10.1007/s10336-022-02019-7","http://dx.doi.org/10.1007/s10336-022-02019-7")</f>
        <v>http://dx.doi.org/10.1007/s10336-022-02019-7</v>
      </c>
      <c r="AZ478" s="1" t="s">
        <v>68</v>
      </c>
      <c r="BA478" s="1" t="s">
        <v>6300</v>
      </c>
      <c r="BB478" s="1">
        <v>7.0</v>
      </c>
      <c r="BC478" s="1" t="s">
        <v>3021</v>
      </c>
      <c r="BD478" s="1" t="s">
        <v>92</v>
      </c>
      <c r="BE478" s="1" t="s">
        <v>933</v>
      </c>
      <c r="BF478" s="1" t="s">
        <v>9688</v>
      </c>
      <c r="BG478" s="1" t="s">
        <v>68</v>
      </c>
      <c r="BH478" s="1" t="s">
        <v>68</v>
      </c>
      <c r="BI478" s="1" t="s">
        <v>68</v>
      </c>
      <c r="BJ478" s="1" t="s">
        <v>68</v>
      </c>
      <c r="BK478" s="1" t="s">
        <v>95</v>
      </c>
      <c r="BL478" s="1" t="s">
        <v>9689</v>
      </c>
      <c r="BM478" s="1" t="str">
        <f>HYPERLINK("https%3A%2F%2Fwww.webofscience.com%2Fwos%2Fwoscc%2Ffull-record%2FWOS:000875797100001","View Full Record in Web of Science")</f>
        <v>View Full Record in Web of Science</v>
      </c>
    </row>
    <row r="479" ht="12.75" customHeight="1">
      <c r="A479" s="1" t="s">
        <v>65</v>
      </c>
      <c r="B479" s="1" t="s">
        <v>9690</v>
      </c>
      <c r="C479" s="1" t="s">
        <v>9691</v>
      </c>
      <c r="D479" s="1" t="s">
        <v>68</v>
      </c>
      <c r="E479" s="1" t="s">
        <v>9692</v>
      </c>
      <c r="F479" s="1" t="s">
        <v>9693</v>
      </c>
      <c r="G479" s="1" t="s">
        <v>68</v>
      </c>
      <c r="H479" s="1" t="s">
        <v>71</v>
      </c>
      <c r="I479" s="1" t="s">
        <v>72</v>
      </c>
      <c r="J479" s="1" t="s">
        <v>68</v>
      </c>
      <c r="K479" s="1" t="s">
        <v>68</v>
      </c>
      <c r="L479" s="1" t="s">
        <v>68</v>
      </c>
      <c r="M479" s="1" t="s">
        <v>68</v>
      </c>
      <c r="N479" s="1" t="s">
        <v>9694</v>
      </c>
      <c r="O479" s="1" t="s">
        <v>9695</v>
      </c>
      <c r="P479" s="1" t="s">
        <v>9696</v>
      </c>
      <c r="Q479" s="1" t="s">
        <v>9697</v>
      </c>
      <c r="R479" s="1" t="s">
        <v>5654</v>
      </c>
      <c r="S479" s="1" t="s">
        <v>9698</v>
      </c>
      <c r="T479" s="1" t="s">
        <v>9699</v>
      </c>
      <c r="U479" s="1" t="s">
        <v>68</v>
      </c>
      <c r="V479" s="1" t="s">
        <v>5657</v>
      </c>
      <c r="W479" s="1" t="s">
        <v>9700</v>
      </c>
      <c r="X479" s="1" t="s">
        <v>9701</v>
      </c>
      <c r="Y479" s="1" t="s">
        <v>9702</v>
      </c>
      <c r="Z479" s="1">
        <v>26.0</v>
      </c>
      <c r="AA479" s="1">
        <v>10.0</v>
      </c>
      <c r="AB479" s="1">
        <v>12.0</v>
      </c>
      <c r="AC479" s="1">
        <v>0.0</v>
      </c>
      <c r="AD479" s="1">
        <v>10.0</v>
      </c>
      <c r="AE479" s="1" t="s">
        <v>811</v>
      </c>
      <c r="AF479" s="1" t="s">
        <v>1666</v>
      </c>
      <c r="AG479" s="1" t="s">
        <v>1667</v>
      </c>
      <c r="AH479" s="1" t="s">
        <v>9703</v>
      </c>
      <c r="AI479" s="1" t="s">
        <v>68</v>
      </c>
      <c r="AJ479" s="1" t="s">
        <v>68</v>
      </c>
      <c r="AK479" s="1" t="s">
        <v>9704</v>
      </c>
      <c r="AL479" s="1" t="s">
        <v>9705</v>
      </c>
      <c r="AM479" s="1" t="s">
        <v>2194</v>
      </c>
      <c r="AN479" s="1">
        <v>2022.0</v>
      </c>
      <c r="AO479" s="1">
        <v>48.0</v>
      </c>
      <c r="AP479" s="1">
        <v>2.0</v>
      </c>
      <c r="AQ479" s="1" t="s">
        <v>68</v>
      </c>
      <c r="AR479" s="1" t="s">
        <v>68</v>
      </c>
      <c r="AS479" s="1" t="s">
        <v>68</v>
      </c>
      <c r="AT479" s="1" t="s">
        <v>68</v>
      </c>
      <c r="AU479" s="1">
        <v>606.0</v>
      </c>
      <c r="AV479" s="1">
        <v>613.0</v>
      </c>
      <c r="AW479" s="1" t="s">
        <v>68</v>
      </c>
      <c r="AX479" s="1" t="s">
        <v>9706</v>
      </c>
      <c r="AY479" s="3" t="str">
        <f>HYPERLINK("http://dx.doi.org/10.1016/j.jglr.2022.01.011","http://dx.doi.org/10.1016/j.jglr.2022.01.011")</f>
        <v>http://dx.doi.org/10.1016/j.jglr.2022.01.011</v>
      </c>
      <c r="AZ479" s="1" t="s">
        <v>68</v>
      </c>
      <c r="BA479" s="1" t="s">
        <v>3191</v>
      </c>
      <c r="BB479" s="1">
        <v>8.0</v>
      </c>
      <c r="BC479" s="1" t="s">
        <v>9707</v>
      </c>
      <c r="BD479" s="1" t="s">
        <v>92</v>
      </c>
      <c r="BE479" s="1" t="s">
        <v>2350</v>
      </c>
      <c r="BF479" s="1" t="s">
        <v>9708</v>
      </c>
      <c r="BG479" s="1" t="s">
        <v>68</v>
      </c>
      <c r="BH479" s="1" t="s">
        <v>68</v>
      </c>
      <c r="BI479" s="1" t="s">
        <v>68</v>
      </c>
      <c r="BJ479" s="1" t="s">
        <v>68</v>
      </c>
      <c r="BK479" s="1" t="s">
        <v>95</v>
      </c>
      <c r="BL479" s="1" t="s">
        <v>9709</v>
      </c>
      <c r="BM479" s="1" t="str">
        <f>HYPERLINK("https%3A%2F%2Fwww.webofscience.com%2Fwos%2Fwoscc%2Ffull-record%2FWOS:000820457800007","View Full Record in Web of Science")</f>
        <v>View Full Record in Web of Science</v>
      </c>
    </row>
    <row r="480" ht="12.75" customHeight="1">
      <c r="A480" s="1" t="s">
        <v>65</v>
      </c>
      <c r="B480" s="1" t="s">
        <v>9710</v>
      </c>
      <c r="C480" s="1" t="s">
        <v>9711</v>
      </c>
      <c r="D480" s="1" t="s">
        <v>68</v>
      </c>
      <c r="E480" s="1" t="s">
        <v>9712</v>
      </c>
      <c r="F480" s="1" t="s">
        <v>706</v>
      </c>
      <c r="G480" s="1" t="s">
        <v>68</v>
      </c>
      <c r="H480" s="1" t="s">
        <v>71</v>
      </c>
      <c r="I480" s="1" t="s">
        <v>919</v>
      </c>
      <c r="J480" s="1" t="s">
        <v>9713</v>
      </c>
      <c r="K480" s="1" t="s">
        <v>9714</v>
      </c>
      <c r="L480" s="1" t="s">
        <v>9715</v>
      </c>
      <c r="M480" s="1" t="s">
        <v>9716</v>
      </c>
      <c r="N480" s="1" t="s">
        <v>9717</v>
      </c>
      <c r="O480" s="1" t="s">
        <v>68</v>
      </c>
      <c r="P480" s="1" t="s">
        <v>9718</v>
      </c>
      <c r="Q480" s="1" t="s">
        <v>9719</v>
      </c>
      <c r="R480" s="1" t="s">
        <v>9720</v>
      </c>
      <c r="S480" s="1" t="s">
        <v>9721</v>
      </c>
      <c r="T480" s="1" t="s">
        <v>9722</v>
      </c>
      <c r="U480" s="1" t="s">
        <v>68</v>
      </c>
      <c r="V480" s="1" t="s">
        <v>68</v>
      </c>
      <c r="W480" s="1" t="s">
        <v>68</v>
      </c>
      <c r="X480" s="1" t="s">
        <v>68</v>
      </c>
      <c r="Y480" s="1" t="s">
        <v>68</v>
      </c>
      <c r="Z480" s="1">
        <v>12.0</v>
      </c>
      <c r="AA480" s="1">
        <v>15.0</v>
      </c>
      <c r="AB480" s="1">
        <v>17.0</v>
      </c>
      <c r="AC480" s="1">
        <v>1.0</v>
      </c>
      <c r="AD480" s="1">
        <v>19.0</v>
      </c>
      <c r="AE480" s="1" t="s">
        <v>715</v>
      </c>
      <c r="AF480" s="1" t="s">
        <v>716</v>
      </c>
      <c r="AG480" s="1" t="s">
        <v>717</v>
      </c>
      <c r="AH480" s="1" t="s">
        <v>718</v>
      </c>
      <c r="AI480" s="1" t="s">
        <v>719</v>
      </c>
      <c r="AJ480" s="1" t="s">
        <v>68</v>
      </c>
      <c r="AK480" s="1" t="s">
        <v>720</v>
      </c>
      <c r="AL480" s="1" t="s">
        <v>721</v>
      </c>
      <c r="AM480" s="1" t="s">
        <v>457</v>
      </c>
      <c r="AN480" s="1">
        <v>2018.0</v>
      </c>
      <c r="AO480" s="1" t="s">
        <v>68</v>
      </c>
      <c r="AP480" s="1" t="s">
        <v>68</v>
      </c>
      <c r="AQ480" s="1" t="s">
        <v>68</v>
      </c>
      <c r="AR480" s="1" t="s">
        <v>68</v>
      </c>
      <c r="AS480" s="1">
        <v>85.0</v>
      </c>
      <c r="AT480" s="1" t="s">
        <v>68</v>
      </c>
      <c r="AU480" s="1">
        <v>316.0</v>
      </c>
      <c r="AV480" s="1">
        <v>320.0</v>
      </c>
      <c r="AW480" s="1" t="s">
        <v>68</v>
      </c>
      <c r="AX480" s="1" t="s">
        <v>9723</v>
      </c>
      <c r="AY480" s="3" t="str">
        <f>HYPERLINK("http://dx.doi.org/10.2112/SI85-064.1","http://dx.doi.org/10.2112/SI85-064.1")</f>
        <v>http://dx.doi.org/10.2112/SI85-064.1</v>
      </c>
      <c r="AZ480" s="1" t="s">
        <v>68</v>
      </c>
      <c r="BA480" s="1" t="s">
        <v>68</v>
      </c>
      <c r="BB480" s="1">
        <v>5.0</v>
      </c>
      <c r="BC480" s="1" t="s">
        <v>723</v>
      </c>
      <c r="BD480" s="1" t="s">
        <v>934</v>
      </c>
      <c r="BE480" s="1" t="s">
        <v>724</v>
      </c>
      <c r="BF480" s="1" t="s">
        <v>9724</v>
      </c>
      <c r="BG480" s="1" t="s">
        <v>68</v>
      </c>
      <c r="BH480" s="1" t="s">
        <v>68</v>
      </c>
      <c r="BI480" s="1" t="s">
        <v>68</v>
      </c>
      <c r="BJ480" s="1" t="s">
        <v>68</v>
      </c>
      <c r="BK480" s="1" t="s">
        <v>95</v>
      </c>
      <c r="BL480" s="1" t="s">
        <v>9725</v>
      </c>
      <c r="BM480" s="1" t="str">
        <f>HYPERLINK("https%3A%2F%2Fwww.webofscience.com%2Fwos%2Fwoscc%2Ffull-record%2FWOS:000441173100064","View Full Record in Web of Science")</f>
        <v>View Full Record in Web of Science</v>
      </c>
    </row>
    <row r="481" ht="12.75" customHeight="1">
      <c r="A481" s="1" t="s">
        <v>65</v>
      </c>
      <c r="B481" s="1" t="s">
        <v>9726</v>
      </c>
      <c r="C481" s="1" t="s">
        <v>9727</v>
      </c>
      <c r="D481" s="1" t="s">
        <v>68</v>
      </c>
      <c r="E481" s="1" t="s">
        <v>9728</v>
      </c>
      <c r="F481" s="1" t="s">
        <v>1586</v>
      </c>
      <c r="G481" s="1" t="s">
        <v>68</v>
      </c>
      <c r="H481" s="1" t="s">
        <v>71</v>
      </c>
      <c r="I481" s="1" t="s">
        <v>72</v>
      </c>
      <c r="J481" s="1" t="s">
        <v>68</v>
      </c>
      <c r="K481" s="1" t="s">
        <v>68</v>
      </c>
      <c r="L481" s="1" t="s">
        <v>68</v>
      </c>
      <c r="M481" s="1" t="s">
        <v>68</v>
      </c>
      <c r="N481" s="1" t="s">
        <v>9729</v>
      </c>
      <c r="O481" s="1" t="s">
        <v>9730</v>
      </c>
      <c r="P481" s="1" t="s">
        <v>9731</v>
      </c>
      <c r="Q481" s="1" t="s">
        <v>9732</v>
      </c>
      <c r="R481" s="1" t="s">
        <v>9733</v>
      </c>
      <c r="S481" s="1" t="s">
        <v>9734</v>
      </c>
      <c r="T481" s="1" t="s">
        <v>9735</v>
      </c>
      <c r="U481" s="1" t="s">
        <v>9736</v>
      </c>
      <c r="V481" s="1" t="s">
        <v>9737</v>
      </c>
      <c r="W481" s="1" t="s">
        <v>9738</v>
      </c>
      <c r="X481" s="1" t="s">
        <v>9739</v>
      </c>
      <c r="Y481" s="1" t="s">
        <v>9740</v>
      </c>
      <c r="Z481" s="1">
        <v>40.0</v>
      </c>
      <c r="AA481" s="1">
        <v>40.0</v>
      </c>
      <c r="AB481" s="1">
        <v>52.0</v>
      </c>
      <c r="AC481" s="1">
        <v>1.0</v>
      </c>
      <c r="AD481" s="1">
        <v>63.0</v>
      </c>
      <c r="AE481" s="1" t="s">
        <v>1181</v>
      </c>
      <c r="AF481" s="1" t="s">
        <v>1182</v>
      </c>
      <c r="AG481" s="1" t="s">
        <v>1183</v>
      </c>
      <c r="AH481" s="1" t="s">
        <v>1598</v>
      </c>
      <c r="AI481" s="1" t="s">
        <v>1599</v>
      </c>
      <c r="AJ481" s="1" t="s">
        <v>68</v>
      </c>
      <c r="AK481" s="1" t="s">
        <v>1600</v>
      </c>
      <c r="AL481" s="1" t="s">
        <v>1601</v>
      </c>
      <c r="AM481" s="1" t="s">
        <v>4027</v>
      </c>
      <c r="AN481" s="1">
        <v>2017.0</v>
      </c>
      <c r="AO481" s="1">
        <v>580.0</v>
      </c>
      <c r="AP481" s="1" t="s">
        <v>68</v>
      </c>
      <c r="AQ481" s="1" t="s">
        <v>68</v>
      </c>
      <c r="AR481" s="1" t="s">
        <v>68</v>
      </c>
      <c r="AS481" s="1" t="s">
        <v>68</v>
      </c>
      <c r="AT481" s="1" t="s">
        <v>68</v>
      </c>
      <c r="AU481" s="1">
        <v>168.0</v>
      </c>
      <c r="AV481" s="1">
        <v>177.0</v>
      </c>
      <c r="AW481" s="1" t="s">
        <v>68</v>
      </c>
      <c r="AX481" s="1" t="s">
        <v>9741</v>
      </c>
      <c r="AY481" s="3" t="str">
        <f>HYPERLINK("http://dx.doi.org/10.1016/j.scitotenv.2016.11.116","http://dx.doi.org/10.1016/j.scitotenv.2016.11.116")</f>
        <v>http://dx.doi.org/10.1016/j.scitotenv.2016.11.116</v>
      </c>
      <c r="AZ481" s="1" t="s">
        <v>68</v>
      </c>
      <c r="BA481" s="1" t="s">
        <v>68</v>
      </c>
      <c r="BB481" s="1">
        <v>10.0</v>
      </c>
      <c r="BC481" s="1" t="s">
        <v>484</v>
      </c>
      <c r="BD481" s="1" t="s">
        <v>279</v>
      </c>
      <c r="BE481" s="1" t="s">
        <v>333</v>
      </c>
      <c r="BF481" s="1" t="s">
        <v>9742</v>
      </c>
      <c r="BG481" s="1">
        <v>2.8024746E7</v>
      </c>
      <c r="BH481" s="1" t="s">
        <v>68</v>
      </c>
      <c r="BI481" s="1" t="s">
        <v>68</v>
      </c>
      <c r="BJ481" s="1" t="s">
        <v>68</v>
      </c>
      <c r="BK481" s="1" t="s">
        <v>95</v>
      </c>
      <c r="BL481" s="1" t="s">
        <v>9743</v>
      </c>
      <c r="BM481" s="1" t="str">
        <f>HYPERLINK("https%3A%2F%2Fwww.webofscience.com%2Fwos%2Fwoscc%2Ffull-record%2FWOS:000395353600018","View Full Record in Web of Science")</f>
        <v>View Full Record in Web of Science</v>
      </c>
    </row>
    <row r="482" ht="12.75" customHeight="1">
      <c r="A482" s="1" t="s">
        <v>65</v>
      </c>
      <c r="B482" s="1" t="s">
        <v>9744</v>
      </c>
      <c r="C482" s="1" t="s">
        <v>9745</v>
      </c>
      <c r="D482" s="1" t="s">
        <v>68</v>
      </c>
      <c r="E482" s="1" t="s">
        <v>9746</v>
      </c>
      <c r="F482" s="1" t="s">
        <v>3294</v>
      </c>
      <c r="G482" s="1" t="s">
        <v>68</v>
      </c>
      <c r="H482" s="1" t="s">
        <v>71</v>
      </c>
      <c r="I482" s="1" t="s">
        <v>72</v>
      </c>
      <c r="J482" s="1" t="s">
        <v>68</v>
      </c>
      <c r="K482" s="1" t="s">
        <v>68</v>
      </c>
      <c r="L482" s="1" t="s">
        <v>68</v>
      </c>
      <c r="M482" s="1" t="s">
        <v>68</v>
      </c>
      <c r="N482" s="1" t="s">
        <v>9747</v>
      </c>
      <c r="O482" s="1" t="s">
        <v>9748</v>
      </c>
      <c r="P482" s="1" t="s">
        <v>9749</v>
      </c>
      <c r="Q482" s="1" t="s">
        <v>9750</v>
      </c>
      <c r="R482" s="1" t="s">
        <v>9751</v>
      </c>
      <c r="S482" s="1" t="s">
        <v>9752</v>
      </c>
      <c r="T482" s="1" t="s">
        <v>9753</v>
      </c>
      <c r="U482" s="1" t="s">
        <v>9754</v>
      </c>
      <c r="V482" s="1" t="s">
        <v>9755</v>
      </c>
      <c r="W482" s="1" t="s">
        <v>9756</v>
      </c>
      <c r="X482" s="1" t="s">
        <v>9757</v>
      </c>
      <c r="Y482" s="1" t="s">
        <v>68</v>
      </c>
      <c r="Z482" s="1">
        <v>62.0</v>
      </c>
      <c r="AA482" s="1">
        <v>9.0</v>
      </c>
      <c r="AB482" s="1">
        <v>12.0</v>
      </c>
      <c r="AC482" s="1">
        <v>0.0</v>
      </c>
      <c r="AD482" s="1">
        <v>6.0</v>
      </c>
      <c r="AE482" s="1" t="s">
        <v>247</v>
      </c>
      <c r="AF482" s="1" t="s">
        <v>248</v>
      </c>
      <c r="AG482" s="1" t="s">
        <v>249</v>
      </c>
      <c r="AH482" s="1" t="s">
        <v>68</v>
      </c>
      <c r="AI482" s="1" t="s">
        <v>3307</v>
      </c>
      <c r="AJ482" s="1" t="s">
        <v>68</v>
      </c>
      <c r="AK482" s="1" t="s">
        <v>3294</v>
      </c>
      <c r="AL482" s="1" t="s">
        <v>3308</v>
      </c>
      <c r="AM482" s="1" t="s">
        <v>224</v>
      </c>
      <c r="AN482" s="1">
        <v>2023.0</v>
      </c>
      <c r="AO482" s="1">
        <v>14.0</v>
      </c>
      <c r="AP482" s="1">
        <v>2.0</v>
      </c>
      <c r="AQ482" s="1" t="s">
        <v>68</v>
      </c>
      <c r="AR482" s="1" t="s">
        <v>68</v>
      </c>
      <c r="AS482" s="1" t="s">
        <v>68</v>
      </c>
      <c r="AT482" s="1" t="s">
        <v>68</v>
      </c>
      <c r="AU482" s="1" t="s">
        <v>68</v>
      </c>
      <c r="AV482" s="1" t="s">
        <v>68</v>
      </c>
      <c r="AW482" s="1">
        <v>117.0</v>
      </c>
      <c r="AX482" s="1" t="s">
        <v>9758</v>
      </c>
      <c r="AY482" s="3" t="str">
        <f>HYPERLINK("http://dx.doi.org/10.3390/insects14020117","http://dx.doi.org/10.3390/insects14020117")</f>
        <v>http://dx.doi.org/10.3390/insects14020117</v>
      </c>
      <c r="AZ482" s="1" t="s">
        <v>68</v>
      </c>
      <c r="BA482" s="1" t="s">
        <v>68</v>
      </c>
      <c r="BB482" s="1">
        <v>17.0</v>
      </c>
      <c r="BC482" s="1" t="s">
        <v>309</v>
      </c>
      <c r="BD482" s="1" t="s">
        <v>92</v>
      </c>
      <c r="BE482" s="1" t="s">
        <v>309</v>
      </c>
      <c r="BF482" s="1" t="s">
        <v>9759</v>
      </c>
      <c r="BG482" s="1">
        <v>3.6835686E7</v>
      </c>
      <c r="BH482" s="1" t="s">
        <v>94</v>
      </c>
      <c r="BI482" s="1" t="s">
        <v>68</v>
      </c>
      <c r="BJ482" s="1" t="s">
        <v>68</v>
      </c>
      <c r="BK482" s="1" t="s">
        <v>95</v>
      </c>
      <c r="BL482" s="1" t="s">
        <v>9760</v>
      </c>
      <c r="BM482" s="1" t="str">
        <f>HYPERLINK("https%3A%2F%2Fwww.webofscience.com%2Fwos%2Fwoscc%2Ffull-record%2FWOS:000939166900001","View Full Record in Web of Science")</f>
        <v>View Full Record in Web of Science</v>
      </c>
    </row>
    <row r="483" ht="12.75" customHeight="1">
      <c r="A483" s="1" t="s">
        <v>65</v>
      </c>
      <c r="B483" s="1" t="s">
        <v>9761</v>
      </c>
      <c r="C483" s="1" t="s">
        <v>9762</v>
      </c>
      <c r="D483" s="1" t="s">
        <v>68</v>
      </c>
      <c r="E483" s="1" t="s">
        <v>9763</v>
      </c>
      <c r="F483" s="1" t="s">
        <v>9764</v>
      </c>
      <c r="G483" s="1" t="s">
        <v>68</v>
      </c>
      <c r="H483" s="1" t="s">
        <v>71</v>
      </c>
      <c r="I483" s="1" t="s">
        <v>72</v>
      </c>
      <c r="J483" s="1" t="s">
        <v>68</v>
      </c>
      <c r="K483" s="1" t="s">
        <v>68</v>
      </c>
      <c r="L483" s="1" t="s">
        <v>68</v>
      </c>
      <c r="M483" s="1" t="s">
        <v>68</v>
      </c>
      <c r="N483" s="1" t="s">
        <v>68</v>
      </c>
      <c r="O483" s="1" t="s">
        <v>9765</v>
      </c>
      <c r="P483" s="1" t="s">
        <v>9766</v>
      </c>
      <c r="Q483" s="1" t="s">
        <v>9767</v>
      </c>
      <c r="R483" s="1" t="s">
        <v>9768</v>
      </c>
      <c r="S483" s="1" t="s">
        <v>9769</v>
      </c>
      <c r="T483" s="1" t="s">
        <v>9770</v>
      </c>
      <c r="U483" s="1" t="s">
        <v>9771</v>
      </c>
      <c r="V483" s="1" t="s">
        <v>9772</v>
      </c>
      <c r="W483" s="1" t="s">
        <v>9773</v>
      </c>
      <c r="X483" s="1" t="s">
        <v>9774</v>
      </c>
      <c r="Y483" s="1" t="s">
        <v>9775</v>
      </c>
      <c r="Z483" s="1">
        <v>59.0</v>
      </c>
      <c r="AA483" s="1">
        <v>15.0</v>
      </c>
      <c r="AB483" s="1">
        <v>19.0</v>
      </c>
      <c r="AC483" s="1">
        <v>0.0</v>
      </c>
      <c r="AD483" s="1">
        <v>5.0</v>
      </c>
      <c r="AE483" s="1" t="s">
        <v>3445</v>
      </c>
      <c r="AF483" s="1" t="s">
        <v>3446</v>
      </c>
      <c r="AG483" s="1" t="s">
        <v>3447</v>
      </c>
      <c r="AH483" s="1" t="s">
        <v>9776</v>
      </c>
      <c r="AI483" s="1" t="s">
        <v>9777</v>
      </c>
      <c r="AJ483" s="1" t="s">
        <v>68</v>
      </c>
      <c r="AK483" s="1" t="s">
        <v>9778</v>
      </c>
      <c r="AL483" s="1" t="s">
        <v>9779</v>
      </c>
      <c r="AM483" s="1" t="s">
        <v>9780</v>
      </c>
      <c r="AN483" s="1">
        <v>2019.0</v>
      </c>
      <c r="AO483" s="1">
        <v>12.0</v>
      </c>
      <c r="AP483" s="1">
        <v>12.0</v>
      </c>
      <c r="AQ483" s="1" t="s">
        <v>68</v>
      </c>
      <c r="AR483" s="1" t="s">
        <v>68</v>
      </c>
      <c r="AS483" s="1" t="s">
        <v>68</v>
      </c>
      <c r="AT483" s="1" t="s">
        <v>68</v>
      </c>
      <c r="AU483" s="1">
        <v>6385.0</v>
      </c>
      <c r="AV483" s="1">
        <v>6399.0</v>
      </c>
      <c r="AW483" s="1" t="s">
        <v>68</v>
      </c>
      <c r="AX483" s="1" t="s">
        <v>9781</v>
      </c>
      <c r="AY483" s="3" t="str">
        <f>HYPERLINK("http://dx.doi.org/10.5194/amt-12-6385-2019","http://dx.doi.org/10.5194/amt-12-6385-2019")</f>
        <v>http://dx.doi.org/10.5194/amt-12-6385-2019</v>
      </c>
      <c r="AZ483" s="1" t="s">
        <v>68</v>
      </c>
      <c r="BA483" s="1" t="s">
        <v>68</v>
      </c>
      <c r="BB483" s="1">
        <v>15.0</v>
      </c>
      <c r="BC483" s="1" t="s">
        <v>1327</v>
      </c>
      <c r="BD483" s="1" t="s">
        <v>92</v>
      </c>
      <c r="BE483" s="1" t="s">
        <v>1327</v>
      </c>
      <c r="BF483" s="1" t="s">
        <v>9782</v>
      </c>
      <c r="BG483" s="1" t="s">
        <v>68</v>
      </c>
      <c r="BH483" s="1" t="s">
        <v>94</v>
      </c>
      <c r="BI483" s="1" t="s">
        <v>68</v>
      </c>
      <c r="BJ483" s="1" t="s">
        <v>68</v>
      </c>
      <c r="BK483" s="1" t="s">
        <v>95</v>
      </c>
      <c r="BL483" s="1" t="s">
        <v>9783</v>
      </c>
      <c r="BM483" s="1" t="str">
        <f>HYPERLINK("https%3A%2F%2Fwww.webofscience.com%2Fwos%2Fwoscc%2Ffull-record%2FWOS:000500962700002","View Full Record in Web of Science")</f>
        <v>View Full Record in Web of Science</v>
      </c>
    </row>
    <row r="484" ht="12.75" customHeight="1">
      <c r="A484" s="1" t="s">
        <v>65</v>
      </c>
      <c r="B484" s="1" t="s">
        <v>9784</v>
      </c>
      <c r="C484" s="1" t="s">
        <v>9785</v>
      </c>
      <c r="D484" s="1" t="s">
        <v>68</v>
      </c>
      <c r="E484" s="1" t="s">
        <v>9786</v>
      </c>
      <c r="F484" s="1" t="s">
        <v>8840</v>
      </c>
      <c r="G484" s="1" t="s">
        <v>68</v>
      </c>
      <c r="H484" s="1" t="s">
        <v>71</v>
      </c>
      <c r="I484" s="1" t="s">
        <v>72</v>
      </c>
      <c r="J484" s="1" t="s">
        <v>68</v>
      </c>
      <c r="K484" s="1" t="s">
        <v>68</v>
      </c>
      <c r="L484" s="1" t="s">
        <v>68</v>
      </c>
      <c r="M484" s="1" t="s">
        <v>68</v>
      </c>
      <c r="N484" s="1" t="s">
        <v>9787</v>
      </c>
      <c r="O484" s="1" t="s">
        <v>9788</v>
      </c>
      <c r="P484" s="1" t="s">
        <v>9789</v>
      </c>
      <c r="Q484" s="1" t="s">
        <v>9790</v>
      </c>
      <c r="R484" s="1" t="s">
        <v>9791</v>
      </c>
      <c r="S484" s="1" t="s">
        <v>9792</v>
      </c>
      <c r="T484" s="1" t="s">
        <v>9793</v>
      </c>
      <c r="U484" s="1" t="s">
        <v>9794</v>
      </c>
      <c r="V484" s="1" t="s">
        <v>9795</v>
      </c>
      <c r="W484" s="1" t="s">
        <v>9796</v>
      </c>
      <c r="X484" s="1" t="s">
        <v>9797</v>
      </c>
      <c r="Y484" s="1" t="s">
        <v>9798</v>
      </c>
      <c r="Z484" s="1">
        <v>100.0</v>
      </c>
      <c r="AA484" s="1">
        <v>8.0</v>
      </c>
      <c r="AB484" s="1">
        <v>10.0</v>
      </c>
      <c r="AC484" s="1">
        <v>1.0</v>
      </c>
      <c r="AD484" s="1">
        <v>34.0</v>
      </c>
      <c r="AE484" s="1" t="s">
        <v>247</v>
      </c>
      <c r="AF484" s="1" t="s">
        <v>248</v>
      </c>
      <c r="AG484" s="1" t="s">
        <v>351</v>
      </c>
      <c r="AH484" s="1" t="s">
        <v>68</v>
      </c>
      <c r="AI484" s="1" t="s">
        <v>8853</v>
      </c>
      <c r="AJ484" s="1" t="s">
        <v>68</v>
      </c>
      <c r="AK484" s="1" t="s">
        <v>8854</v>
      </c>
      <c r="AL484" s="1" t="s">
        <v>8855</v>
      </c>
      <c r="AM484" s="1" t="s">
        <v>224</v>
      </c>
      <c r="AN484" s="1">
        <v>2022.0</v>
      </c>
      <c r="AO484" s="1">
        <v>14.0</v>
      </c>
      <c r="AP484" s="1">
        <v>3.0</v>
      </c>
      <c r="AQ484" s="1" t="s">
        <v>68</v>
      </c>
      <c r="AR484" s="1" t="s">
        <v>68</v>
      </c>
      <c r="AS484" s="1" t="s">
        <v>68</v>
      </c>
      <c r="AT484" s="1" t="s">
        <v>68</v>
      </c>
      <c r="AU484" s="1" t="s">
        <v>68</v>
      </c>
      <c r="AV484" s="1" t="s">
        <v>68</v>
      </c>
      <c r="AW484" s="1">
        <v>463.0</v>
      </c>
      <c r="AX484" s="1" t="s">
        <v>9799</v>
      </c>
      <c r="AY484" s="3" t="str">
        <f>HYPERLINK("http://dx.doi.org/10.3390/rs14030463","http://dx.doi.org/10.3390/rs14030463")</f>
        <v>http://dx.doi.org/10.3390/rs14030463</v>
      </c>
      <c r="AZ484" s="1" t="s">
        <v>68</v>
      </c>
      <c r="BA484" s="1" t="s">
        <v>68</v>
      </c>
      <c r="BB484" s="1">
        <v>22.0</v>
      </c>
      <c r="BC484" s="1" t="s">
        <v>8857</v>
      </c>
      <c r="BD484" s="1" t="s">
        <v>92</v>
      </c>
      <c r="BE484" s="1" t="s">
        <v>8858</v>
      </c>
      <c r="BF484" s="1" t="s">
        <v>9800</v>
      </c>
      <c r="BG484" s="1" t="s">
        <v>68</v>
      </c>
      <c r="BH484" s="1" t="s">
        <v>94</v>
      </c>
      <c r="BI484" s="1" t="s">
        <v>68</v>
      </c>
      <c r="BJ484" s="1" t="s">
        <v>68</v>
      </c>
      <c r="BK484" s="1" t="s">
        <v>95</v>
      </c>
      <c r="BL484" s="1" t="s">
        <v>9801</v>
      </c>
      <c r="BM484" s="1" t="str">
        <f>HYPERLINK("https%3A%2F%2Fwww.webofscience.com%2Fwos%2Fwoscc%2Ffull-record%2FWOS:000754530100001","View Full Record in Web of Science")</f>
        <v>View Full Record in Web of Science</v>
      </c>
    </row>
    <row r="485" ht="12.75" customHeight="1">
      <c r="A485" s="1" t="s">
        <v>65</v>
      </c>
      <c r="B485" s="1" t="s">
        <v>9802</v>
      </c>
      <c r="C485" s="1" t="s">
        <v>9803</v>
      </c>
      <c r="D485" s="1" t="s">
        <v>68</v>
      </c>
      <c r="E485" s="1" t="s">
        <v>9804</v>
      </c>
      <c r="F485" s="1" t="s">
        <v>6032</v>
      </c>
      <c r="G485" s="1" t="s">
        <v>68</v>
      </c>
      <c r="H485" s="1" t="s">
        <v>71</v>
      </c>
      <c r="I485" s="1" t="s">
        <v>72</v>
      </c>
      <c r="J485" s="1" t="s">
        <v>68</v>
      </c>
      <c r="K485" s="1" t="s">
        <v>68</v>
      </c>
      <c r="L485" s="1" t="s">
        <v>68</v>
      </c>
      <c r="M485" s="1" t="s">
        <v>68</v>
      </c>
      <c r="N485" s="1" t="s">
        <v>9805</v>
      </c>
      <c r="O485" s="1" t="s">
        <v>9806</v>
      </c>
      <c r="P485" s="1" t="s">
        <v>9807</v>
      </c>
      <c r="Q485" s="1" t="s">
        <v>9808</v>
      </c>
      <c r="R485" s="1" t="s">
        <v>9809</v>
      </c>
      <c r="S485" s="1" t="s">
        <v>9810</v>
      </c>
      <c r="T485" s="1" t="s">
        <v>9811</v>
      </c>
      <c r="U485" s="1" t="s">
        <v>9812</v>
      </c>
      <c r="V485" s="1" t="s">
        <v>9813</v>
      </c>
      <c r="W485" s="1" t="s">
        <v>9814</v>
      </c>
      <c r="X485" s="1" t="s">
        <v>9815</v>
      </c>
      <c r="Y485" s="1" t="s">
        <v>9816</v>
      </c>
      <c r="Z485" s="1">
        <v>109.0</v>
      </c>
      <c r="AA485" s="1">
        <v>0.0</v>
      </c>
      <c r="AB485" s="1">
        <v>0.0</v>
      </c>
      <c r="AC485" s="1">
        <v>4.0</v>
      </c>
      <c r="AD485" s="1">
        <v>4.0</v>
      </c>
      <c r="AE485" s="1" t="s">
        <v>114</v>
      </c>
      <c r="AF485" s="1" t="s">
        <v>115</v>
      </c>
      <c r="AG485" s="1" t="s">
        <v>2993</v>
      </c>
      <c r="AH485" s="1" t="s">
        <v>6045</v>
      </c>
      <c r="AI485" s="1" t="s">
        <v>6046</v>
      </c>
      <c r="AJ485" s="1" t="s">
        <v>68</v>
      </c>
      <c r="AK485" s="1" t="s">
        <v>6047</v>
      </c>
      <c r="AL485" s="1" t="s">
        <v>6048</v>
      </c>
      <c r="AM485" s="1" t="s">
        <v>120</v>
      </c>
      <c r="AN485" s="1">
        <v>2025.0</v>
      </c>
      <c r="AO485" s="1">
        <v>75.0</v>
      </c>
      <c r="AP485" s="1">
        <v>12.0</v>
      </c>
      <c r="AQ485" s="1" t="s">
        <v>68</v>
      </c>
      <c r="AR485" s="1" t="s">
        <v>68</v>
      </c>
      <c r="AS485" s="1" t="s">
        <v>68</v>
      </c>
      <c r="AT485" s="1" t="s">
        <v>68</v>
      </c>
      <c r="AU485" s="1">
        <v>3721.0</v>
      </c>
      <c r="AV485" s="1">
        <v>3735.0</v>
      </c>
      <c r="AW485" s="1" t="s">
        <v>68</v>
      </c>
      <c r="AX485" s="1" t="s">
        <v>9817</v>
      </c>
      <c r="AY485" s="3" t="str">
        <f>HYPERLINK("http://dx.doi.org/10.1007/s00267-025-02289-w","http://dx.doi.org/10.1007/s00267-025-02289-w")</f>
        <v>http://dx.doi.org/10.1007/s00267-025-02289-w</v>
      </c>
      <c r="AZ485" s="1" t="s">
        <v>68</v>
      </c>
      <c r="BA485" s="1" t="s">
        <v>4148</v>
      </c>
      <c r="BB485" s="1">
        <v>15.0</v>
      </c>
      <c r="BC485" s="1" t="s">
        <v>484</v>
      </c>
      <c r="BD485" s="1" t="s">
        <v>92</v>
      </c>
      <c r="BE485" s="1" t="s">
        <v>333</v>
      </c>
      <c r="BF485" s="1" t="s">
        <v>9818</v>
      </c>
      <c r="BG485" s="1">
        <v>4.1028197E7</v>
      </c>
      <c r="BH485" s="1" t="s">
        <v>4353</v>
      </c>
      <c r="BI485" s="1" t="s">
        <v>68</v>
      </c>
      <c r="BJ485" s="1" t="s">
        <v>68</v>
      </c>
      <c r="BK485" s="1" t="s">
        <v>95</v>
      </c>
      <c r="BL485" s="1" t="s">
        <v>9819</v>
      </c>
      <c r="BM485" s="1" t="str">
        <f>HYPERLINK("https%3A%2F%2Fwww.webofscience.com%2Fwos%2Fwoscc%2Ffull-record%2FWOS:001584179200001","View Full Record in Web of Science")</f>
        <v>View Full Record in Web of Science</v>
      </c>
    </row>
    <row r="486" ht="12.75" customHeight="1">
      <c r="A486" s="1" t="s">
        <v>65</v>
      </c>
      <c r="B486" s="1" t="s">
        <v>9820</v>
      </c>
      <c r="C486" s="1" t="s">
        <v>9821</v>
      </c>
      <c r="D486" s="1" t="s">
        <v>68</v>
      </c>
      <c r="E486" s="1" t="s">
        <v>9822</v>
      </c>
      <c r="F486" s="1" t="s">
        <v>9823</v>
      </c>
      <c r="G486" s="1" t="s">
        <v>68</v>
      </c>
      <c r="H486" s="1" t="s">
        <v>71</v>
      </c>
      <c r="I486" s="1" t="s">
        <v>72</v>
      </c>
      <c r="J486" s="1" t="s">
        <v>68</v>
      </c>
      <c r="K486" s="1" t="s">
        <v>68</v>
      </c>
      <c r="L486" s="1" t="s">
        <v>68</v>
      </c>
      <c r="M486" s="1" t="s">
        <v>68</v>
      </c>
      <c r="N486" s="1" t="s">
        <v>9824</v>
      </c>
      <c r="O486" s="1" t="s">
        <v>9825</v>
      </c>
      <c r="P486" s="1" t="s">
        <v>9826</v>
      </c>
      <c r="Q486" s="1" t="s">
        <v>9827</v>
      </c>
      <c r="R486" s="1" t="s">
        <v>9828</v>
      </c>
      <c r="S486" s="1" t="s">
        <v>9829</v>
      </c>
      <c r="T486" s="1" t="s">
        <v>9830</v>
      </c>
      <c r="U486" s="1" t="s">
        <v>68</v>
      </c>
      <c r="V486" s="1" t="s">
        <v>9831</v>
      </c>
      <c r="W486" s="1" t="s">
        <v>9832</v>
      </c>
      <c r="X486" s="1" t="s">
        <v>9833</v>
      </c>
      <c r="Y486" s="1" t="s">
        <v>9834</v>
      </c>
      <c r="Z486" s="1">
        <v>86.0</v>
      </c>
      <c r="AA486" s="1">
        <v>1.0</v>
      </c>
      <c r="AB486" s="1">
        <v>2.0</v>
      </c>
      <c r="AC486" s="1">
        <v>3.0</v>
      </c>
      <c r="AD486" s="1">
        <v>20.0</v>
      </c>
      <c r="AE486" s="1" t="s">
        <v>1932</v>
      </c>
      <c r="AF486" s="1" t="s">
        <v>1933</v>
      </c>
      <c r="AG486" s="1" t="s">
        <v>1934</v>
      </c>
      <c r="AH486" s="1" t="s">
        <v>9835</v>
      </c>
      <c r="AI486" s="1" t="s">
        <v>9836</v>
      </c>
      <c r="AJ486" s="1" t="s">
        <v>68</v>
      </c>
      <c r="AK486" s="1" t="s">
        <v>9837</v>
      </c>
      <c r="AL486" s="1" t="s">
        <v>9838</v>
      </c>
      <c r="AM486" s="1" t="s">
        <v>1485</v>
      </c>
      <c r="AN486" s="1">
        <v>2022.0</v>
      </c>
      <c r="AO486" s="1">
        <v>53.0</v>
      </c>
      <c r="AP486" s="1">
        <v>1.0</v>
      </c>
      <c r="AQ486" s="1" t="s">
        <v>68</v>
      </c>
      <c r="AR486" s="1" t="s">
        <v>68</v>
      </c>
      <c r="AS486" s="1" t="s">
        <v>68</v>
      </c>
      <c r="AT486" s="1" t="s">
        <v>68</v>
      </c>
      <c r="AU486" s="1">
        <v>6.0</v>
      </c>
      <c r="AV486" s="1">
        <v>21.0</v>
      </c>
      <c r="AW486" s="1" t="s">
        <v>68</v>
      </c>
      <c r="AX486" s="1" t="s">
        <v>9839</v>
      </c>
      <c r="AY486" s="3" t="str">
        <f>HYPERLINK("http://dx.doi.org/10.1080/00958964.2021.1984193","http://dx.doi.org/10.1080/00958964.2021.1984193")</f>
        <v>http://dx.doi.org/10.1080/00958964.2021.1984193</v>
      </c>
      <c r="AZ486" s="1" t="s">
        <v>68</v>
      </c>
      <c r="BA486" s="1" t="s">
        <v>3214</v>
      </c>
      <c r="BB486" s="1">
        <v>16.0</v>
      </c>
      <c r="BC486" s="1" t="s">
        <v>9840</v>
      </c>
      <c r="BD486" s="1" t="s">
        <v>1438</v>
      </c>
      <c r="BE486" s="1" t="s">
        <v>9841</v>
      </c>
      <c r="BF486" s="1" t="s">
        <v>9842</v>
      </c>
      <c r="BG486" s="1" t="s">
        <v>68</v>
      </c>
      <c r="BH486" s="1" t="s">
        <v>68</v>
      </c>
      <c r="BI486" s="1" t="s">
        <v>68</v>
      </c>
      <c r="BJ486" s="1" t="s">
        <v>68</v>
      </c>
      <c r="BK486" s="1" t="s">
        <v>95</v>
      </c>
      <c r="BL486" s="1" t="s">
        <v>9843</v>
      </c>
      <c r="BM486" s="1" t="str">
        <f>HYPERLINK("https%3A%2F%2Fwww.webofscience.com%2Fwos%2Fwoscc%2Ffull-record%2FWOS:000741761900001","View Full Record in Web of Science")</f>
        <v>View Full Record in Web of Science</v>
      </c>
    </row>
    <row r="487" ht="12.75" customHeight="1">
      <c r="A487" s="1" t="s">
        <v>65</v>
      </c>
      <c r="B487" s="1" t="s">
        <v>8468</v>
      </c>
      <c r="C487" s="1" t="s">
        <v>8469</v>
      </c>
      <c r="D487" s="1" t="s">
        <v>68</v>
      </c>
      <c r="E487" s="1" t="s">
        <v>9844</v>
      </c>
      <c r="F487" s="1" t="s">
        <v>1996</v>
      </c>
      <c r="G487" s="1" t="s">
        <v>68</v>
      </c>
      <c r="H487" s="1" t="s">
        <v>71</v>
      </c>
      <c r="I487" s="1" t="s">
        <v>4330</v>
      </c>
      <c r="J487" s="1" t="s">
        <v>68</v>
      </c>
      <c r="K487" s="1" t="s">
        <v>68</v>
      </c>
      <c r="L487" s="1" t="s">
        <v>68</v>
      </c>
      <c r="M487" s="1" t="s">
        <v>68</v>
      </c>
      <c r="N487" s="1" t="s">
        <v>68</v>
      </c>
      <c r="O487" s="1" t="s">
        <v>68</v>
      </c>
      <c r="P487" s="1" t="s">
        <v>68</v>
      </c>
      <c r="Q487" s="1" t="s">
        <v>9845</v>
      </c>
      <c r="R487" s="1" t="s">
        <v>8474</v>
      </c>
      <c r="S487" s="1" t="s">
        <v>9846</v>
      </c>
      <c r="T487" s="1" t="s">
        <v>8476</v>
      </c>
      <c r="U487" s="1" t="s">
        <v>9847</v>
      </c>
      <c r="V487" s="1" t="s">
        <v>9848</v>
      </c>
      <c r="W487" s="1" t="s">
        <v>68</v>
      </c>
      <c r="X487" s="1" t="s">
        <v>68</v>
      </c>
      <c r="Y487" s="1" t="s">
        <v>68</v>
      </c>
      <c r="Z487" s="1">
        <v>1.0</v>
      </c>
      <c r="AA487" s="1">
        <v>0.0</v>
      </c>
      <c r="AB487" s="1">
        <v>0.0</v>
      </c>
      <c r="AC487" s="1">
        <v>0.0</v>
      </c>
      <c r="AD487" s="1">
        <v>1.0</v>
      </c>
      <c r="AE487" s="1" t="s">
        <v>247</v>
      </c>
      <c r="AF487" s="1" t="s">
        <v>248</v>
      </c>
      <c r="AG487" s="1" t="s">
        <v>249</v>
      </c>
      <c r="AH487" s="1" t="s">
        <v>68</v>
      </c>
      <c r="AI487" s="1" t="s">
        <v>2007</v>
      </c>
      <c r="AJ487" s="1" t="s">
        <v>68</v>
      </c>
      <c r="AK487" s="1" t="s">
        <v>2008</v>
      </c>
      <c r="AL487" s="1" t="s">
        <v>2009</v>
      </c>
      <c r="AM487" s="1" t="s">
        <v>9849</v>
      </c>
      <c r="AN487" s="1">
        <v>2025.0</v>
      </c>
      <c r="AO487" s="1">
        <v>17.0</v>
      </c>
      <c r="AP487" s="1">
        <v>9.0</v>
      </c>
      <c r="AQ487" s="1" t="s">
        <v>68</v>
      </c>
      <c r="AR487" s="1" t="s">
        <v>68</v>
      </c>
      <c r="AS487" s="1" t="s">
        <v>68</v>
      </c>
      <c r="AT487" s="1" t="s">
        <v>68</v>
      </c>
      <c r="AU487" s="1" t="s">
        <v>68</v>
      </c>
      <c r="AV487" s="1" t="s">
        <v>68</v>
      </c>
      <c r="AW487" s="1">
        <v>3927.0</v>
      </c>
      <c r="AX487" s="1" t="s">
        <v>9850</v>
      </c>
      <c r="AY487" s="3" t="str">
        <f>HYPERLINK("http://dx.doi.org/10.3390/su17093927","http://dx.doi.org/10.3390/su17093927")</f>
        <v>http://dx.doi.org/10.3390/su17093927</v>
      </c>
      <c r="AZ487" s="1" t="s">
        <v>68</v>
      </c>
      <c r="BA487" s="1" t="s">
        <v>68</v>
      </c>
      <c r="BB487" s="1">
        <v>2.0</v>
      </c>
      <c r="BC487" s="1" t="s">
        <v>1052</v>
      </c>
      <c r="BD487" s="1" t="s">
        <v>279</v>
      </c>
      <c r="BE487" s="1" t="s">
        <v>1053</v>
      </c>
      <c r="BF487" s="1" t="s">
        <v>9851</v>
      </c>
      <c r="BG487" s="1" t="s">
        <v>68</v>
      </c>
      <c r="BH487" s="1" t="s">
        <v>462</v>
      </c>
      <c r="BI487" s="1" t="s">
        <v>68</v>
      </c>
      <c r="BJ487" s="1" t="s">
        <v>68</v>
      </c>
      <c r="BK487" s="1" t="s">
        <v>95</v>
      </c>
      <c r="BL487" s="1" t="s">
        <v>9852</v>
      </c>
      <c r="BM487" s="1" t="str">
        <f>HYPERLINK("https%3A%2F%2Fwww.webofscience.com%2Fwos%2Fwoscc%2Ffull-record%2FWOS:001488070300001","View Full Record in Web of Science")</f>
        <v>View Full Record in Web of Science</v>
      </c>
    </row>
    <row r="488" ht="12.75" customHeight="1">
      <c r="A488" s="1" t="s">
        <v>65</v>
      </c>
      <c r="B488" s="1" t="s">
        <v>9853</v>
      </c>
      <c r="C488" s="1" t="s">
        <v>9854</v>
      </c>
      <c r="D488" s="1" t="s">
        <v>68</v>
      </c>
      <c r="E488" s="1" t="s">
        <v>9855</v>
      </c>
      <c r="F488" s="1" t="s">
        <v>3294</v>
      </c>
      <c r="G488" s="1" t="s">
        <v>68</v>
      </c>
      <c r="H488" s="1" t="s">
        <v>71</v>
      </c>
      <c r="I488" s="1" t="s">
        <v>72</v>
      </c>
      <c r="J488" s="1" t="s">
        <v>68</v>
      </c>
      <c r="K488" s="1" t="s">
        <v>68</v>
      </c>
      <c r="L488" s="1" t="s">
        <v>68</v>
      </c>
      <c r="M488" s="1" t="s">
        <v>68</v>
      </c>
      <c r="N488" s="1" t="s">
        <v>9856</v>
      </c>
      <c r="O488" s="1" t="s">
        <v>9857</v>
      </c>
      <c r="P488" s="1" t="s">
        <v>9858</v>
      </c>
      <c r="Q488" s="1" t="s">
        <v>9859</v>
      </c>
      <c r="R488" s="1" t="s">
        <v>9860</v>
      </c>
      <c r="S488" s="1" t="s">
        <v>9861</v>
      </c>
      <c r="T488" s="1" t="s">
        <v>9862</v>
      </c>
      <c r="U488" s="1" t="s">
        <v>9863</v>
      </c>
      <c r="V488" s="1" t="s">
        <v>9864</v>
      </c>
      <c r="W488" s="1" t="s">
        <v>9865</v>
      </c>
      <c r="X488" s="1" t="s">
        <v>9866</v>
      </c>
      <c r="Y488" s="1" t="s">
        <v>9867</v>
      </c>
      <c r="Z488" s="1">
        <v>69.0</v>
      </c>
      <c r="AA488" s="1">
        <v>1.0</v>
      </c>
      <c r="AB488" s="1">
        <v>1.0</v>
      </c>
      <c r="AC488" s="1">
        <v>5.0</v>
      </c>
      <c r="AD488" s="1">
        <v>5.0</v>
      </c>
      <c r="AE488" s="1" t="s">
        <v>247</v>
      </c>
      <c r="AF488" s="1" t="s">
        <v>248</v>
      </c>
      <c r="AG488" s="1" t="s">
        <v>249</v>
      </c>
      <c r="AH488" s="1" t="s">
        <v>68</v>
      </c>
      <c r="AI488" s="1" t="s">
        <v>3307</v>
      </c>
      <c r="AJ488" s="1" t="s">
        <v>68</v>
      </c>
      <c r="AK488" s="1" t="s">
        <v>3294</v>
      </c>
      <c r="AL488" s="1" t="s">
        <v>3308</v>
      </c>
      <c r="AM488" s="1" t="s">
        <v>9868</v>
      </c>
      <c r="AN488" s="1">
        <v>2025.0</v>
      </c>
      <c r="AO488" s="1">
        <v>16.0</v>
      </c>
      <c r="AP488" s="1">
        <v>9.0</v>
      </c>
      <c r="AQ488" s="1" t="s">
        <v>68</v>
      </c>
      <c r="AR488" s="1" t="s">
        <v>68</v>
      </c>
      <c r="AS488" s="1" t="s">
        <v>68</v>
      </c>
      <c r="AT488" s="1" t="s">
        <v>68</v>
      </c>
      <c r="AU488" s="1" t="s">
        <v>68</v>
      </c>
      <c r="AV488" s="1" t="s">
        <v>68</v>
      </c>
      <c r="AW488" s="1">
        <v>904.0</v>
      </c>
      <c r="AX488" s="1" t="s">
        <v>9869</v>
      </c>
      <c r="AY488" s="3" t="str">
        <f>HYPERLINK("http://dx.doi.org/10.3390/insects16090904","http://dx.doi.org/10.3390/insects16090904")</f>
        <v>http://dx.doi.org/10.3390/insects16090904</v>
      </c>
      <c r="AZ488" s="1" t="s">
        <v>68</v>
      </c>
      <c r="BA488" s="1" t="s">
        <v>68</v>
      </c>
      <c r="BB488" s="1">
        <v>27.0</v>
      </c>
      <c r="BC488" s="1" t="s">
        <v>309</v>
      </c>
      <c r="BD488" s="1" t="s">
        <v>92</v>
      </c>
      <c r="BE488" s="1" t="s">
        <v>309</v>
      </c>
      <c r="BF488" s="1" t="s">
        <v>9870</v>
      </c>
      <c r="BG488" s="1">
        <v>4.1009087E7</v>
      </c>
      <c r="BH488" s="1" t="s">
        <v>94</v>
      </c>
      <c r="BI488" s="1" t="s">
        <v>68</v>
      </c>
      <c r="BJ488" s="1" t="s">
        <v>68</v>
      </c>
      <c r="BK488" s="1" t="s">
        <v>95</v>
      </c>
      <c r="BL488" s="1" t="s">
        <v>9871</v>
      </c>
      <c r="BM488" s="1" t="str">
        <f>HYPERLINK("https%3A%2F%2Fwww.webofscience.com%2Fwos%2Fwoscc%2Ffull-record%2FWOS:001580048100001","View Full Record in Web of Science")</f>
        <v>View Full Record in Web of Science</v>
      </c>
    </row>
    <row r="489" ht="12.75" customHeight="1">
      <c r="A489" s="1" t="s">
        <v>65</v>
      </c>
      <c r="B489" s="1" t="s">
        <v>9872</v>
      </c>
      <c r="C489" s="1" t="s">
        <v>9873</v>
      </c>
      <c r="D489" s="1" t="s">
        <v>68</v>
      </c>
      <c r="E489" s="1" t="s">
        <v>9874</v>
      </c>
      <c r="F489" s="1" t="s">
        <v>9875</v>
      </c>
      <c r="G489" s="1" t="s">
        <v>68</v>
      </c>
      <c r="H489" s="1" t="s">
        <v>71</v>
      </c>
      <c r="I489" s="1" t="s">
        <v>72</v>
      </c>
      <c r="J489" s="1" t="s">
        <v>68</v>
      </c>
      <c r="K489" s="1" t="s">
        <v>68</v>
      </c>
      <c r="L489" s="1" t="s">
        <v>68</v>
      </c>
      <c r="M489" s="1" t="s">
        <v>68</v>
      </c>
      <c r="N489" s="1" t="s">
        <v>9876</v>
      </c>
      <c r="O489" s="1" t="s">
        <v>9877</v>
      </c>
      <c r="P489" s="1" t="s">
        <v>9878</v>
      </c>
      <c r="Q489" s="1" t="s">
        <v>9879</v>
      </c>
      <c r="R489" s="1" t="s">
        <v>9880</v>
      </c>
      <c r="S489" s="1" t="s">
        <v>9881</v>
      </c>
      <c r="T489" s="1" t="s">
        <v>9882</v>
      </c>
      <c r="U489" s="1" t="s">
        <v>9883</v>
      </c>
      <c r="V489" s="1" t="s">
        <v>9884</v>
      </c>
      <c r="W489" s="1" t="s">
        <v>9885</v>
      </c>
      <c r="X489" s="1" t="s">
        <v>9886</v>
      </c>
      <c r="Y489" s="1" t="s">
        <v>9887</v>
      </c>
      <c r="Z489" s="1">
        <v>55.0</v>
      </c>
      <c r="AA489" s="1">
        <v>9.0</v>
      </c>
      <c r="AB489" s="1">
        <v>10.0</v>
      </c>
      <c r="AC489" s="1">
        <v>0.0</v>
      </c>
      <c r="AD489" s="1">
        <v>12.0</v>
      </c>
      <c r="AE489" s="1" t="s">
        <v>1258</v>
      </c>
      <c r="AF489" s="1" t="s">
        <v>1259</v>
      </c>
      <c r="AG489" s="1" t="s">
        <v>9888</v>
      </c>
      <c r="AH489" s="1" t="s">
        <v>9889</v>
      </c>
      <c r="AI489" s="1" t="s">
        <v>68</v>
      </c>
      <c r="AJ489" s="1" t="s">
        <v>68</v>
      </c>
      <c r="AK489" s="1" t="s">
        <v>9890</v>
      </c>
      <c r="AL489" s="1" t="s">
        <v>9891</v>
      </c>
      <c r="AM489" s="1" t="s">
        <v>1264</v>
      </c>
      <c r="AN489" s="1">
        <v>2021.0</v>
      </c>
      <c r="AO489" s="1">
        <v>10.0</v>
      </c>
      <c r="AP489" s="1">
        <v>4.0</v>
      </c>
      <c r="AQ489" s="1" t="s">
        <v>68</v>
      </c>
      <c r="AR489" s="1" t="s">
        <v>68</v>
      </c>
      <c r="AS489" s="1" t="s">
        <v>68</v>
      </c>
      <c r="AT489" s="1" t="s">
        <v>68</v>
      </c>
      <c r="AU489" s="1">
        <v>1032.0</v>
      </c>
      <c r="AV489" s="1">
        <v>1044.0</v>
      </c>
      <c r="AW489" s="1" t="s">
        <v>68</v>
      </c>
      <c r="AX489" s="1" t="s">
        <v>9892</v>
      </c>
      <c r="AY489" s="3" t="str">
        <f>HYPERLINK("http://dx.doi.org/10.3391/bir.2021.10.4.28","http://dx.doi.org/10.3391/bir.2021.10.4.28")</f>
        <v>http://dx.doi.org/10.3391/bir.2021.10.4.28</v>
      </c>
      <c r="AZ489" s="1" t="s">
        <v>68</v>
      </c>
      <c r="BA489" s="1" t="s">
        <v>68</v>
      </c>
      <c r="BB489" s="1">
        <v>13.0</v>
      </c>
      <c r="BC489" s="1" t="s">
        <v>1171</v>
      </c>
      <c r="BD489" s="1" t="s">
        <v>92</v>
      </c>
      <c r="BE489" s="1" t="s">
        <v>1172</v>
      </c>
      <c r="BF489" s="1" t="s">
        <v>9893</v>
      </c>
      <c r="BG489" s="1" t="s">
        <v>68</v>
      </c>
      <c r="BH489" s="1" t="s">
        <v>462</v>
      </c>
      <c r="BI489" s="1" t="s">
        <v>68</v>
      </c>
      <c r="BJ489" s="1" t="s">
        <v>68</v>
      </c>
      <c r="BK489" s="1" t="s">
        <v>95</v>
      </c>
      <c r="BL489" s="1" t="s">
        <v>9894</v>
      </c>
      <c r="BM489" s="1" t="str">
        <f>HYPERLINK("https%3A%2F%2Fwww.webofscience.com%2Fwos%2Fwoscc%2Ffull-record%2FWOS:000719593000007","View Full Record in Web of Science")</f>
        <v>View Full Record in Web of Science</v>
      </c>
    </row>
    <row r="490" ht="12.75" customHeight="1">
      <c r="A490" s="1" t="s">
        <v>65</v>
      </c>
      <c r="B490" s="1" t="s">
        <v>9895</v>
      </c>
      <c r="C490" s="1" t="s">
        <v>9896</v>
      </c>
      <c r="D490" s="1" t="s">
        <v>68</v>
      </c>
      <c r="E490" s="1" t="s">
        <v>9897</v>
      </c>
      <c r="F490" s="1" t="s">
        <v>412</v>
      </c>
      <c r="G490" s="1" t="s">
        <v>68</v>
      </c>
      <c r="H490" s="1" t="s">
        <v>71</v>
      </c>
      <c r="I490" s="1" t="s">
        <v>4330</v>
      </c>
      <c r="J490" s="1" t="s">
        <v>68</v>
      </c>
      <c r="K490" s="1" t="s">
        <v>68</v>
      </c>
      <c r="L490" s="1" t="s">
        <v>68</v>
      </c>
      <c r="M490" s="1" t="s">
        <v>68</v>
      </c>
      <c r="N490" s="1" t="s">
        <v>68</v>
      </c>
      <c r="O490" s="1" t="s">
        <v>68</v>
      </c>
      <c r="P490" s="1" t="s">
        <v>68</v>
      </c>
      <c r="Q490" s="1" t="s">
        <v>9898</v>
      </c>
      <c r="R490" s="1" t="s">
        <v>9899</v>
      </c>
      <c r="S490" s="1" t="s">
        <v>9900</v>
      </c>
      <c r="T490" s="1" t="s">
        <v>8307</v>
      </c>
      <c r="U490" s="1" t="s">
        <v>9901</v>
      </c>
      <c r="V490" s="1" t="s">
        <v>9902</v>
      </c>
      <c r="W490" s="1" t="s">
        <v>68</v>
      </c>
      <c r="X490" s="1" t="s">
        <v>68</v>
      </c>
      <c r="Y490" s="1" t="s">
        <v>68</v>
      </c>
      <c r="Z490" s="1">
        <v>1.0</v>
      </c>
      <c r="AA490" s="1">
        <v>0.0</v>
      </c>
      <c r="AB490" s="1">
        <v>0.0</v>
      </c>
      <c r="AC490" s="1">
        <v>1.0</v>
      </c>
      <c r="AD490" s="1">
        <v>22.0</v>
      </c>
      <c r="AE490" s="1" t="s">
        <v>422</v>
      </c>
      <c r="AF490" s="1" t="s">
        <v>423</v>
      </c>
      <c r="AG490" s="1" t="s">
        <v>424</v>
      </c>
      <c r="AH490" s="1" t="s">
        <v>425</v>
      </c>
      <c r="AI490" s="1" t="s">
        <v>426</v>
      </c>
      <c r="AJ490" s="1" t="s">
        <v>68</v>
      </c>
      <c r="AK490" s="1" t="s">
        <v>412</v>
      </c>
      <c r="AL490" s="1" t="s">
        <v>427</v>
      </c>
      <c r="AM490" s="1" t="s">
        <v>790</v>
      </c>
      <c r="AN490" s="1">
        <v>2017.0</v>
      </c>
      <c r="AO490" s="1">
        <v>67.0</v>
      </c>
      <c r="AP490" s="1">
        <v>8.0</v>
      </c>
      <c r="AQ490" s="1" t="s">
        <v>68</v>
      </c>
      <c r="AR490" s="1" t="s">
        <v>68</v>
      </c>
      <c r="AS490" s="1" t="s">
        <v>68</v>
      </c>
      <c r="AT490" s="1" t="s">
        <v>68</v>
      </c>
      <c r="AU490" s="1">
        <v>773.0</v>
      </c>
      <c r="AV490" s="1">
        <v>773.0</v>
      </c>
      <c r="AW490" s="1" t="s">
        <v>68</v>
      </c>
      <c r="AX490" s="1" t="s">
        <v>9903</v>
      </c>
      <c r="AY490" s="3" t="str">
        <f>HYPERLINK("http://dx.doi.org/10.1093/biosci/bix070","http://dx.doi.org/10.1093/biosci/bix070")</f>
        <v>http://dx.doi.org/10.1093/biosci/bix070</v>
      </c>
      <c r="AZ490" s="1" t="s">
        <v>68</v>
      </c>
      <c r="BA490" s="1" t="s">
        <v>68</v>
      </c>
      <c r="BB490" s="1">
        <v>1.0</v>
      </c>
      <c r="BC490" s="1" t="s">
        <v>430</v>
      </c>
      <c r="BD490" s="1" t="s">
        <v>92</v>
      </c>
      <c r="BE490" s="1" t="s">
        <v>431</v>
      </c>
      <c r="BF490" s="1" t="s">
        <v>9904</v>
      </c>
      <c r="BG490" s="1">
        <v>2.9599543E7</v>
      </c>
      <c r="BH490" s="1" t="s">
        <v>644</v>
      </c>
      <c r="BI490" s="1" t="s">
        <v>68</v>
      </c>
      <c r="BJ490" s="1" t="s">
        <v>68</v>
      </c>
      <c r="BK490" s="1" t="s">
        <v>95</v>
      </c>
      <c r="BL490" s="1" t="s">
        <v>9905</v>
      </c>
      <c r="BM490" s="1" t="str">
        <f>HYPERLINK("https%3A%2F%2Fwww.webofscience.com%2Fwos%2Fwoscc%2Ffull-record%2FWOS:000406967600013","View Full Record in Web of Science")</f>
        <v>View Full Record in Web of Science</v>
      </c>
    </row>
    <row r="491" ht="12.75" customHeight="1">
      <c r="A491" s="1" t="s">
        <v>65</v>
      </c>
      <c r="B491" s="1" t="s">
        <v>9906</v>
      </c>
      <c r="C491" s="1" t="s">
        <v>9907</v>
      </c>
      <c r="D491" s="1" t="s">
        <v>68</v>
      </c>
      <c r="E491" s="1" t="s">
        <v>9908</v>
      </c>
      <c r="F491" s="1" t="s">
        <v>9909</v>
      </c>
      <c r="G491" s="1" t="s">
        <v>68</v>
      </c>
      <c r="H491" s="1" t="s">
        <v>71</v>
      </c>
      <c r="I491" s="1" t="s">
        <v>72</v>
      </c>
      <c r="J491" s="1" t="s">
        <v>68</v>
      </c>
      <c r="K491" s="1" t="s">
        <v>68</v>
      </c>
      <c r="L491" s="1" t="s">
        <v>68</v>
      </c>
      <c r="M491" s="1" t="s">
        <v>68</v>
      </c>
      <c r="N491" s="1" t="s">
        <v>9910</v>
      </c>
      <c r="O491" s="1" t="s">
        <v>9911</v>
      </c>
      <c r="P491" s="1" t="s">
        <v>9912</v>
      </c>
      <c r="Q491" s="1" t="s">
        <v>9913</v>
      </c>
      <c r="R491" s="1" t="s">
        <v>9914</v>
      </c>
      <c r="S491" s="1" t="s">
        <v>9915</v>
      </c>
      <c r="T491" s="1" t="s">
        <v>9916</v>
      </c>
      <c r="U491" s="1" t="s">
        <v>9917</v>
      </c>
      <c r="V491" s="1" t="s">
        <v>9918</v>
      </c>
      <c r="W491" s="1" t="s">
        <v>9919</v>
      </c>
      <c r="X491" s="1" t="s">
        <v>9919</v>
      </c>
      <c r="Y491" s="1" t="s">
        <v>9920</v>
      </c>
      <c r="Z491" s="1">
        <v>57.0</v>
      </c>
      <c r="AA491" s="1">
        <v>6.0</v>
      </c>
      <c r="AB491" s="1">
        <v>8.0</v>
      </c>
      <c r="AC491" s="1">
        <v>0.0</v>
      </c>
      <c r="AD491" s="1">
        <v>15.0</v>
      </c>
      <c r="AE491" s="1" t="s">
        <v>1596</v>
      </c>
      <c r="AF491" s="1" t="s">
        <v>1182</v>
      </c>
      <c r="AG491" s="1" t="s">
        <v>1597</v>
      </c>
      <c r="AH491" s="1" t="s">
        <v>9921</v>
      </c>
      <c r="AI491" s="1" t="s">
        <v>9922</v>
      </c>
      <c r="AJ491" s="1" t="s">
        <v>68</v>
      </c>
      <c r="AK491" s="1" t="s">
        <v>9923</v>
      </c>
      <c r="AL491" s="1" t="s">
        <v>9924</v>
      </c>
      <c r="AM491" s="1" t="s">
        <v>7675</v>
      </c>
      <c r="AN491" s="1">
        <v>2019.0</v>
      </c>
      <c r="AO491" s="1">
        <v>369.0</v>
      </c>
      <c r="AP491" s="1" t="s">
        <v>68</v>
      </c>
      <c r="AQ491" s="1" t="s">
        <v>68</v>
      </c>
      <c r="AR491" s="1" t="s">
        <v>68</v>
      </c>
      <c r="AS491" s="1" t="s">
        <v>68</v>
      </c>
      <c r="AT491" s="1" t="s">
        <v>68</v>
      </c>
      <c r="AU491" s="1">
        <v>50.0</v>
      </c>
      <c r="AV491" s="1">
        <v>63.0</v>
      </c>
      <c r="AW491" s="1" t="s">
        <v>68</v>
      </c>
      <c r="AX491" s="1" t="s">
        <v>9925</v>
      </c>
      <c r="AY491" s="3" t="str">
        <f>HYPERLINK("http://dx.doi.org/10.1016/j.jvolgeores.2018.11.005","http://dx.doi.org/10.1016/j.jvolgeores.2018.11.005")</f>
        <v>http://dx.doi.org/10.1016/j.jvolgeores.2018.11.005</v>
      </c>
      <c r="AZ491" s="1" t="s">
        <v>68</v>
      </c>
      <c r="BA491" s="1" t="s">
        <v>68</v>
      </c>
      <c r="BB491" s="1">
        <v>14.0</v>
      </c>
      <c r="BC491" s="1" t="s">
        <v>1747</v>
      </c>
      <c r="BD491" s="1" t="s">
        <v>92</v>
      </c>
      <c r="BE491" s="1" t="s">
        <v>1748</v>
      </c>
      <c r="BF491" s="1" t="s">
        <v>9926</v>
      </c>
      <c r="BG491" s="1" t="s">
        <v>68</v>
      </c>
      <c r="BH491" s="1" t="s">
        <v>68</v>
      </c>
      <c r="BI491" s="1" t="s">
        <v>68</v>
      </c>
      <c r="BJ491" s="1" t="s">
        <v>68</v>
      </c>
      <c r="BK491" s="1" t="s">
        <v>95</v>
      </c>
      <c r="BL491" s="1" t="s">
        <v>9927</v>
      </c>
      <c r="BM491" s="1" t="str">
        <f>HYPERLINK("https%3A%2F%2Fwww.webofscience.com%2Fwos%2Fwoscc%2Ffull-record%2FWOS:000456887500004","View Full Record in Web of Science")</f>
        <v>View Full Record in Web of Science</v>
      </c>
    </row>
    <row r="492" ht="12.75" customHeight="1">
      <c r="A492" s="1" t="s">
        <v>65</v>
      </c>
      <c r="B492" s="1" t="s">
        <v>9928</v>
      </c>
      <c r="C492" s="1" t="s">
        <v>9929</v>
      </c>
      <c r="D492" s="1" t="s">
        <v>68</v>
      </c>
      <c r="E492" s="1" t="s">
        <v>9930</v>
      </c>
      <c r="F492" s="1" t="s">
        <v>9931</v>
      </c>
      <c r="G492" s="1" t="s">
        <v>68</v>
      </c>
      <c r="H492" s="1" t="s">
        <v>71</v>
      </c>
      <c r="I492" s="1" t="s">
        <v>72</v>
      </c>
      <c r="J492" s="1" t="s">
        <v>68</v>
      </c>
      <c r="K492" s="1" t="s">
        <v>68</v>
      </c>
      <c r="L492" s="1" t="s">
        <v>68</v>
      </c>
      <c r="M492" s="1" t="s">
        <v>68</v>
      </c>
      <c r="N492" s="1" t="s">
        <v>9932</v>
      </c>
      <c r="O492" s="1" t="s">
        <v>9933</v>
      </c>
      <c r="P492" s="1" t="s">
        <v>9934</v>
      </c>
      <c r="Q492" s="1" t="s">
        <v>9935</v>
      </c>
      <c r="R492" s="1" t="s">
        <v>9936</v>
      </c>
      <c r="S492" s="1" t="s">
        <v>9937</v>
      </c>
      <c r="T492" s="1" t="s">
        <v>9938</v>
      </c>
      <c r="U492" s="1" t="s">
        <v>9939</v>
      </c>
      <c r="V492" s="1" t="s">
        <v>9940</v>
      </c>
      <c r="W492" s="1" t="s">
        <v>8377</v>
      </c>
      <c r="X492" s="1" t="s">
        <v>8378</v>
      </c>
      <c r="Y492" s="1" t="s">
        <v>9941</v>
      </c>
      <c r="Z492" s="1">
        <v>130.0</v>
      </c>
      <c r="AA492" s="1">
        <v>3.0</v>
      </c>
      <c r="AB492" s="1">
        <v>3.0</v>
      </c>
      <c r="AC492" s="1">
        <v>3.0</v>
      </c>
      <c r="AD492" s="1">
        <v>10.0</v>
      </c>
      <c r="AE492" s="1" t="s">
        <v>83</v>
      </c>
      <c r="AF492" s="1" t="s">
        <v>84</v>
      </c>
      <c r="AG492" s="1" t="s">
        <v>85</v>
      </c>
      <c r="AH492" s="1" t="s">
        <v>68</v>
      </c>
      <c r="AI492" s="1" t="s">
        <v>9942</v>
      </c>
      <c r="AJ492" s="1" t="s">
        <v>68</v>
      </c>
      <c r="AK492" s="1" t="s">
        <v>9943</v>
      </c>
      <c r="AL492" s="1" t="s">
        <v>9944</v>
      </c>
      <c r="AM492" s="1" t="s">
        <v>9945</v>
      </c>
      <c r="AN492" s="1">
        <v>2024.0</v>
      </c>
      <c r="AO492" s="1">
        <v>9.0</v>
      </c>
      <c r="AP492" s="1" t="s">
        <v>68</v>
      </c>
      <c r="AQ492" s="1" t="s">
        <v>68</v>
      </c>
      <c r="AR492" s="1" t="s">
        <v>68</v>
      </c>
      <c r="AS492" s="1" t="s">
        <v>68</v>
      </c>
      <c r="AT492" s="1" t="s">
        <v>68</v>
      </c>
      <c r="AU492" s="1" t="s">
        <v>68</v>
      </c>
      <c r="AV492" s="1" t="s">
        <v>68</v>
      </c>
      <c r="AW492" s="1">
        <v>1387111.0</v>
      </c>
      <c r="AX492" s="1" t="s">
        <v>9946</v>
      </c>
      <c r="AY492" s="3" t="str">
        <f>HYPERLINK("http://dx.doi.org/10.3389/fcomm.2024.1387111","http://dx.doi.org/10.3389/fcomm.2024.1387111")</f>
        <v>http://dx.doi.org/10.3389/fcomm.2024.1387111</v>
      </c>
      <c r="AZ492" s="1" t="s">
        <v>68</v>
      </c>
      <c r="BA492" s="1" t="s">
        <v>68</v>
      </c>
      <c r="BB492" s="1">
        <v>18.0</v>
      </c>
      <c r="BC492" s="1" t="s">
        <v>6475</v>
      </c>
      <c r="BD492" s="1" t="s">
        <v>197</v>
      </c>
      <c r="BE492" s="1" t="s">
        <v>6475</v>
      </c>
      <c r="BF492" s="1" t="s">
        <v>9947</v>
      </c>
      <c r="BG492" s="1" t="s">
        <v>68</v>
      </c>
      <c r="BH492" s="1" t="s">
        <v>94</v>
      </c>
      <c r="BI492" s="1" t="s">
        <v>68</v>
      </c>
      <c r="BJ492" s="1" t="s">
        <v>68</v>
      </c>
      <c r="BK492" s="1" t="s">
        <v>95</v>
      </c>
      <c r="BL492" s="1" t="s">
        <v>9948</v>
      </c>
      <c r="BM492" s="1" t="str">
        <f>HYPERLINK("https%3A%2F%2Fwww.webofscience.com%2Fwos%2Fwoscc%2Ffull-record%2FWOS:001322122600001","View Full Record in Web of Science")</f>
        <v>View Full Record in Web of Science</v>
      </c>
    </row>
    <row r="493" ht="12.75" customHeight="1">
      <c r="A493" s="1" t="s">
        <v>65</v>
      </c>
      <c r="B493" s="1" t="s">
        <v>9949</v>
      </c>
      <c r="C493" s="1" t="s">
        <v>9950</v>
      </c>
      <c r="D493" s="1" t="s">
        <v>68</v>
      </c>
      <c r="E493" s="1" t="s">
        <v>9951</v>
      </c>
      <c r="F493" s="1" t="s">
        <v>6616</v>
      </c>
      <c r="G493" s="1" t="s">
        <v>68</v>
      </c>
      <c r="H493" s="1" t="s">
        <v>71</v>
      </c>
      <c r="I493" s="1" t="s">
        <v>72</v>
      </c>
      <c r="J493" s="1" t="s">
        <v>68</v>
      </c>
      <c r="K493" s="1" t="s">
        <v>68</v>
      </c>
      <c r="L493" s="1" t="s">
        <v>68</v>
      </c>
      <c r="M493" s="1" t="s">
        <v>68</v>
      </c>
      <c r="N493" s="1" t="s">
        <v>9952</v>
      </c>
      <c r="O493" s="1" t="s">
        <v>9953</v>
      </c>
      <c r="P493" s="1" t="s">
        <v>9954</v>
      </c>
      <c r="Q493" s="1" t="s">
        <v>9955</v>
      </c>
      <c r="R493" s="1" t="s">
        <v>9956</v>
      </c>
      <c r="S493" s="1" t="s">
        <v>9957</v>
      </c>
      <c r="T493" s="1" t="s">
        <v>9958</v>
      </c>
      <c r="U493" s="1" t="s">
        <v>9959</v>
      </c>
      <c r="V493" s="1" t="s">
        <v>9960</v>
      </c>
      <c r="W493" s="1" t="s">
        <v>6959</v>
      </c>
      <c r="X493" s="1" t="s">
        <v>6960</v>
      </c>
      <c r="Y493" s="1" t="s">
        <v>9961</v>
      </c>
      <c r="Z493" s="1">
        <v>22.0</v>
      </c>
      <c r="AA493" s="1">
        <v>15.0</v>
      </c>
      <c r="AB493" s="1">
        <v>16.0</v>
      </c>
      <c r="AC493" s="1">
        <v>4.0</v>
      </c>
      <c r="AD493" s="1">
        <v>16.0</v>
      </c>
      <c r="AE493" s="1" t="s">
        <v>503</v>
      </c>
      <c r="AF493" s="1" t="s">
        <v>504</v>
      </c>
      <c r="AG493" s="1" t="s">
        <v>505</v>
      </c>
      <c r="AH493" s="1" t="s">
        <v>9962</v>
      </c>
      <c r="AI493" s="1" t="s">
        <v>68</v>
      </c>
      <c r="AJ493" s="1" t="s">
        <v>68</v>
      </c>
      <c r="AK493" s="1" t="s">
        <v>9963</v>
      </c>
      <c r="AL493" s="1" t="s">
        <v>9964</v>
      </c>
      <c r="AM493" s="1" t="s">
        <v>457</v>
      </c>
      <c r="AN493" s="1">
        <v>2023.0</v>
      </c>
      <c r="AO493" s="1">
        <v>5.0</v>
      </c>
      <c r="AP493" s="1">
        <v>3.0</v>
      </c>
      <c r="AQ493" s="1" t="s">
        <v>68</v>
      </c>
      <c r="AR493" s="1" t="s">
        <v>68</v>
      </c>
      <c r="AS493" s="1" t="s">
        <v>68</v>
      </c>
      <c r="AT493" s="1" t="s">
        <v>68</v>
      </c>
      <c r="AU493" s="1">
        <v>613.0</v>
      </c>
      <c r="AV493" s="1">
        <v>623.0</v>
      </c>
      <c r="AW493" s="1" t="s">
        <v>68</v>
      </c>
      <c r="AX493" s="1" t="s">
        <v>9965</v>
      </c>
      <c r="AY493" s="3" t="str">
        <f>HYPERLINK("http://dx.doi.org/10.1002/edn3.425","http://dx.doi.org/10.1002/edn3.425")</f>
        <v>http://dx.doi.org/10.1002/edn3.425</v>
      </c>
      <c r="AZ493" s="1" t="s">
        <v>68</v>
      </c>
      <c r="BA493" s="1" t="s">
        <v>68</v>
      </c>
      <c r="BB493" s="1">
        <v>11.0</v>
      </c>
      <c r="BC493" s="1" t="s">
        <v>332</v>
      </c>
      <c r="BD493" s="1" t="s">
        <v>197</v>
      </c>
      <c r="BE493" s="1" t="s">
        <v>333</v>
      </c>
      <c r="BF493" s="1" t="s">
        <v>9966</v>
      </c>
      <c r="BG493" s="1" t="s">
        <v>68</v>
      </c>
      <c r="BH493" s="1" t="s">
        <v>94</v>
      </c>
      <c r="BI493" s="1" t="s">
        <v>68</v>
      </c>
      <c r="BJ493" s="1" t="s">
        <v>68</v>
      </c>
      <c r="BK493" s="1" t="s">
        <v>95</v>
      </c>
      <c r="BL493" s="1" t="s">
        <v>9967</v>
      </c>
      <c r="BM493" s="1" t="str">
        <f>HYPERLINK("https%3A%2F%2Fwww.webofscience.com%2Fwos%2Fwoscc%2Ffull-record%2FWOS:001302756300008","View Full Record in Web of Science")</f>
        <v>View Full Record in Web of Science</v>
      </c>
    </row>
    <row r="494" ht="12.75" customHeight="1">
      <c r="A494" s="1" t="s">
        <v>65</v>
      </c>
      <c r="B494" s="1" t="s">
        <v>9968</v>
      </c>
      <c r="C494" s="1" t="s">
        <v>9969</v>
      </c>
      <c r="D494" s="1" t="s">
        <v>68</v>
      </c>
      <c r="E494" s="1" t="s">
        <v>9970</v>
      </c>
      <c r="F494" s="1" t="s">
        <v>3748</v>
      </c>
      <c r="G494" s="1" t="s">
        <v>68</v>
      </c>
      <c r="H494" s="1" t="s">
        <v>71</v>
      </c>
      <c r="I494" s="1" t="s">
        <v>72</v>
      </c>
      <c r="J494" s="1" t="s">
        <v>68</v>
      </c>
      <c r="K494" s="1" t="s">
        <v>68</v>
      </c>
      <c r="L494" s="1" t="s">
        <v>68</v>
      </c>
      <c r="M494" s="1" t="s">
        <v>68</v>
      </c>
      <c r="N494" s="1" t="s">
        <v>9971</v>
      </c>
      <c r="O494" s="1" t="s">
        <v>9972</v>
      </c>
      <c r="P494" s="1" t="s">
        <v>9973</v>
      </c>
      <c r="Q494" s="1" t="s">
        <v>9974</v>
      </c>
      <c r="R494" s="1" t="s">
        <v>9975</v>
      </c>
      <c r="S494" s="1" t="s">
        <v>9976</v>
      </c>
      <c r="T494" s="1" t="s">
        <v>9977</v>
      </c>
      <c r="U494" s="1" t="s">
        <v>9978</v>
      </c>
      <c r="V494" s="1" t="s">
        <v>9979</v>
      </c>
      <c r="W494" s="1" t="s">
        <v>9980</v>
      </c>
      <c r="X494" s="1" t="s">
        <v>9981</v>
      </c>
      <c r="Y494" s="1" t="s">
        <v>9982</v>
      </c>
      <c r="Z494" s="1">
        <v>61.0</v>
      </c>
      <c r="AA494" s="1">
        <v>12.0</v>
      </c>
      <c r="AB494" s="1">
        <v>17.0</v>
      </c>
      <c r="AC494" s="1">
        <v>0.0</v>
      </c>
      <c r="AD494" s="1">
        <v>7.0</v>
      </c>
      <c r="AE494" s="1" t="s">
        <v>1596</v>
      </c>
      <c r="AF494" s="1" t="s">
        <v>1182</v>
      </c>
      <c r="AG494" s="1" t="s">
        <v>1597</v>
      </c>
      <c r="AH494" s="1" t="s">
        <v>3761</v>
      </c>
      <c r="AI494" s="1" t="s">
        <v>3762</v>
      </c>
      <c r="AJ494" s="1" t="s">
        <v>68</v>
      </c>
      <c r="AK494" s="1" t="s">
        <v>3763</v>
      </c>
      <c r="AL494" s="1" t="s">
        <v>3764</v>
      </c>
      <c r="AM494" s="1" t="s">
        <v>1789</v>
      </c>
      <c r="AN494" s="1">
        <v>2022.0</v>
      </c>
      <c r="AO494" s="1">
        <v>134.0</v>
      </c>
      <c r="AP494" s="1" t="s">
        <v>68</v>
      </c>
      <c r="AQ494" s="1" t="s">
        <v>68</v>
      </c>
      <c r="AR494" s="1" t="s">
        <v>68</v>
      </c>
      <c r="AS494" s="1" t="s">
        <v>68</v>
      </c>
      <c r="AT494" s="1" t="s">
        <v>68</v>
      </c>
      <c r="AU494" s="1" t="s">
        <v>68</v>
      </c>
      <c r="AV494" s="1" t="s">
        <v>68</v>
      </c>
      <c r="AW494" s="1">
        <v>108451.0</v>
      </c>
      <c r="AX494" s="1" t="s">
        <v>9983</v>
      </c>
      <c r="AY494" s="3" t="str">
        <f>HYPERLINK("http://dx.doi.org/10.1016/j.ecolind.2021.108451","http://dx.doi.org/10.1016/j.ecolind.2021.108451")</f>
        <v>http://dx.doi.org/10.1016/j.ecolind.2021.108451</v>
      </c>
      <c r="AZ494" s="1" t="s">
        <v>68</v>
      </c>
      <c r="BA494" s="1" t="s">
        <v>68</v>
      </c>
      <c r="BB494" s="1">
        <v>10.0</v>
      </c>
      <c r="BC494" s="1" t="s">
        <v>3766</v>
      </c>
      <c r="BD494" s="1" t="s">
        <v>92</v>
      </c>
      <c r="BE494" s="1" t="s">
        <v>123</v>
      </c>
      <c r="BF494" s="1" t="s">
        <v>9984</v>
      </c>
      <c r="BG494" s="1" t="s">
        <v>68</v>
      </c>
      <c r="BH494" s="1" t="s">
        <v>94</v>
      </c>
      <c r="BI494" s="1" t="s">
        <v>68</v>
      </c>
      <c r="BJ494" s="1" t="s">
        <v>68</v>
      </c>
      <c r="BK494" s="1" t="s">
        <v>95</v>
      </c>
      <c r="BL494" s="1" t="s">
        <v>9985</v>
      </c>
      <c r="BM494" s="1" t="str">
        <f>HYPERLINK("https%3A%2F%2Fwww.webofscience.com%2Fwos%2Fwoscc%2Ffull-record%2FWOS:000761341200002","View Full Record in Web of Science")</f>
        <v>View Full Record in Web of Science</v>
      </c>
    </row>
    <row r="495" ht="12.75" customHeight="1">
      <c r="A495" s="1" t="s">
        <v>65</v>
      </c>
      <c r="B495" s="1" t="s">
        <v>9986</v>
      </c>
      <c r="C495" s="1" t="s">
        <v>9987</v>
      </c>
      <c r="D495" s="1" t="s">
        <v>68</v>
      </c>
      <c r="E495" s="1" t="s">
        <v>9988</v>
      </c>
      <c r="F495" s="1" t="s">
        <v>5080</v>
      </c>
      <c r="G495" s="1" t="s">
        <v>68</v>
      </c>
      <c r="H495" s="1" t="s">
        <v>71</v>
      </c>
      <c r="I495" s="1" t="s">
        <v>72</v>
      </c>
      <c r="J495" s="1" t="s">
        <v>68</v>
      </c>
      <c r="K495" s="1" t="s">
        <v>68</v>
      </c>
      <c r="L495" s="1" t="s">
        <v>68</v>
      </c>
      <c r="M495" s="1" t="s">
        <v>68</v>
      </c>
      <c r="N495" s="1" t="s">
        <v>9989</v>
      </c>
      <c r="O495" s="1" t="s">
        <v>9990</v>
      </c>
      <c r="P495" s="1" t="s">
        <v>9991</v>
      </c>
      <c r="Q495" s="1" t="s">
        <v>9992</v>
      </c>
      <c r="R495" s="1" t="s">
        <v>9993</v>
      </c>
      <c r="S495" s="1" t="s">
        <v>9994</v>
      </c>
      <c r="T495" s="1" t="s">
        <v>9995</v>
      </c>
      <c r="U495" s="1" t="s">
        <v>9996</v>
      </c>
      <c r="V495" s="1" t="s">
        <v>9997</v>
      </c>
      <c r="W495" s="1" t="s">
        <v>9998</v>
      </c>
      <c r="X495" s="1" t="s">
        <v>9999</v>
      </c>
      <c r="Y495" s="1" t="s">
        <v>10000</v>
      </c>
      <c r="Z495" s="1">
        <v>36.0</v>
      </c>
      <c r="AA495" s="1">
        <v>1.0</v>
      </c>
      <c r="AB495" s="1">
        <v>2.0</v>
      </c>
      <c r="AC495" s="1">
        <v>0.0</v>
      </c>
      <c r="AD495" s="1">
        <v>12.0</v>
      </c>
      <c r="AE495" s="1" t="s">
        <v>662</v>
      </c>
      <c r="AF495" s="1" t="s">
        <v>663</v>
      </c>
      <c r="AG495" s="1" t="s">
        <v>664</v>
      </c>
      <c r="AH495" s="1" t="s">
        <v>68</v>
      </c>
      <c r="AI495" s="1" t="s">
        <v>5092</v>
      </c>
      <c r="AJ495" s="1" t="s">
        <v>68</v>
      </c>
      <c r="AK495" s="1" t="s">
        <v>5080</v>
      </c>
      <c r="AL495" s="1" t="s">
        <v>5093</v>
      </c>
      <c r="AM495" s="1" t="s">
        <v>10001</v>
      </c>
      <c r="AN495" s="1">
        <v>2022.0</v>
      </c>
      <c r="AO495" s="1">
        <v>22.0</v>
      </c>
      <c r="AP495" s="1">
        <v>1.0</v>
      </c>
      <c r="AQ495" s="1" t="s">
        <v>68</v>
      </c>
      <c r="AR495" s="1" t="s">
        <v>68</v>
      </c>
      <c r="AS495" s="1" t="s">
        <v>68</v>
      </c>
      <c r="AT495" s="1" t="s">
        <v>68</v>
      </c>
      <c r="AU495" s="1" t="s">
        <v>68</v>
      </c>
      <c r="AV495" s="1" t="s">
        <v>68</v>
      </c>
      <c r="AW495" s="1">
        <v>665.0</v>
      </c>
      <c r="AX495" s="1" t="s">
        <v>10002</v>
      </c>
      <c r="AY495" s="3" t="str">
        <f>HYPERLINK("http://dx.doi.org/10.1186/s12889-022-13030-1","http://dx.doi.org/10.1186/s12889-022-13030-1")</f>
        <v>http://dx.doi.org/10.1186/s12889-022-13030-1</v>
      </c>
      <c r="AZ495" s="1" t="s">
        <v>68</v>
      </c>
      <c r="BA495" s="1" t="s">
        <v>68</v>
      </c>
      <c r="BB495" s="1">
        <v>12.0</v>
      </c>
      <c r="BC495" s="1" t="s">
        <v>3647</v>
      </c>
      <c r="BD495" s="1" t="s">
        <v>279</v>
      </c>
      <c r="BE495" s="1" t="s">
        <v>3647</v>
      </c>
      <c r="BF495" s="1" t="s">
        <v>10003</v>
      </c>
      <c r="BG495" s="1">
        <v>3.5387614E7</v>
      </c>
      <c r="BH495" s="1" t="s">
        <v>94</v>
      </c>
      <c r="BI495" s="1" t="s">
        <v>68</v>
      </c>
      <c r="BJ495" s="1" t="s">
        <v>68</v>
      </c>
      <c r="BK495" s="1" t="s">
        <v>95</v>
      </c>
      <c r="BL495" s="1" t="s">
        <v>10004</v>
      </c>
      <c r="BM495" s="1" t="str">
        <f>HYPERLINK("https%3A%2F%2Fwww.webofscience.com%2Fwos%2Fwoscc%2Ffull-record%2FWOS:000778981000003","View Full Record in Web of Science")</f>
        <v>View Full Record in Web of Science</v>
      </c>
    </row>
    <row r="496" ht="12.75" customHeight="1">
      <c r="A496" s="1" t="s">
        <v>65</v>
      </c>
      <c r="B496" s="1" t="s">
        <v>10005</v>
      </c>
      <c r="C496" s="1" t="s">
        <v>10006</v>
      </c>
      <c r="D496" s="1" t="s">
        <v>68</v>
      </c>
      <c r="E496" s="1" t="s">
        <v>10007</v>
      </c>
      <c r="F496" s="1" t="s">
        <v>4219</v>
      </c>
      <c r="G496" s="1" t="s">
        <v>68</v>
      </c>
      <c r="H496" s="1" t="s">
        <v>71</v>
      </c>
      <c r="I496" s="1" t="s">
        <v>72</v>
      </c>
      <c r="J496" s="1" t="s">
        <v>68</v>
      </c>
      <c r="K496" s="1" t="s">
        <v>68</v>
      </c>
      <c r="L496" s="1" t="s">
        <v>68</v>
      </c>
      <c r="M496" s="1" t="s">
        <v>68</v>
      </c>
      <c r="N496" s="1" t="s">
        <v>10008</v>
      </c>
      <c r="O496" s="1" t="s">
        <v>10009</v>
      </c>
      <c r="P496" s="1" t="s">
        <v>10010</v>
      </c>
      <c r="Q496" s="1" t="s">
        <v>10011</v>
      </c>
      <c r="R496" s="1" t="s">
        <v>10012</v>
      </c>
      <c r="S496" s="1" t="s">
        <v>10013</v>
      </c>
      <c r="T496" s="1" t="s">
        <v>10014</v>
      </c>
      <c r="U496" s="1" t="s">
        <v>10015</v>
      </c>
      <c r="V496" s="1" t="s">
        <v>10016</v>
      </c>
      <c r="W496" s="1" t="s">
        <v>10017</v>
      </c>
      <c r="X496" s="1" t="s">
        <v>10018</v>
      </c>
      <c r="Y496" s="1" t="s">
        <v>10019</v>
      </c>
      <c r="Z496" s="1">
        <v>49.0</v>
      </c>
      <c r="AA496" s="1">
        <v>3.0</v>
      </c>
      <c r="AB496" s="1">
        <v>3.0</v>
      </c>
      <c r="AC496" s="1">
        <v>1.0</v>
      </c>
      <c r="AD496" s="1">
        <v>7.0</v>
      </c>
      <c r="AE496" s="1" t="s">
        <v>247</v>
      </c>
      <c r="AF496" s="1" t="s">
        <v>248</v>
      </c>
      <c r="AG496" s="1" t="s">
        <v>351</v>
      </c>
      <c r="AH496" s="1" t="s">
        <v>68</v>
      </c>
      <c r="AI496" s="1" t="s">
        <v>4229</v>
      </c>
      <c r="AJ496" s="1" t="s">
        <v>68</v>
      </c>
      <c r="AK496" s="1" t="s">
        <v>4230</v>
      </c>
      <c r="AL496" s="1" t="s">
        <v>4231</v>
      </c>
      <c r="AM496" s="1" t="s">
        <v>1789</v>
      </c>
      <c r="AN496" s="1">
        <v>2024.0</v>
      </c>
      <c r="AO496" s="1">
        <v>11.0</v>
      </c>
      <c r="AP496" s="1">
        <v>1.0</v>
      </c>
      <c r="AQ496" s="1" t="s">
        <v>68</v>
      </c>
      <c r="AR496" s="1" t="s">
        <v>68</v>
      </c>
      <c r="AS496" s="1" t="s">
        <v>68</v>
      </c>
      <c r="AT496" s="1" t="s">
        <v>68</v>
      </c>
      <c r="AU496" s="1" t="s">
        <v>68</v>
      </c>
      <c r="AV496" s="1" t="s">
        <v>68</v>
      </c>
      <c r="AW496" s="1">
        <v>6.0</v>
      </c>
      <c r="AX496" s="1" t="s">
        <v>10020</v>
      </c>
      <c r="AY496" s="3" t="str">
        <f>HYPERLINK("http://dx.doi.org/10.3390/hydrology11010006","http://dx.doi.org/10.3390/hydrology11010006")</f>
        <v>http://dx.doi.org/10.3390/hydrology11010006</v>
      </c>
      <c r="AZ496" s="1" t="s">
        <v>68</v>
      </c>
      <c r="BA496" s="1" t="s">
        <v>68</v>
      </c>
      <c r="BB496" s="1">
        <v>16.0</v>
      </c>
      <c r="BC496" s="1" t="s">
        <v>2221</v>
      </c>
      <c r="BD496" s="1" t="s">
        <v>197</v>
      </c>
      <c r="BE496" s="1" t="s">
        <v>2221</v>
      </c>
      <c r="BF496" s="1" t="s">
        <v>10021</v>
      </c>
      <c r="BG496" s="1" t="s">
        <v>68</v>
      </c>
      <c r="BH496" s="1" t="s">
        <v>94</v>
      </c>
      <c r="BI496" s="1" t="s">
        <v>68</v>
      </c>
      <c r="BJ496" s="1" t="s">
        <v>68</v>
      </c>
      <c r="BK496" s="1" t="s">
        <v>95</v>
      </c>
      <c r="BL496" s="1" t="s">
        <v>10022</v>
      </c>
      <c r="BM496" s="1" t="str">
        <f>HYPERLINK("https%3A%2F%2Fwww.webofscience.com%2Fwos%2Fwoscc%2Ffull-record%2FWOS:001149199100001","View Full Record in Web of Science")</f>
        <v>View Full Record in Web of Science</v>
      </c>
    </row>
    <row r="497" ht="12.75" customHeight="1">
      <c r="A497" s="1" t="s">
        <v>65</v>
      </c>
      <c r="B497" s="1" t="s">
        <v>10023</v>
      </c>
      <c r="C497" s="1" t="s">
        <v>10024</v>
      </c>
      <c r="D497" s="1" t="s">
        <v>68</v>
      </c>
      <c r="E497" s="1" t="s">
        <v>10025</v>
      </c>
      <c r="F497" s="1" t="s">
        <v>437</v>
      </c>
      <c r="G497" s="1" t="s">
        <v>68</v>
      </c>
      <c r="H497" s="1" t="s">
        <v>71</v>
      </c>
      <c r="I497" s="1" t="s">
        <v>72</v>
      </c>
      <c r="J497" s="1" t="s">
        <v>68</v>
      </c>
      <c r="K497" s="1" t="s">
        <v>68</v>
      </c>
      <c r="L497" s="1" t="s">
        <v>68</v>
      </c>
      <c r="M497" s="1" t="s">
        <v>68</v>
      </c>
      <c r="N497" s="1" t="s">
        <v>10026</v>
      </c>
      <c r="O497" s="1" t="s">
        <v>10027</v>
      </c>
      <c r="P497" s="1" t="s">
        <v>10028</v>
      </c>
      <c r="Q497" s="1" t="s">
        <v>10029</v>
      </c>
      <c r="R497" s="1" t="s">
        <v>10030</v>
      </c>
      <c r="S497" s="1" t="s">
        <v>10031</v>
      </c>
      <c r="T497" s="1" t="s">
        <v>10032</v>
      </c>
      <c r="U497" s="1" t="s">
        <v>10033</v>
      </c>
      <c r="V497" s="1" t="s">
        <v>10034</v>
      </c>
      <c r="W497" s="1" t="s">
        <v>68</v>
      </c>
      <c r="X497" s="1" t="s">
        <v>68</v>
      </c>
      <c r="Y497" s="1" t="s">
        <v>68</v>
      </c>
      <c r="Z497" s="1">
        <v>82.0</v>
      </c>
      <c r="AA497" s="1">
        <v>0.0</v>
      </c>
      <c r="AB497" s="1">
        <v>0.0</v>
      </c>
      <c r="AC497" s="1">
        <v>1.0</v>
      </c>
      <c r="AD497" s="1">
        <v>1.0</v>
      </c>
      <c r="AE497" s="1" t="s">
        <v>450</v>
      </c>
      <c r="AF497" s="1" t="s">
        <v>451</v>
      </c>
      <c r="AG497" s="1" t="s">
        <v>452</v>
      </c>
      <c r="AH497" s="1" t="s">
        <v>453</v>
      </c>
      <c r="AI497" s="1" t="s">
        <v>454</v>
      </c>
      <c r="AJ497" s="1" t="s">
        <v>68</v>
      </c>
      <c r="AK497" s="1" t="s">
        <v>455</v>
      </c>
      <c r="AL497" s="1" t="s">
        <v>456</v>
      </c>
      <c r="AM497" s="1" t="s">
        <v>1789</v>
      </c>
      <c r="AN497" s="1">
        <v>2026.0</v>
      </c>
      <c r="AO497" s="1">
        <v>17.0</v>
      </c>
      <c r="AP497" s="1">
        <v>1.0</v>
      </c>
      <c r="AQ497" s="1" t="s">
        <v>68</v>
      </c>
      <c r="AR497" s="1" t="s">
        <v>68</v>
      </c>
      <c r="AS497" s="1" t="s">
        <v>68</v>
      </c>
      <c r="AT497" s="1" t="s">
        <v>68</v>
      </c>
      <c r="AU497" s="1" t="s">
        <v>68</v>
      </c>
      <c r="AV497" s="1" t="s">
        <v>68</v>
      </c>
      <c r="AW497" s="1">
        <v>102602.0</v>
      </c>
      <c r="AX497" s="1" t="s">
        <v>10035</v>
      </c>
      <c r="AY497" s="3" t="str">
        <f>HYPERLINK("http://dx.doi.org/10.1016/j.ttbdis.2025.102602","http://dx.doi.org/10.1016/j.ttbdis.2025.102602")</f>
        <v>http://dx.doi.org/10.1016/j.ttbdis.2025.102602</v>
      </c>
      <c r="AZ497" s="1" t="s">
        <v>68</v>
      </c>
      <c r="BA497" s="1" t="s">
        <v>5795</v>
      </c>
      <c r="BB497" s="1">
        <v>13.0</v>
      </c>
      <c r="BC497" s="1" t="s">
        <v>460</v>
      </c>
      <c r="BD497" s="1" t="s">
        <v>92</v>
      </c>
      <c r="BE497" s="1" t="s">
        <v>460</v>
      </c>
      <c r="BF497" s="1" t="s">
        <v>10036</v>
      </c>
      <c r="BG497" s="1">
        <v>4.1505835E7</v>
      </c>
      <c r="BH497" s="1" t="s">
        <v>94</v>
      </c>
      <c r="BI497" s="1" t="s">
        <v>68</v>
      </c>
      <c r="BJ497" s="1" t="s">
        <v>68</v>
      </c>
      <c r="BK497" s="1" t="s">
        <v>95</v>
      </c>
      <c r="BL497" s="1" t="s">
        <v>10037</v>
      </c>
      <c r="BM497" s="1" t="str">
        <f>HYPERLINK("https%3A%2F%2Fwww.webofscience.com%2Fwos%2Fwoscc%2Ffull-record%2FWOS:001663144500001","View Full Record in Web of Science")</f>
        <v>View Full Record in Web of Science</v>
      </c>
    </row>
    <row r="498" ht="12.75" customHeight="1">
      <c r="A498" s="1" t="s">
        <v>65</v>
      </c>
      <c r="B498" s="1" t="s">
        <v>10038</v>
      </c>
      <c r="C498" s="1" t="s">
        <v>10039</v>
      </c>
      <c r="D498" s="1" t="s">
        <v>68</v>
      </c>
      <c r="E498" s="1" t="s">
        <v>10040</v>
      </c>
      <c r="F498" s="1" t="s">
        <v>798</v>
      </c>
      <c r="G498" s="1" t="s">
        <v>68</v>
      </c>
      <c r="H498" s="1" t="s">
        <v>71</v>
      </c>
      <c r="I498" s="1" t="s">
        <v>72</v>
      </c>
      <c r="J498" s="1" t="s">
        <v>68</v>
      </c>
      <c r="K498" s="1" t="s">
        <v>68</v>
      </c>
      <c r="L498" s="1" t="s">
        <v>68</v>
      </c>
      <c r="M498" s="1" t="s">
        <v>68</v>
      </c>
      <c r="N498" s="1" t="s">
        <v>10041</v>
      </c>
      <c r="O498" s="1" t="s">
        <v>68</v>
      </c>
      <c r="P498" s="1" t="s">
        <v>10042</v>
      </c>
      <c r="Q498" s="1" t="s">
        <v>10043</v>
      </c>
      <c r="R498" s="1" t="s">
        <v>10044</v>
      </c>
      <c r="S498" s="1" t="s">
        <v>10045</v>
      </c>
      <c r="T498" s="1" t="s">
        <v>10046</v>
      </c>
      <c r="U498" s="1" t="s">
        <v>10047</v>
      </c>
      <c r="V498" s="1" t="s">
        <v>10048</v>
      </c>
      <c r="W498" s="1" t="s">
        <v>10049</v>
      </c>
      <c r="X498" s="1" t="s">
        <v>10050</v>
      </c>
      <c r="Y498" s="1" t="s">
        <v>10051</v>
      </c>
      <c r="Z498" s="1">
        <v>32.0</v>
      </c>
      <c r="AA498" s="1">
        <v>28.0</v>
      </c>
      <c r="AB498" s="1">
        <v>34.0</v>
      </c>
      <c r="AC498" s="1">
        <v>8.0</v>
      </c>
      <c r="AD498" s="1">
        <v>28.0</v>
      </c>
      <c r="AE498" s="1" t="s">
        <v>811</v>
      </c>
      <c r="AF498" s="1" t="s">
        <v>1666</v>
      </c>
      <c r="AG498" s="1" t="s">
        <v>1667</v>
      </c>
      <c r="AH498" s="1" t="s">
        <v>813</v>
      </c>
      <c r="AI498" s="1" t="s">
        <v>814</v>
      </c>
      <c r="AJ498" s="1" t="s">
        <v>68</v>
      </c>
      <c r="AK498" s="1" t="s">
        <v>815</v>
      </c>
      <c r="AL498" s="1" t="s">
        <v>816</v>
      </c>
      <c r="AM498" s="1" t="s">
        <v>3782</v>
      </c>
      <c r="AN498" s="1">
        <v>2022.0</v>
      </c>
      <c r="AO498" s="1">
        <v>270.0</v>
      </c>
      <c r="AP498" s="1" t="s">
        <v>68</v>
      </c>
      <c r="AQ498" s="1" t="s">
        <v>68</v>
      </c>
      <c r="AR498" s="1" t="s">
        <v>68</v>
      </c>
      <c r="AS498" s="1" t="s">
        <v>68</v>
      </c>
      <c r="AT498" s="1" t="s">
        <v>68</v>
      </c>
      <c r="AU498" s="1" t="s">
        <v>68</v>
      </c>
      <c r="AV498" s="1" t="s">
        <v>68</v>
      </c>
      <c r="AW498" s="1">
        <v>109556.0</v>
      </c>
      <c r="AX498" s="1" t="s">
        <v>10052</v>
      </c>
      <c r="AY498" s="3" t="str">
        <f>HYPERLINK("http://dx.doi.org/10.1016/j.biocon.2022.109556","http://dx.doi.org/10.1016/j.biocon.2022.109556")</f>
        <v>http://dx.doi.org/10.1016/j.biocon.2022.109556</v>
      </c>
      <c r="AZ498" s="1" t="s">
        <v>68</v>
      </c>
      <c r="BA498" s="1" t="s">
        <v>1010</v>
      </c>
      <c r="BB498" s="1">
        <v>11.0</v>
      </c>
      <c r="BC498" s="1" t="s">
        <v>122</v>
      </c>
      <c r="BD498" s="1" t="s">
        <v>92</v>
      </c>
      <c r="BE498" s="1" t="s">
        <v>123</v>
      </c>
      <c r="BF498" s="1" t="s">
        <v>10053</v>
      </c>
      <c r="BG498" s="1" t="s">
        <v>68</v>
      </c>
      <c r="BH498" s="1" t="s">
        <v>644</v>
      </c>
      <c r="BI498" s="1" t="s">
        <v>68</v>
      </c>
      <c r="BJ498" s="1" t="s">
        <v>68</v>
      </c>
      <c r="BK498" s="1" t="s">
        <v>95</v>
      </c>
      <c r="BL498" s="1" t="s">
        <v>10054</v>
      </c>
      <c r="BM498" s="1" t="str">
        <f>HYPERLINK("https%3A%2F%2Fwww.webofscience.com%2Fwos%2Fwoscc%2Ffull-record%2FWOS:000830839400002","View Full Record in Web of Science")</f>
        <v>View Full Record in Web of Science</v>
      </c>
    </row>
    <row r="499" ht="12.75" customHeight="1">
      <c r="A499" s="1" t="s">
        <v>65</v>
      </c>
      <c r="B499" s="1" t="s">
        <v>68</v>
      </c>
      <c r="C499" s="1" t="s">
        <v>68</v>
      </c>
      <c r="D499" s="1" t="s">
        <v>10055</v>
      </c>
      <c r="E499" s="1" t="s">
        <v>10056</v>
      </c>
      <c r="F499" s="1" t="s">
        <v>467</v>
      </c>
      <c r="G499" s="1" t="s">
        <v>68</v>
      </c>
      <c r="H499" s="1" t="s">
        <v>71</v>
      </c>
      <c r="I499" s="1" t="s">
        <v>4330</v>
      </c>
      <c r="J499" s="1" t="s">
        <v>68</v>
      </c>
      <c r="K499" s="1" t="s">
        <v>68</v>
      </c>
      <c r="L499" s="1" t="s">
        <v>68</v>
      </c>
      <c r="M499" s="1" t="s">
        <v>68</v>
      </c>
      <c r="N499" s="1" t="s">
        <v>9435</v>
      </c>
      <c r="O499" s="1" t="s">
        <v>68</v>
      </c>
      <c r="P499" s="1" t="s">
        <v>68</v>
      </c>
      <c r="Q499" s="1" t="s">
        <v>10057</v>
      </c>
      <c r="R499" s="1" t="s">
        <v>68</v>
      </c>
      <c r="S499" s="1" t="s">
        <v>10058</v>
      </c>
      <c r="T499" s="1" t="s">
        <v>68</v>
      </c>
      <c r="U499" s="1" t="s">
        <v>68</v>
      </c>
      <c r="V499" s="1" t="s">
        <v>68</v>
      </c>
      <c r="W499" s="1" t="s">
        <v>68</v>
      </c>
      <c r="X499" s="1" t="s">
        <v>68</v>
      </c>
      <c r="Y499" s="1" t="s">
        <v>68</v>
      </c>
      <c r="Z499" s="1">
        <v>1.0</v>
      </c>
      <c r="AA499" s="1">
        <v>0.0</v>
      </c>
      <c r="AB499" s="1">
        <v>0.0</v>
      </c>
      <c r="AC499" s="1">
        <v>0.0</v>
      </c>
      <c r="AD499" s="1">
        <v>0.0</v>
      </c>
      <c r="AE499" s="1" t="s">
        <v>83</v>
      </c>
      <c r="AF499" s="1" t="s">
        <v>84</v>
      </c>
      <c r="AG499" s="1" t="s">
        <v>85</v>
      </c>
      <c r="AH499" s="1" t="s">
        <v>68</v>
      </c>
      <c r="AI499" s="1" t="s">
        <v>479</v>
      </c>
      <c r="AJ499" s="1" t="s">
        <v>68</v>
      </c>
      <c r="AK499" s="1" t="s">
        <v>480</v>
      </c>
      <c r="AL499" s="1" t="s">
        <v>481</v>
      </c>
      <c r="AM499" s="1" t="s">
        <v>2708</v>
      </c>
      <c r="AN499" s="1">
        <v>2025.0</v>
      </c>
      <c r="AO499" s="1">
        <v>13.0</v>
      </c>
      <c r="AP499" s="1" t="s">
        <v>68</v>
      </c>
      <c r="AQ499" s="1" t="s">
        <v>68</v>
      </c>
      <c r="AR499" s="1" t="s">
        <v>68</v>
      </c>
      <c r="AS499" s="1" t="s">
        <v>68</v>
      </c>
      <c r="AT499" s="1" t="s">
        <v>68</v>
      </c>
      <c r="AU499" s="1" t="s">
        <v>68</v>
      </c>
      <c r="AV499" s="1" t="s">
        <v>68</v>
      </c>
      <c r="AW499" s="1">
        <v>1659157.0</v>
      </c>
      <c r="AX499" s="1" t="s">
        <v>10059</v>
      </c>
      <c r="AY499" s="3" t="str">
        <f>HYPERLINK("http://dx.doi.org/10.3389/fenvs.2025.1659157","http://dx.doi.org/10.3389/fenvs.2025.1659157")</f>
        <v>http://dx.doi.org/10.3389/fenvs.2025.1659157</v>
      </c>
      <c r="AZ499" s="1" t="s">
        <v>68</v>
      </c>
      <c r="BA499" s="1" t="s">
        <v>68</v>
      </c>
      <c r="BB499" s="1">
        <v>1.0</v>
      </c>
      <c r="BC499" s="1" t="s">
        <v>484</v>
      </c>
      <c r="BD499" s="1" t="s">
        <v>92</v>
      </c>
      <c r="BE499" s="1" t="s">
        <v>333</v>
      </c>
      <c r="BF499" s="1" t="s">
        <v>10060</v>
      </c>
      <c r="BG499" s="1" t="s">
        <v>68</v>
      </c>
      <c r="BH499" s="1" t="s">
        <v>94</v>
      </c>
      <c r="BI499" s="1" t="s">
        <v>68</v>
      </c>
      <c r="BJ499" s="1" t="s">
        <v>68</v>
      </c>
      <c r="BK499" s="1" t="s">
        <v>95</v>
      </c>
      <c r="BL499" s="1" t="s">
        <v>10061</v>
      </c>
      <c r="BM499" s="1" t="str">
        <f>HYPERLINK("https%3A%2F%2Fwww.webofscience.com%2Fwos%2Fwoscc%2Ffull-record%2FWOS:001537265300001","View Full Record in Web of Science")</f>
        <v>View Full Record in Web of Science</v>
      </c>
    </row>
    <row r="500" ht="12.75" customHeight="1">
      <c r="A500" s="1" t="s">
        <v>65</v>
      </c>
      <c r="B500" s="1" t="s">
        <v>10062</v>
      </c>
      <c r="C500" s="1" t="s">
        <v>10063</v>
      </c>
      <c r="D500" s="1" t="s">
        <v>68</v>
      </c>
      <c r="E500" s="1" t="s">
        <v>10064</v>
      </c>
      <c r="F500" s="1" t="s">
        <v>10065</v>
      </c>
      <c r="G500" s="1" t="s">
        <v>68</v>
      </c>
      <c r="H500" s="1" t="s">
        <v>71</v>
      </c>
      <c r="I500" s="1" t="s">
        <v>1609</v>
      </c>
      <c r="J500" s="1" t="s">
        <v>68</v>
      </c>
      <c r="K500" s="1" t="s">
        <v>68</v>
      </c>
      <c r="L500" s="1" t="s">
        <v>68</v>
      </c>
      <c r="M500" s="1" t="s">
        <v>68</v>
      </c>
      <c r="N500" s="1" t="s">
        <v>10066</v>
      </c>
      <c r="O500" s="1" t="s">
        <v>10067</v>
      </c>
      <c r="P500" s="1" t="s">
        <v>10068</v>
      </c>
      <c r="Q500" s="1" t="s">
        <v>10069</v>
      </c>
      <c r="R500" s="1" t="s">
        <v>10070</v>
      </c>
      <c r="S500" s="1" t="s">
        <v>10071</v>
      </c>
      <c r="T500" s="1" t="s">
        <v>10072</v>
      </c>
      <c r="U500" s="1" t="s">
        <v>10073</v>
      </c>
      <c r="V500" s="1" t="s">
        <v>10074</v>
      </c>
      <c r="W500" s="1" t="s">
        <v>10075</v>
      </c>
      <c r="X500" s="1" t="s">
        <v>10076</v>
      </c>
      <c r="Y500" s="1" t="s">
        <v>10077</v>
      </c>
      <c r="Z500" s="1">
        <v>182.0</v>
      </c>
      <c r="AA500" s="1">
        <v>1.0</v>
      </c>
      <c r="AB500" s="1">
        <v>1.0</v>
      </c>
      <c r="AC500" s="1">
        <v>5.0</v>
      </c>
      <c r="AD500" s="1">
        <v>5.0</v>
      </c>
      <c r="AE500" s="1" t="s">
        <v>422</v>
      </c>
      <c r="AF500" s="1" t="s">
        <v>423</v>
      </c>
      <c r="AG500" s="1" t="s">
        <v>424</v>
      </c>
      <c r="AH500" s="1" t="s">
        <v>10078</v>
      </c>
      <c r="AI500" s="1" t="s">
        <v>10079</v>
      </c>
      <c r="AJ500" s="1" t="s">
        <v>68</v>
      </c>
      <c r="AK500" s="1" t="s">
        <v>10080</v>
      </c>
      <c r="AL500" s="1" t="s">
        <v>10081</v>
      </c>
      <c r="AM500" s="1" t="s">
        <v>10082</v>
      </c>
      <c r="AN500" s="1">
        <v>2025.0</v>
      </c>
      <c r="AO500" s="1" t="s">
        <v>68</v>
      </c>
      <c r="AP500" s="1" t="s">
        <v>68</v>
      </c>
      <c r="AQ500" s="1" t="s">
        <v>68</v>
      </c>
      <c r="AR500" s="1" t="s">
        <v>68</v>
      </c>
      <c r="AS500" s="1" t="s">
        <v>68</v>
      </c>
      <c r="AT500" s="1" t="s">
        <v>68</v>
      </c>
      <c r="AU500" s="1" t="s">
        <v>68</v>
      </c>
      <c r="AV500" s="1" t="s">
        <v>68</v>
      </c>
      <c r="AW500" s="1" t="s">
        <v>68</v>
      </c>
      <c r="AX500" s="1" t="s">
        <v>10083</v>
      </c>
      <c r="AY500" s="3" t="str">
        <f>HYPERLINK("http://dx.doi.org/10.1093/sysbio/syaf064","http://dx.doi.org/10.1093/sysbio/syaf064")</f>
        <v>http://dx.doi.org/10.1093/sysbio/syaf064</v>
      </c>
      <c r="AZ500" s="1" t="s">
        <v>68</v>
      </c>
      <c r="BA500" s="1" t="s">
        <v>4461</v>
      </c>
      <c r="BB500" s="1">
        <v>25.0</v>
      </c>
      <c r="BC500" s="1" t="s">
        <v>4567</v>
      </c>
      <c r="BD500" s="1" t="s">
        <v>92</v>
      </c>
      <c r="BE500" s="1" t="s">
        <v>4567</v>
      </c>
      <c r="BF500" s="1" t="s">
        <v>10084</v>
      </c>
      <c r="BG500" s="1">
        <v>4.0996481E7</v>
      </c>
      <c r="BH500" s="1" t="s">
        <v>867</v>
      </c>
      <c r="BI500" s="1" t="s">
        <v>68</v>
      </c>
      <c r="BJ500" s="1" t="s">
        <v>68</v>
      </c>
      <c r="BK500" s="1" t="s">
        <v>95</v>
      </c>
      <c r="BL500" s="1" t="s">
        <v>10085</v>
      </c>
      <c r="BM500" s="1" t="str">
        <f>HYPERLINK("https%3A%2F%2Fwww.webofscience.com%2Fwos%2Fwoscc%2Ffull-record%2FWOS:001611185500001","View Full Record in Web of Science")</f>
        <v>View Full Record in Web of Science</v>
      </c>
    </row>
    <row r="501" ht="12.75" customHeight="1">
      <c r="A501" s="1" t="s">
        <v>65</v>
      </c>
      <c r="B501" s="1" t="s">
        <v>10086</v>
      </c>
      <c r="C501" s="1" t="s">
        <v>10087</v>
      </c>
      <c r="D501" s="1" t="s">
        <v>68</v>
      </c>
      <c r="E501" s="1" t="s">
        <v>10088</v>
      </c>
      <c r="F501" s="1" t="s">
        <v>1245</v>
      </c>
      <c r="G501" s="1" t="s">
        <v>68</v>
      </c>
      <c r="H501" s="1" t="s">
        <v>71</v>
      </c>
      <c r="I501" s="1" t="s">
        <v>72</v>
      </c>
      <c r="J501" s="1" t="s">
        <v>68</v>
      </c>
      <c r="K501" s="1" t="s">
        <v>68</v>
      </c>
      <c r="L501" s="1" t="s">
        <v>68</v>
      </c>
      <c r="M501" s="1" t="s">
        <v>68</v>
      </c>
      <c r="N501" s="1" t="s">
        <v>10089</v>
      </c>
      <c r="O501" s="1" t="s">
        <v>10090</v>
      </c>
      <c r="P501" s="1" t="s">
        <v>10091</v>
      </c>
      <c r="Q501" s="1" t="s">
        <v>10092</v>
      </c>
      <c r="R501" s="1" t="s">
        <v>10093</v>
      </c>
      <c r="S501" s="1" t="s">
        <v>10094</v>
      </c>
      <c r="T501" s="1" t="s">
        <v>10095</v>
      </c>
      <c r="U501" s="1" t="s">
        <v>10096</v>
      </c>
      <c r="V501" s="1" t="s">
        <v>10097</v>
      </c>
      <c r="W501" s="1" t="s">
        <v>10098</v>
      </c>
      <c r="X501" s="1" t="s">
        <v>10099</v>
      </c>
      <c r="Y501" s="1" t="s">
        <v>10100</v>
      </c>
      <c r="Z501" s="1">
        <v>88.0</v>
      </c>
      <c r="AA501" s="1">
        <v>0.0</v>
      </c>
      <c r="AB501" s="1">
        <v>0.0</v>
      </c>
      <c r="AC501" s="1">
        <v>2.0</v>
      </c>
      <c r="AD501" s="1">
        <v>4.0</v>
      </c>
      <c r="AE501" s="1" t="s">
        <v>1258</v>
      </c>
      <c r="AF501" s="1" t="s">
        <v>1259</v>
      </c>
      <c r="AG501" s="1" t="s">
        <v>1260</v>
      </c>
      <c r="AH501" s="1" t="s">
        <v>1261</v>
      </c>
      <c r="AI501" s="1" t="s">
        <v>68</v>
      </c>
      <c r="AJ501" s="1" t="s">
        <v>68</v>
      </c>
      <c r="AK501" s="1" t="s">
        <v>1262</v>
      </c>
      <c r="AL501" s="1" t="s">
        <v>1263</v>
      </c>
      <c r="AM501" s="1" t="s">
        <v>3782</v>
      </c>
      <c r="AN501" s="1">
        <v>2025.0</v>
      </c>
      <c r="AO501" s="1">
        <v>16.0</v>
      </c>
      <c r="AP501" s="1">
        <v>2.0</v>
      </c>
      <c r="AQ501" s="1" t="s">
        <v>68</v>
      </c>
      <c r="AR501" s="1" t="s">
        <v>68</v>
      </c>
      <c r="AS501" s="1" t="s">
        <v>68</v>
      </c>
      <c r="AT501" s="1" t="s">
        <v>68</v>
      </c>
      <c r="AU501" s="1">
        <v>531.0</v>
      </c>
      <c r="AV501" s="1">
        <v>544.0</v>
      </c>
      <c r="AW501" s="1" t="s">
        <v>68</v>
      </c>
      <c r="AX501" s="1" t="s">
        <v>10101</v>
      </c>
      <c r="AY501" s="3" t="str">
        <f>HYPERLINK("http://dx.doi.org/10.3391/mbi.2025.16.2.12","http://dx.doi.org/10.3391/mbi.2025.16.2.12")</f>
        <v>http://dx.doi.org/10.3391/mbi.2025.16.2.12</v>
      </c>
      <c r="AZ501" s="1" t="s">
        <v>68</v>
      </c>
      <c r="BA501" s="1" t="s">
        <v>68</v>
      </c>
      <c r="BB501" s="1">
        <v>14.0</v>
      </c>
      <c r="BC501" s="1" t="s">
        <v>1171</v>
      </c>
      <c r="BD501" s="1" t="s">
        <v>92</v>
      </c>
      <c r="BE501" s="1" t="s">
        <v>1172</v>
      </c>
      <c r="BF501" s="1" t="s">
        <v>10102</v>
      </c>
      <c r="BG501" s="1" t="s">
        <v>68</v>
      </c>
      <c r="BH501" s="1" t="s">
        <v>462</v>
      </c>
      <c r="BI501" s="1" t="s">
        <v>68</v>
      </c>
      <c r="BJ501" s="1" t="s">
        <v>68</v>
      </c>
      <c r="BK501" s="1" t="s">
        <v>95</v>
      </c>
      <c r="BL501" s="1" t="s">
        <v>10103</v>
      </c>
      <c r="BM501" s="1" t="str">
        <f>HYPERLINK("https%3A%2F%2Fwww.webofscience.com%2Fwos%2Fwoscc%2Ffull-record%2FWOS:001529456000012","View Full Record in Web of Science")</f>
        <v>View Full Record in Web of Science</v>
      </c>
    </row>
    <row r="502" ht="12.75" customHeight="1">
      <c r="A502" s="1" t="s">
        <v>65</v>
      </c>
      <c r="B502" s="1" t="s">
        <v>10104</v>
      </c>
      <c r="C502" s="1" t="s">
        <v>10105</v>
      </c>
      <c r="D502" s="1" t="s">
        <v>68</v>
      </c>
      <c r="E502" s="1" t="s">
        <v>10106</v>
      </c>
      <c r="F502" s="1" t="s">
        <v>6499</v>
      </c>
      <c r="G502" s="1" t="s">
        <v>68</v>
      </c>
      <c r="H502" s="1" t="s">
        <v>71</v>
      </c>
      <c r="I502" s="1" t="s">
        <v>72</v>
      </c>
      <c r="J502" s="1" t="s">
        <v>68</v>
      </c>
      <c r="K502" s="1" t="s">
        <v>68</v>
      </c>
      <c r="L502" s="1" t="s">
        <v>68</v>
      </c>
      <c r="M502" s="1" t="s">
        <v>68</v>
      </c>
      <c r="N502" s="1" t="s">
        <v>10107</v>
      </c>
      <c r="O502" s="1" t="s">
        <v>10108</v>
      </c>
      <c r="P502" s="1" t="s">
        <v>10109</v>
      </c>
      <c r="Q502" s="1" t="s">
        <v>10110</v>
      </c>
      <c r="R502" s="1" t="s">
        <v>10111</v>
      </c>
      <c r="S502" s="1" t="s">
        <v>10112</v>
      </c>
      <c r="T502" s="1" t="s">
        <v>10113</v>
      </c>
      <c r="U502" s="1" t="s">
        <v>10114</v>
      </c>
      <c r="V502" s="1" t="s">
        <v>10115</v>
      </c>
      <c r="W502" s="1" t="s">
        <v>10116</v>
      </c>
      <c r="X502" s="1" t="s">
        <v>10117</v>
      </c>
      <c r="Y502" s="1" t="s">
        <v>10118</v>
      </c>
      <c r="Z502" s="1">
        <v>82.0</v>
      </c>
      <c r="AA502" s="1">
        <v>8.0</v>
      </c>
      <c r="AB502" s="1">
        <v>8.0</v>
      </c>
      <c r="AC502" s="1">
        <v>2.0</v>
      </c>
      <c r="AD502" s="1">
        <v>19.0</v>
      </c>
      <c r="AE502" s="1" t="s">
        <v>503</v>
      </c>
      <c r="AF502" s="1" t="s">
        <v>504</v>
      </c>
      <c r="AG502" s="1" t="s">
        <v>505</v>
      </c>
      <c r="AH502" s="1" t="s">
        <v>68</v>
      </c>
      <c r="AI502" s="1" t="s">
        <v>6512</v>
      </c>
      <c r="AJ502" s="1" t="s">
        <v>68</v>
      </c>
      <c r="AK502" s="1" t="s">
        <v>6513</v>
      </c>
      <c r="AL502" s="1" t="s">
        <v>6514</v>
      </c>
      <c r="AM502" s="1" t="s">
        <v>428</v>
      </c>
      <c r="AN502" s="1">
        <v>2023.0</v>
      </c>
      <c r="AO502" s="1">
        <v>5.0</v>
      </c>
      <c r="AP502" s="1">
        <v>10.0</v>
      </c>
      <c r="AQ502" s="1" t="s">
        <v>68</v>
      </c>
      <c r="AR502" s="1" t="s">
        <v>68</v>
      </c>
      <c r="AS502" s="1" t="s">
        <v>68</v>
      </c>
      <c r="AT502" s="1" t="s">
        <v>68</v>
      </c>
      <c r="AU502" s="1" t="s">
        <v>68</v>
      </c>
      <c r="AV502" s="1" t="s">
        <v>68</v>
      </c>
      <c r="AW502" s="1" t="s">
        <v>68</v>
      </c>
      <c r="AX502" s="1" t="s">
        <v>10119</v>
      </c>
      <c r="AY502" s="3" t="str">
        <f>HYPERLINK("http://dx.doi.org/10.1111/csp2.13015","http://dx.doi.org/10.1111/csp2.13015")</f>
        <v>http://dx.doi.org/10.1111/csp2.13015</v>
      </c>
      <c r="AZ502" s="1" t="s">
        <v>68</v>
      </c>
      <c r="BA502" s="1" t="s">
        <v>3428</v>
      </c>
      <c r="BB502" s="1">
        <v>15.0</v>
      </c>
      <c r="BC502" s="1" t="s">
        <v>1171</v>
      </c>
      <c r="BD502" s="1" t="s">
        <v>92</v>
      </c>
      <c r="BE502" s="1" t="s">
        <v>1172</v>
      </c>
      <c r="BF502" s="1" t="s">
        <v>10120</v>
      </c>
      <c r="BG502" s="1" t="s">
        <v>68</v>
      </c>
      <c r="BH502" s="1" t="s">
        <v>94</v>
      </c>
      <c r="BI502" s="1" t="s">
        <v>68</v>
      </c>
      <c r="BJ502" s="1" t="s">
        <v>68</v>
      </c>
      <c r="BK502" s="1" t="s">
        <v>95</v>
      </c>
      <c r="BL502" s="1" t="s">
        <v>10121</v>
      </c>
      <c r="BM502" s="1" t="str">
        <f>HYPERLINK("https%3A%2F%2Fwww.webofscience.com%2Fwos%2Fwoscc%2Ffull-record%2FWOS:001064415500001","View Full Record in Web of Science")</f>
        <v>View Full Record in Web of Science</v>
      </c>
    </row>
    <row r="503" ht="12.75" customHeight="1">
      <c r="A503" s="1" t="s">
        <v>65</v>
      </c>
      <c r="B503" s="1" t="s">
        <v>10122</v>
      </c>
      <c r="C503" s="1" t="s">
        <v>10123</v>
      </c>
      <c r="D503" s="1" t="s">
        <v>68</v>
      </c>
      <c r="E503" s="1" t="s">
        <v>10124</v>
      </c>
      <c r="F503" s="1" t="s">
        <v>10125</v>
      </c>
      <c r="G503" s="1" t="s">
        <v>68</v>
      </c>
      <c r="H503" s="1" t="s">
        <v>71</v>
      </c>
      <c r="I503" s="1" t="s">
        <v>72</v>
      </c>
      <c r="J503" s="1" t="s">
        <v>68</v>
      </c>
      <c r="K503" s="1" t="s">
        <v>68</v>
      </c>
      <c r="L503" s="1" t="s">
        <v>68</v>
      </c>
      <c r="M503" s="1" t="s">
        <v>68</v>
      </c>
      <c r="N503" s="1" t="s">
        <v>10126</v>
      </c>
      <c r="O503" s="1" t="s">
        <v>10127</v>
      </c>
      <c r="P503" s="1" t="s">
        <v>10128</v>
      </c>
      <c r="Q503" s="1" t="s">
        <v>10129</v>
      </c>
      <c r="R503" s="1" t="s">
        <v>10130</v>
      </c>
      <c r="S503" s="1" t="s">
        <v>10131</v>
      </c>
      <c r="T503" s="1" t="s">
        <v>10132</v>
      </c>
      <c r="U503" s="1" t="s">
        <v>10133</v>
      </c>
      <c r="V503" s="1" t="s">
        <v>68</v>
      </c>
      <c r="W503" s="1" t="s">
        <v>10134</v>
      </c>
      <c r="X503" s="1" t="s">
        <v>10135</v>
      </c>
      <c r="Y503" s="1" t="s">
        <v>10136</v>
      </c>
      <c r="Z503" s="1">
        <v>107.0</v>
      </c>
      <c r="AA503" s="1">
        <v>0.0</v>
      </c>
      <c r="AB503" s="1">
        <v>0.0</v>
      </c>
      <c r="AC503" s="1">
        <v>2.0</v>
      </c>
      <c r="AD503" s="1">
        <v>2.0</v>
      </c>
      <c r="AE503" s="1" t="s">
        <v>2239</v>
      </c>
      <c r="AF503" s="1" t="s">
        <v>2240</v>
      </c>
      <c r="AG503" s="1" t="s">
        <v>2241</v>
      </c>
      <c r="AH503" s="1" t="s">
        <v>68</v>
      </c>
      <c r="AI503" s="1" t="s">
        <v>10137</v>
      </c>
      <c r="AJ503" s="1" t="s">
        <v>68</v>
      </c>
      <c r="AK503" s="1" t="s">
        <v>10138</v>
      </c>
      <c r="AL503" s="1" t="s">
        <v>10139</v>
      </c>
      <c r="AM503" s="1" t="s">
        <v>10140</v>
      </c>
      <c r="AN503" s="1">
        <v>2026.0</v>
      </c>
      <c r="AO503" s="1">
        <v>10.0</v>
      </c>
      <c r="AP503" s="1" t="s">
        <v>68</v>
      </c>
      <c r="AQ503" s="1" t="s">
        <v>68</v>
      </c>
      <c r="AR503" s="1" t="s">
        <v>68</v>
      </c>
      <c r="AS503" s="1" t="s">
        <v>68</v>
      </c>
      <c r="AT503" s="1" t="s">
        <v>68</v>
      </c>
      <c r="AU503" s="1">
        <v>41.0</v>
      </c>
      <c r="AV503" s="1">
        <v>67.0</v>
      </c>
      <c r="AW503" s="1" t="s">
        <v>68</v>
      </c>
      <c r="AX503" s="1" t="s">
        <v>10141</v>
      </c>
      <c r="AY503" s="3" t="str">
        <f>HYPERLINK("http://dx.doi.org/10.3897/mbmg.10.139674","http://dx.doi.org/10.3897/mbmg.10.139674")</f>
        <v>http://dx.doi.org/10.3897/mbmg.10.139674</v>
      </c>
      <c r="AZ503" s="1" t="s">
        <v>68</v>
      </c>
      <c r="BA503" s="1" t="s">
        <v>68</v>
      </c>
      <c r="BB503" s="1">
        <v>27.0</v>
      </c>
      <c r="BC503" s="1" t="s">
        <v>10142</v>
      </c>
      <c r="BD503" s="1" t="s">
        <v>197</v>
      </c>
      <c r="BE503" s="1" t="s">
        <v>10143</v>
      </c>
      <c r="BF503" s="1" t="s">
        <v>10144</v>
      </c>
      <c r="BG503" s="1" t="s">
        <v>68</v>
      </c>
      <c r="BH503" s="1" t="s">
        <v>94</v>
      </c>
      <c r="BI503" s="1" t="s">
        <v>68</v>
      </c>
      <c r="BJ503" s="1" t="s">
        <v>68</v>
      </c>
      <c r="BK503" s="1" t="s">
        <v>95</v>
      </c>
      <c r="BL503" s="1" t="s">
        <v>10145</v>
      </c>
      <c r="BM503" s="1" t="str">
        <f>HYPERLINK("https%3A%2F%2Fwww.webofscience.com%2Fwos%2Fwoscc%2Ffull-record%2FWOS:001684293200001","View Full Record in Web of Science")</f>
        <v>View Full Record in Web of Science</v>
      </c>
    </row>
    <row r="504" ht="12.75" customHeight="1">
      <c r="A504" s="1" t="s">
        <v>65</v>
      </c>
      <c r="B504" s="1" t="s">
        <v>10146</v>
      </c>
      <c r="C504" s="1" t="s">
        <v>10147</v>
      </c>
      <c r="D504" s="1" t="s">
        <v>68</v>
      </c>
      <c r="E504" s="1" t="s">
        <v>10148</v>
      </c>
      <c r="F504" s="1" t="s">
        <v>4849</v>
      </c>
      <c r="G504" s="1" t="s">
        <v>68</v>
      </c>
      <c r="H504" s="1" t="s">
        <v>71</v>
      </c>
      <c r="I504" s="1" t="s">
        <v>72</v>
      </c>
      <c r="J504" s="1" t="s">
        <v>68</v>
      </c>
      <c r="K504" s="1" t="s">
        <v>68</v>
      </c>
      <c r="L504" s="1" t="s">
        <v>68</v>
      </c>
      <c r="M504" s="1" t="s">
        <v>68</v>
      </c>
      <c r="N504" s="1" t="s">
        <v>10149</v>
      </c>
      <c r="O504" s="1" t="s">
        <v>10150</v>
      </c>
      <c r="P504" s="1" t="s">
        <v>10151</v>
      </c>
      <c r="Q504" s="1" t="s">
        <v>10152</v>
      </c>
      <c r="R504" s="1" t="s">
        <v>10153</v>
      </c>
      <c r="S504" s="1" t="s">
        <v>10154</v>
      </c>
      <c r="T504" s="1" t="s">
        <v>10155</v>
      </c>
      <c r="U504" s="1" t="s">
        <v>68</v>
      </c>
      <c r="V504" s="1" t="s">
        <v>10156</v>
      </c>
      <c r="W504" s="1" t="s">
        <v>68</v>
      </c>
      <c r="X504" s="1" t="s">
        <v>68</v>
      </c>
      <c r="Y504" s="1" t="s">
        <v>68</v>
      </c>
      <c r="Z504" s="1">
        <v>16.0</v>
      </c>
      <c r="AA504" s="1">
        <v>2.0</v>
      </c>
      <c r="AB504" s="1">
        <v>2.0</v>
      </c>
      <c r="AC504" s="1">
        <v>0.0</v>
      </c>
      <c r="AD504" s="1">
        <v>3.0</v>
      </c>
      <c r="AE504" s="1" t="s">
        <v>10157</v>
      </c>
      <c r="AF504" s="1" t="s">
        <v>10158</v>
      </c>
      <c r="AG504" s="1" t="s">
        <v>10159</v>
      </c>
      <c r="AH504" s="1" t="s">
        <v>4861</v>
      </c>
      <c r="AI504" s="1" t="s">
        <v>68</v>
      </c>
      <c r="AJ504" s="1" t="s">
        <v>68</v>
      </c>
      <c r="AK504" s="1" t="s">
        <v>4862</v>
      </c>
      <c r="AL504" s="1" t="s">
        <v>4863</v>
      </c>
      <c r="AM504" s="1" t="s">
        <v>2194</v>
      </c>
      <c r="AN504" s="1">
        <v>2024.0</v>
      </c>
      <c r="AO504" s="1">
        <v>19.0</v>
      </c>
      <c r="AP504" s="1">
        <v>1.0</v>
      </c>
      <c r="AQ504" s="1" t="s">
        <v>68</v>
      </c>
      <c r="AR504" s="1" t="s">
        <v>68</v>
      </c>
      <c r="AS504" s="1" t="s">
        <v>68</v>
      </c>
      <c r="AT504" s="1" t="s">
        <v>68</v>
      </c>
      <c r="AU504" s="1" t="s">
        <v>68</v>
      </c>
      <c r="AV504" s="1" t="s">
        <v>68</v>
      </c>
      <c r="AW504" s="1">
        <v>10.0</v>
      </c>
      <c r="AX504" s="1" t="s">
        <v>10160</v>
      </c>
      <c r="AY504" s="3" t="str">
        <f>HYPERLINK("http://dx.doi.org/10.5751/ACE-02595-190110","http://dx.doi.org/10.5751/ACE-02595-190110")</f>
        <v>http://dx.doi.org/10.5751/ACE-02595-190110</v>
      </c>
      <c r="AZ504" s="1" t="s">
        <v>68</v>
      </c>
      <c r="BA504" s="1" t="s">
        <v>68</v>
      </c>
      <c r="BB504" s="1">
        <v>37.0</v>
      </c>
      <c r="BC504" s="1" t="s">
        <v>4864</v>
      </c>
      <c r="BD504" s="1" t="s">
        <v>92</v>
      </c>
      <c r="BE504" s="1" t="s">
        <v>4865</v>
      </c>
      <c r="BF504" s="1" t="s">
        <v>10161</v>
      </c>
      <c r="BG504" s="1" t="s">
        <v>68</v>
      </c>
      <c r="BH504" s="1" t="s">
        <v>94</v>
      </c>
      <c r="BI504" s="1" t="s">
        <v>68</v>
      </c>
      <c r="BJ504" s="1" t="s">
        <v>68</v>
      </c>
      <c r="BK504" s="1" t="s">
        <v>95</v>
      </c>
      <c r="BL504" s="1" t="s">
        <v>10162</v>
      </c>
      <c r="BM504" s="1" t="str">
        <f>HYPERLINK("https%3A%2F%2Fwww.webofscience.com%2Fwos%2Fwoscc%2Ffull-record%2FWOS:001198221300001","View Full Record in Web of Science")</f>
        <v>View Full Record in Web of Science</v>
      </c>
    </row>
    <row r="505" ht="12.75" customHeight="1">
      <c r="A505" s="1" t="s">
        <v>65</v>
      </c>
      <c r="B505" s="1" t="s">
        <v>10163</v>
      </c>
      <c r="C505" s="1" t="s">
        <v>10164</v>
      </c>
      <c r="D505" s="1" t="s">
        <v>68</v>
      </c>
      <c r="E505" s="1" t="s">
        <v>10165</v>
      </c>
      <c r="F505" s="1" t="s">
        <v>7158</v>
      </c>
      <c r="G505" s="1" t="s">
        <v>68</v>
      </c>
      <c r="H505" s="1" t="s">
        <v>71</v>
      </c>
      <c r="I505" s="1" t="s">
        <v>72</v>
      </c>
      <c r="J505" s="1" t="s">
        <v>68</v>
      </c>
      <c r="K505" s="1" t="s">
        <v>68</v>
      </c>
      <c r="L505" s="1" t="s">
        <v>68</v>
      </c>
      <c r="M505" s="1" t="s">
        <v>68</v>
      </c>
      <c r="N505" s="1" t="s">
        <v>10166</v>
      </c>
      <c r="O505" s="1" t="s">
        <v>10167</v>
      </c>
      <c r="P505" s="1" t="s">
        <v>10168</v>
      </c>
      <c r="Q505" s="1" t="s">
        <v>10169</v>
      </c>
      <c r="R505" s="1" t="s">
        <v>10170</v>
      </c>
      <c r="S505" s="1" t="s">
        <v>10171</v>
      </c>
      <c r="T505" s="1" t="s">
        <v>10172</v>
      </c>
      <c r="U505" s="1" t="s">
        <v>10173</v>
      </c>
      <c r="V505" s="1" t="s">
        <v>10174</v>
      </c>
      <c r="W505" s="1" t="s">
        <v>10175</v>
      </c>
      <c r="X505" s="1" t="s">
        <v>10176</v>
      </c>
      <c r="Y505" s="1" t="s">
        <v>10177</v>
      </c>
      <c r="Z505" s="1">
        <v>117.0</v>
      </c>
      <c r="AA505" s="1">
        <v>4.0</v>
      </c>
      <c r="AB505" s="1">
        <v>4.0</v>
      </c>
      <c r="AC505" s="1">
        <v>3.0</v>
      </c>
      <c r="AD505" s="1">
        <v>6.0</v>
      </c>
      <c r="AE505" s="1" t="s">
        <v>247</v>
      </c>
      <c r="AF505" s="1" t="s">
        <v>248</v>
      </c>
      <c r="AG505" s="1" t="s">
        <v>249</v>
      </c>
      <c r="AH505" s="1" t="s">
        <v>68</v>
      </c>
      <c r="AI505" s="1" t="s">
        <v>7169</v>
      </c>
      <c r="AJ505" s="1" t="s">
        <v>68</v>
      </c>
      <c r="AK505" s="1" t="s">
        <v>7158</v>
      </c>
      <c r="AL505" s="1" t="s">
        <v>7170</v>
      </c>
      <c r="AM505" s="1" t="s">
        <v>120</v>
      </c>
      <c r="AN505" s="1">
        <v>2024.0</v>
      </c>
      <c r="AO505" s="1">
        <v>16.0</v>
      </c>
      <c r="AP505" s="1">
        <v>12.0</v>
      </c>
      <c r="AQ505" s="1" t="s">
        <v>68</v>
      </c>
      <c r="AR505" s="1" t="s">
        <v>68</v>
      </c>
      <c r="AS505" s="1" t="s">
        <v>68</v>
      </c>
      <c r="AT505" s="1" t="s">
        <v>68</v>
      </c>
      <c r="AU505" s="1" t="s">
        <v>68</v>
      </c>
      <c r="AV505" s="1" t="s">
        <v>68</v>
      </c>
      <c r="AW505" s="1">
        <v>746.0</v>
      </c>
      <c r="AX505" s="1" t="s">
        <v>10178</v>
      </c>
      <c r="AY505" s="3" t="str">
        <f>HYPERLINK("http://dx.doi.org/10.3390/d16120746","http://dx.doi.org/10.3390/d16120746")</f>
        <v>http://dx.doi.org/10.3390/d16120746</v>
      </c>
      <c r="AZ505" s="1" t="s">
        <v>68</v>
      </c>
      <c r="BA505" s="1" t="s">
        <v>68</v>
      </c>
      <c r="BB505" s="1">
        <v>19.0</v>
      </c>
      <c r="BC505" s="1" t="s">
        <v>1011</v>
      </c>
      <c r="BD505" s="1" t="s">
        <v>92</v>
      </c>
      <c r="BE505" s="1" t="s">
        <v>123</v>
      </c>
      <c r="BF505" s="1" t="s">
        <v>10179</v>
      </c>
      <c r="BG505" s="1" t="s">
        <v>68</v>
      </c>
      <c r="BH505" s="1" t="s">
        <v>94</v>
      </c>
      <c r="BI505" s="1" t="s">
        <v>68</v>
      </c>
      <c r="BJ505" s="1" t="s">
        <v>68</v>
      </c>
      <c r="BK505" s="1" t="s">
        <v>95</v>
      </c>
      <c r="BL505" s="1" t="s">
        <v>10180</v>
      </c>
      <c r="BM505" s="1" t="str">
        <f>HYPERLINK("https%3A%2F%2Fwww.webofscience.com%2Fwos%2Fwoscc%2Ffull-record%2FWOS:001384946600001","View Full Record in Web of Science")</f>
        <v>View Full Record in Web of Science</v>
      </c>
    </row>
    <row r="506" ht="12.75" customHeight="1">
      <c r="A506" s="1" t="s">
        <v>65</v>
      </c>
      <c r="B506" s="1" t="s">
        <v>10181</v>
      </c>
      <c r="C506" s="1" t="s">
        <v>10182</v>
      </c>
      <c r="D506" s="1" t="s">
        <v>68</v>
      </c>
      <c r="E506" s="1" t="s">
        <v>10183</v>
      </c>
      <c r="F506" s="1" t="s">
        <v>1996</v>
      </c>
      <c r="G506" s="1" t="s">
        <v>68</v>
      </c>
      <c r="H506" s="1" t="s">
        <v>71</v>
      </c>
      <c r="I506" s="1" t="s">
        <v>72</v>
      </c>
      <c r="J506" s="1" t="s">
        <v>68</v>
      </c>
      <c r="K506" s="1" t="s">
        <v>68</v>
      </c>
      <c r="L506" s="1" t="s">
        <v>68</v>
      </c>
      <c r="M506" s="1" t="s">
        <v>68</v>
      </c>
      <c r="N506" s="1" t="s">
        <v>10184</v>
      </c>
      <c r="O506" s="1" t="s">
        <v>10185</v>
      </c>
      <c r="P506" s="1" t="s">
        <v>10186</v>
      </c>
      <c r="Q506" s="1" t="s">
        <v>10187</v>
      </c>
      <c r="R506" s="1" t="s">
        <v>10188</v>
      </c>
      <c r="S506" s="1" t="s">
        <v>10189</v>
      </c>
      <c r="T506" s="1" t="s">
        <v>10190</v>
      </c>
      <c r="U506" s="1" t="s">
        <v>10191</v>
      </c>
      <c r="V506" s="1" t="s">
        <v>10192</v>
      </c>
      <c r="W506" s="1" t="s">
        <v>10193</v>
      </c>
      <c r="X506" s="1" t="s">
        <v>245</v>
      </c>
      <c r="Y506" s="1" t="s">
        <v>10194</v>
      </c>
      <c r="Z506" s="1">
        <v>76.0</v>
      </c>
      <c r="AA506" s="1">
        <v>1.0</v>
      </c>
      <c r="AB506" s="1">
        <v>1.0</v>
      </c>
      <c r="AC506" s="1">
        <v>5.0</v>
      </c>
      <c r="AD506" s="1">
        <v>7.0</v>
      </c>
      <c r="AE506" s="1" t="s">
        <v>247</v>
      </c>
      <c r="AF506" s="1" t="s">
        <v>248</v>
      </c>
      <c r="AG506" s="1" t="s">
        <v>249</v>
      </c>
      <c r="AH506" s="1" t="s">
        <v>68</v>
      </c>
      <c r="AI506" s="1" t="s">
        <v>2007</v>
      </c>
      <c r="AJ506" s="1" t="s">
        <v>68</v>
      </c>
      <c r="AK506" s="1" t="s">
        <v>2008</v>
      </c>
      <c r="AL506" s="1" t="s">
        <v>2009</v>
      </c>
      <c r="AM506" s="1" t="s">
        <v>8184</v>
      </c>
      <c r="AN506" s="1">
        <v>2025.0</v>
      </c>
      <c r="AO506" s="1">
        <v>17.0</v>
      </c>
      <c r="AP506" s="1">
        <v>11.0</v>
      </c>
      <c r="AQ506" s="1" t="s">
        <v>68</v>
      </c>
      <c r="AR506" s="1" t="s">
        <v>68</v>
      </c>
      <c r="AS506" s="1" t="s">
        <v>68</v>
      </c>
      <c r="AT506" s="1" t="s">
        <v>68</v>
      </c>
      <c r="AU506" s="1" t="s">
        <v>68</v>
      </c>
      <c r="AV506" s="1" t="s">
        <v>68</v>
      </c>
      <c r="AW506" s="1">
        <v>5048.0</v>
      </c>
      <c r="AX506" s="1" t="s">
        <v>10195</v>
      </c>
      <c r="AY506" s="3" t="str">
        <f>HYPERLINK("http://dx.doi.org/10.3390/su17115048","http://dx.doi.org/10.3390/su17115048")</f>
        <v>http://dx.doi.org/10.3390/su17115048</v>
      </c>
      <c r="AZ506" s="1" t="s">
        <v>68</v>
      </c>
      <c r="BA506" s="1" t="s">
        <v>68</v>
      </c>
      <c r="BB506" s="1">
        <v>22.0</v>
      </c>
      <c r="BC506" s="1" t="s">
        <v>1052</v>
      </c>
      <c r="BD506" s="1" t="s">
        <v>279</v>
      </c>
      <c r="BE506" s="1" t="s">
        <v>1053</v>
      </c>
      <c r="BF506" s="1" t="s">
        <v>10196</v>
      </c>
      <c r="BG506" s="1" t="s">
        <v>68</v>
      </c>
      <c r="BH506" s="1" t="s">
        <v>462</v>
      </c>
      <c r="BI506" s="1" t="s">
        <v>68</v>
      </c>
      <c r="BJ506" s="1" t="s">
        <v>68</v>
      </c>
      <c r="BK506" s="1" t="s">
        <v>95</v>
      </c>
      <c r="BL506" s="1" t="s">
        <v>10197</v>
      </c>
      <c r="BM506" s="1" t="str">
        <f>HYPERLINK("https%3A%2F%2Fwww.webofscience.com%2Fwos%2Fwoscc%2Ffull-record%2FWOS:001506119800001","View Full Record in Web of Science")</f>
        <v>View Full Record in Web of Science</v>
      </c>
    </row>
    <row r="507" ht="12.75" customHeight="1">
      <c r="A507" s="1" t="s">
        <v>65</v>
      </c>
      <c r="B507" s="1" t="s">
        <v>10198</v>
      </c>
      <c r="C507" s="1" t="s">
        <v>10199</v>
      </c>
      <c r="D507" s="1" t="s">
        <v>68</v>
      </c>
      <c r="E507" s="1" t="s">
        <v>10200</v>
      </c>
      <c r="F507" s="1" t="s">
        <v>3681</v>
      </c>
      <c r="G507" s="1" t="s">
        <v>68</v>
      </c>
      <c r="H507" s="1" t="s">
        <v>71</v>
      </c>
      <c r="I507" s="1" t="s">
        <v>72</v>
      </c>
      <c r="J507" s="1" t="s">
        <v>68</v>
      </c>
      <c r="K507" s="1" t="s">
        <v>68</v>
      </c>
      <c r="L507" s="1" t="s">
        <v>68</v>
      </c>
      <c r="M507" s="1" t="s">
        <v>68</v>
      </c>
      <c r="N507" s="1" t="s">
        <v>10201</v>
      </c>
      <c r="O507" s="1" t="s">
        <v>10202</v>
      </c>
      <c r="P507" s="1" t="s">
        <v>10203</v>
      </c>
      <c r="Q507" s="1" t="s">
        <v>10204</v>
      </c>
      <c r="R507" s="1" t="s">
        <v>10205</v>
      </c>
      <c r="S507" s="1" t="s">
        <v>10206</v>
      </c>
      <c r="T507" s="1" t="s">
        <v>10207</v>
      </c>
      <c r="U507" s="1" t="s">
        <v>10208</v>
      </c>
      <c r="V507" s="1" t="s">
        <v>10209</v>
      </c>
      <c r="W507" s="1" t="s">
        <v>10210</v>
      </c>
      <c r="X507" s="1" t="s">
        <v>10210</v>
      </c>
      <c r="Y507" s="1" t="s">
        <v>10211</v>
      </c>
      <c r="Z507" s="1">
        <v>38.0</v>
      </c>
      <c r="AA507" s="1">
        <v>3.0</v>
      </c>
      <c r="AB507" s="1">
        <v>6.0</v>
      </c>
      <c r="AC507" s="1">
        <v>2.0</v>
      </c>
      <c r="AD507" s="1">
        <v>23.0</v>
      </c>
      <c r="AE507" s="1" t="s">
        <v>503</v>
      </c>
      <c r="AF507" s="1" t="s">
        <v>504</v>
      </c>
      <c r="AG507" s="1" t="s">
        <v>505</v>
      </c>
      <c r="AH507" s="1" t="s">
        <v>3693</v>
      </c>
      <c r="AI507" s="1" t="s">
        <v>3694</v>
      </c>
      <c r="AJ507" s="1" t="s">
        <v>68</v>
      </c>
      <c r="AK507" s="1" t="s">
        <v>3695</v>
      </c>
      <c r="AL507" s="1" t="s">
        <v>3696</v>
      </c>
      <c r="AM507" s="1" t="s">
        <v>1264</v>
      </c>
      <c r="AN507" s="1">
        <v>2022.0</v>
      </c>
      <c r="AO507" s="1">
        <v>15.0</v>
      </c>
      <c r="AP507" s="1">
        <v>6.0</v>
      </c>
      <c r="AQ507" s="1" t="s">
        <v>68</v>
      </c>
      <c r="AR507" s="1" t="s">
        <v>68</v>
      </c>
      <c r="AS507" s="1" t="s">
        <v>68</v>
      </c>
      <c r="AT507" s="1" t="s">
        <v>68</v>
      </c>
      <c r="AU507" s="1">
        <v>645.0</v>
      </c>
      <c r="AV507" s="1">
        <v>654.0</v>
      </c>
      <c r="AW507" s="1" t="s">
        <v>68</v>
      </c>
      <c r="AX507" s="1" t="s">
        <v>10212</v>
      </c>
      <c r="AY507" s="3" t="str">
        <f>HYPERLINK("http://dx.doi.org/10.1111/icad.12593","http://dx.doi.org/10.1111/icad.12593")</f>
        <v>http://dx.doi.org/10.1111/icad.12593</v>
      </c>
      <c r="AZ507" s="1" t="s">
        <v>68</v>
      </c>
      <c r="BA507" s="1" t="s">
        <v>1461</v>
      </c>
      <c r="BB507" s="1">
        <v>10.0</v>
      </c>
      <c r="BC507" s="1" t="s">
        <v>3698</v>
      </c>
      <c r="BD507" s="1" t="s">
        <v>92</v>
      </c>
      <c r="BE507" s="1" t="s">
        <v>3699</v>
      </c>
      <c r="BF507" s="1" t="s">
        <v>10213</v>
      </c>
      <c r="BG507" s="1" t="s">
        <v>68</v>
      </c>
      <c r="BH507" s="1" t="s">
        <v>867</v>
      </c>
      <c r="BI507" s="1" t="s">
        <v>68</v>
      </c>
      <c r="BJ507" s="1" t="s">
        <v>68</v>
      </c>
      <c r="BK507" s="1" t="s">
        <v>95</v>
      </c>
      <c r="BL507" s="1" t="s">
        <v>10214</v>
      </c>
      <c r="BM507" s="1" t="str">
        <f>HYPERLINK("https%3A%2F%2Fwww.webofscience.com%2Fwos%2Fwoscc%2Ffull-record%2FWOS:000806076200001","View Full Record in Web of Science")</f>
        <v>View Full Record in Web of Science</v>
      </c>
    </row>
    <row r="508" ht="12.75" customHeight="1">
      <c r="A508" s="1" t="s">
        <v>65</v>
      </c>
      <c r="B508" s="1" t="s">
        <v>10215</v>
      </c>
      <c r="C508" s="1" t="s">
        <v>10216</v>
      </c>
      <c r="D508" s="1" t="s">
        <v>68</v>
      </c>
      <c r="E508" s="1" t="s">
        <v>10217</v>
      </c>
      <c r="F508" s="1" t="s">
        <v>10218</v>
      </c>
      <c r="G508" s="1" t="s">
        <v>68</v>
      </c>
      <c r="H508" s="1" t="s">
        <v>71</v>
      </c>
      <c r="I508" s="1" t="s">
        <v>72</v>
      </c>
      <c r="J508" s="1" t="s">
        <v>68</v>
      </c>
      <c r="K508" s="1" t="s">
        <v>68</v>
      </c>
      <c r="L508" s="1" t="s">
        <v>68</v>
      </c>
      <c r="M508" s="1" t="s">
        <v>68</v>
      </c>
      <c r="N508" s="1" t="s">
        <v>10219</v>
      </c>
      <c r="O508" s="1" t="s">
        <v>10220</v>
      </c>
      <c r="P508" s="1" t="s">
        <v>10221</v>
      </c>
      <c r="Q508" s="1" t="s">
        <v>10222</v>
      </c>
      <c r="R508" s="1" t="s">
        <v>10223</v>
      </c>
      <c r="S508" s="1" t="s">
        <v>10224</v>
      </c>
      <c r="T508" s="1" t="s">
        <v>10225</v>
      </c>
      <c r="U508" s="1" t="s">
        <v>10226</v>
      </c>
      <c r="V508" s="1" t="s">
        <v>10227</v>
      </c>
      <c r="W508" s="1" t="s">
        <v>10228</v>
      </c>
      <c r="X508" s="1" t="s">
        <v>10229</v>
      </c>
      <c r="Y508" s="1" t="s">
        <v>10230</v>
      </c>
      <c r="Z508" s="1">
        <v>54.0</v>
      </c>
      <c r="AA508" s="1">
        <v>1.0</v>
      </c>
      <c r="AB508" s="1">
        <v>1.0</v>
      </c>
      <c r="AC508" s="1">
        <v>2.0</v>
      </c>
      <c r="AD508" s="1">
        <v>4.0</v>
      </c>
      <c r="AE508" s="1" t="s">
        <v>1092</v>
      </c>
      <c r="AF508" s="1" t="s">
        <v>736</v>
      </c>
      <c r="AG508" s="1" t="s">
        <v>1093</v>
      </c>
      <c r="AH508" s="1" t="s">
        <v>10231</v>
      </c>
      <c r="AI508" s="1" t="s">
        <v>10232</v>
      </c>
      <c r="AJ508" s="1" t="s">
        <v>68</v>
      </c>
      <c r="AK508" s="1" t="s">
        <v>10233</v>
      </c>
      <c r="AL508" s="1" t="s">
        <v>10234</v>
      </c>
      <c r="AM508" s="1" t="s">
        <v>8166</v>
      </c>
      <c r="AN508" s="1">
        <v>2024.0</v>
      </c>
      <c r="AO508" s="1">
        <v>18.0</v>
      </c>
      <c r="AP508" s="1" t="s">
        <v>68</v>
      </c>
      <c r="AQ508" s="1" t="s">
        <v>68</v>
      </c>
      <c r="AR508" s="1" t="s">
        <v>68</v>
      </c>
      <c r="AS508" s="1" t="s">
        <v>68</v>
      </c>
      <c r="AT508" s="1" t="s">
        <v>68</v>
      </c>
      <c r="AU508" s="1" t="s">
        <v>68</v>
      </c>
      <c r="AV508" s="1" t="s">
        <v>68</v>
      </c>
      <c r="AW508" s="1" t="s">
        <v>10235</v>
      </c>
      <c r="AX508" s="1" t="s">
        <v>10236</v>
      </c>
      <c r="AY508" s="3" t="str">
        <f>HYPERLINK("http://dx.doi.org/10.1017/inp.2024.40","http://dx.doi.org/10.1017/inp.2024.40")</f>
        <v>http://dx.doi.org/10.1017/inp.2024.40</v>
      </c>
      <c r="AZ508" s="1" t="s">
        <v>68</v>
      </c>
      <c r="BA508" s="1" t="s">
        <v>68</v>
      </c>
      <c r="BB508" s="1">
        <v>11.0</v>
      </c>
      <c r="BC508" s="1" t="s">
        <v>91</v>
      </c>
      <c r="BD508" s="1" t="s">
        <v>92</v>
      </c>
      <c r="BE508" s="1" t="s">
        <v>91</v>
      </c>
      <c r="BF508" s="1" t="s">
        <v>10237</v>
      </c>
      <c r="BG508" s="1" t="s">
        <v>68</v>
      </c>
      <c r="BH508" s="1" t="s">
        <v>10238</v>
      </c>
      <c r="BI508" s="1" t="s">
        <v>68</v>
      </c>
      <c r="BJ508" s="1" t="s">
        <v>68</v>
      </c>
      <c r="BK508" s="1" t="s">
        <v>95</v>
      </c>
      <c r="BL508" s="1" t="s">
        <v>10239</v>
      </c>
      <c r="BM508" s="1" t="str">
        <f>HYPERLINK("https%3A%2F%2Fwww.webofscience.com%2Fwos%2Fwoscc%2Ffull-record%2FWOS:001440502900001","View Full Record in Web of Science")</f>
        <v>View Full Record in Web of Science</v>
      </c>
    </row>
    <row r="509" ht="12.75" customHeight="1">
      <c r="A509" s="1" t="s">
        <v>65</v>
      </c>
      <c r="B509" s="1" t="s">
        <v>10240</v>
      </c>
      <c r="C509" s="1" t="s">
        <v>10241</v>
      </c>
      <c r="D509" s="1" t="s">
        <v>68</v>
      </c>
      <c r="E509" s="1" t="s">
        <v>10242</v>
      </c>
      <c r="F509" s="1" t="s">
        <v>5425</v>
      </c>
      <c r="G509" s="1" t="s">
        <v>68</v>
      </c>
      <c r="H509" s="1" t="s">
        <v>71</v>
      </c>
      <c r="I509" s="1" t="s">
        <v>72</v>
      </c>
      <c r="J509" s="1" t="s">
        <v>68</v>
      </c>
      <c r="K509" s="1" t="s">
        <v>68</v>
      </c>
      <c r="L509" s="1" t="s">
        <v>68</v>
      </c>
      <c r="M509" s="1" t="s">
        <v>68</v>
      </c>
      <c r="N509" s="1" t="s">
        <v>10243</v>
      </c>
      <c r="O509" s="1" t="s">
        <v>10244</v>
      </c>
      <c r="P509" s="1" t="s">
        <v>10245</v>
      </c>
      <c r="Q509" s="1" t="s">
        <v>10246</v>
      </c>
      <c r="R509" s="1" t="s">
        <v>9582</v>
      </c>
      <c r="S509" s="1" t="s">
        <v>10247</v>
      </c>
      <c r="T509" s="1" t="s">
        <v>10248</v>
      </c>
      <c r="U509" s="1" t="s">
        <v>68</v>
      </c>
      <c r="V509" s="1" t="s">
        <v>68</v>
      </c>
      <c r="W509" s="1" t="s">
        <v>68</v>
      </c>
      <c r="X509" s="1" t="s">
        <v>68</v>
      </c>
      <c r="Y509" s="1" t="s">
        <v>68</v>
      </c>
      <c r="Z509" s="1">
        <v>51.0</v>
      </c>
      <c r="AA509" s="1">
        <v>4.0</v>
      </c>
      <c r="AB509" s="1">
        <v>4.0</v>
      </c>
      <c r="AC509" s="1">
        <v>2.0</v>
      </c>
      <c r="AD509" s="1">
        <v>13.0</v>
      </c>
      <c r="AE509" s="1" t="s">
        <v>503</v>
      </c>
      <c r="AF509" s="1" t="s">
        <v>504</v>
      </c>
      <c r="AG509" s="1" t="s">
        <v>505</v>
      </c>
      <c r="AH509" s="1" t="s">
        <v>5435</v>
      </c>
      <c r="AI509" s="1" t="s">
        <v>5436</v>
      </c>
      <c r="AJ509" s="1" t="s">
        <v>68</v>
      </c>
      <c r="AK509" s="1" t="s">
        <v>5437</v>
      </c>
      <c r="AL509" s="1" t="s">
        <v>5438</v>
      </c>
      <c r="AM509" s="1" t="s">
        <v>252</v>
      </c>
      <c r="AN509" s="1">
        <v>2024.0</v>
      </c>
      <c r="AO509" s="1">
        <v>40.0</v>
      </c>
      <c r="AP509" s="1">
        <v>6.0</v>
      </c>
      <c r="AQ509" s="1" t="s">
        <v>68</v>
      </c>
      <c r="AR509" s="1" t="s">
        <v>68</v>
      </c>
      <c r="AS509" s="1" t="s">
        <v>563</v>
      </c>
      <c r="AT509" s="1" t="s">
        <v>68</v>
      </c>
      <c r="AU509" s="1">
        <v>1106.0</v>
      </c>
      <c r="AV509" s="1">
        <v>1124.0</v>
      </c>
      <c r="AW509" s="1" t="s">
        <v>68</v>
      </c>
      <c r="AX509" s="1" t="s">
        <v>10249</v>
      </c>
      <c r="AY509" s="3" t="str">
        <f>HYPERLINK("http://dx.doi.org/10.1002/rra.4262","http://dx.doi.org/10.1002/rra.4262")</f>
        <v>http://dx.doi.org/10.1002/rra.4262</v>
      </c>
      <c r="AZ509" s="1" t="s">
        <v>68</v>
      </c>
      <c r="BA509" s="1" t="s">
        <v>614</v>
      </c>
      <c r="BB509" s="1">
        <v>19.0</v>
      </c>
      <c r="BC509" s="1" t="s">
        <v>2973</v>
      </c>
      <c r="BD509" s="1" t="s">
        <v>92</v>
      </c>
      <c r="BE509" s="1" t="s">
        <v>2974</v>
      </c>
      <c r="BF509" s="1" t="s">
        <v>10250</v>
      </c>
      <c r="BG509" s="1" t="s">
        <v>68</v>
      </c>
      <c r="BH509" s="1" t="s">
        <v>644</v>
      </c>
      <c r="BI509" s="1" t="s">
        <v>68</v>
      </c>
      <c r="BJ509" s="1" t="s">
        <v>68</v>
      </c>
      <c r="BK509" s="1" t="s">
        <v>95</v>
      </c>
      <c r="BL509" s="1" t="s">
        <v>10251</v>
      </c>
      <c r="BM509" s="1" t="str">
        <f>HYPERLINK("https%3A%2F%2Fwww.webofscience.com%2Fwos%2Fwoscc%2Ffull-record%2FWOS:001186118000001","View Full Record in Web of Science")</f>
        <v>View Full Record in Web of Science</v>
      </c>
    </row>
    <row r="510" ht="12.75" customHeight="1">
      <c r="A510" s="1" t="s">
        <v>65</v>
      </c>
      <c r="B510" s="1" t="s">
        <v>10252</v>
      </c>
      <c r="C510" s="1" t="s">
        <v>10253</v>
      </c>
      <c r="D510" s="1" t="s">
        <v>68</v>
      </c>
      <c r="E510" s="1" t="s">
        <v>10254</v>
      </c>
      <c r="F510" s="1" t="s">
        <v>10255</v>
      </c>
      <c r="G510" s="1" t="s">
        <v>68</v>
      </c>
      <c r="H510" s="1" t="s">
        <v>71</v>
      </c>
      <c r="I510" s="1" t="s">
        <v>72</v>
      </c>
      <c r="J510" s="1" t="s">
        <v>68</v>
      </c>
      <c r="K510" s="1" t="s">
        <v>68</v>
      </c>
      <c r="L510" s="1" t="s">
        <v>68</v>
      </c>
      <c r="M510" s="1" t="s">
        <v>68</v>
      </c>
      <c r="N510" s="1" t="s">
        <v>10256</v>
      </c>
      <c r="O510" s="1" t="s">
        <v>10257</v>
      </c>
      <c r="P510" s="1" t="s">
        <v>10258</v>
      </c>
      <c r="Q510" s="1" t="s">
        <v>10259</v>
      </c>
      <c r="R510" s="1" t="s">
        <v>777</v>
      </c>
      <c r="S510" s="1" t="s">
        <v>10260</v>
      </c>
      <c r="T510" s="1" t="s">
        <v>10261</v>
      </c>
      <c r="U510" s="1" t="s">
        <v>10262</v>
      </c>
      <c r="V510" s="1" t="s">
        <v>68</v>
      </c>
      <c r="W510" s="1" t="s">
        <v>10263</v>
      </c>
      <c r="X510" s="1" t="s">
        <v>10263</v>
      </c>
      <c r="Y510" s="1" t="s">
        <v>10264</v>
      </c>
      <c r="Z510" s="1">
        <v>54.0</v>
      </c>
      <c r="AA510" s="1">
        <v>17.0</v>
      </c>
      <c r="AB510" s="1">
        <v>20.0</v>
      </c>
      <c r="AC510" s="1">
        <v>0.0</v>
      </c>
      <c r="AD510" s="1">
        <v>20.0</v>
      </c>
      <c r="AE510" s="1" t="s">
        <v>114</v>
      </c>
      <c r="AF510" s="1" t="s">
        <v>115</v>
      </c>
      <c r="AG510" s="1" t="s">
        <v>2993</v>
      </c>
      <c r="AH510" s="1" t="s">
        <v>10265</v>
      </c>
      <c r="AI510" s="1" t="s">
        <v>10266</v>
      </c>
      <c r="AJ510" s="1" t="s">
        <v>68</v>
      </c>
      <c r="AK510" s="1" t="s">
        <v>10267</v>
      </c>
      <c r="AL510" s="1" t="s">
        <v>10268</v>
      </c>
      <c r="AM510" s="1" t="s">
        <v>224</v>
      </c>
      <c r="AN510" s="1">
        <v>2020.0</v>
      </c>
      <c r="AO510" s="1">
        <v>28.0</v>
      </c>
      <c r="AP510" s="1">
        <v>1.0</v>
      </c>
      <c r="AQ510" s="1" t="s">
        <v>68</v>
      </c>
      <c r="AR510" s="1" t="s">
        <v>68</v>
      </c>
      <c r="AS510" s="1" t="s">
        <v>563</v>
      </c>
      <c r="AT510" s="1" t="s">
        <v>68</v>
      </c>
      <c r="AU510" s="1">
        <v>439.0</v>
      </c>
      <c r="AV510" s="1">
        <v>459.0</v>
      </c>
      <c r="AW510" s="1" t="s">
        <v>68</v>
      </c>
      <c r="AX510" s="1" t="s">
        <v>10269</v>
      </c>
      <c r="AY510" s="3" t="str">
        <f>HYPERLINK("http://dx.doi.org/10.1007/s10040-019-02050-8","http://dx.doi.org/10.1007/s10040-019-02050-8")</f>
        <v>http://dx.doi.org/10.1007/s10040-019-02050-8</v>
      </c>
      <c r="AZ510" s="1" t="s">
        <v>68</v>
      </c>
      <c r="BA510" s="1" t="s">
        <v>10270</v>
      </c>
      <c r="BB510" s="1">
        <v>21.0</v>
      </c>
      <c r="BC510" s="1" t="s">
        <v>1646</v>
      </c>
      <c r="BD510" s="1" t="s">
        <v>92</v>
      </c>
      <c r="BE510" s="1" t="s">
        <v>1647</v>
      </c>
      <c r="BF510" s="1" t="s">
        <v>10271</v>
      </c>
      <c r="BG510" s="1" t="s">
        <v>68</v>
      </c>
      <c r="BH510" s="1" t="s">
        <v>68</v>
      </c>
      <c r="BI510" s="1" t="s">
        <v>68</v>
      </c>
      <c r="BJ510" s="1" t="s">
        <v>68</v>
      </c>
      <c r="BK510" s="1" t="s">
        <v>95</v>
      </c>
      <c r="BL510" s="1" t="s">
        <v>10272</v>
      </c>
      <c r="BM510" s="1" t="str">
        <f>HYPERLINK("https%3A%2F%2Fwww.webofscience.com%2Fwos%2Fwoscc%2Ffull-record%2FWOS:000499232100001","View Full Record in Web of Science")</f>
        <v>View Full Record in Web of Science</v>
      </c>
    </row>
    <row r="511" ht="12.75" customHeight="1">
      <c r="A511" s="1" t="s">
        <v>65</v>
      </c>
      <c r="B511" s="1" t="s">
        <v>10273</v>
      </c>
      <c r="C511" s="1" t="s">
        <v>10274</v>
      </c>
      <c r="D511" s="1" t="s">
        <v>68</v>
      </c>
      <c r="E511" s="1" t="s">
        <v>10275</v>
      </c>
      <c r="F511" s="1" t="s">
        <v>1895</v>
      </c>
      <c r="G511" s="1" t="s">
        <v>68</v>
      </c>
      <c r="H511" s="1" t="s">
        <v>71</v>
      </c>
      <c r="I511" s="1" t="s">
        <v>72</v>
      </c>
      <c r="J511" s="1" t="s">
        <v>68</v>
      </c>
      <c r="K511" s="1" t="s">
        <v>68</v>
      </c>
      <c r="L511" s="1" t="s">
        <v>68</v>
      </c>
      <c r="M511" s="1" t="s">
        <v>68</v>
      </c>
      <c r="N511" s="1" t="s">
        <v>68</v>
      </c>
      <c r="O511" s="1" t="s">
        <v>10276</v>
      </c>
      <c r="P511" s="1" t="s">
        <v>10277</v>
      </c>
      <c r="Q511" s="1" t="s">
        <v>10278</v>
      </c>
      <c r="R511" s="1" t="s">
        <v>10279</v>
      </c>
      <c r="S511" s="1" t="s">
        <v>10280</v>
      </c>
      <c r="T511" s="1" t="s">
        <v>10281</v>
      </c>
      <c r="U511" s="1" t="s">
        <v>10282</v>
      </c>
      <c r="V511" s="1" t="s">
        <v>10283</v>
      </c>
      <c r="W511" s="1" t="s">
        <v>68</v>
      </c>
      <c r="X511" s="1" t="s">
        <v>68</v>
      </c>
      <c r="Y511" s="1" t="s">
        <v>68</v>
      </c>
      <c r="Z511" s="1">
        <v>56.0</v>
      </c>
      <c r="AA511" s="1">
        <v>10.0</v>
      </c>
      <c r="AB511" s="1">
        <v>11.0</v>
      </c>
      <c r="AC511" s="1">
        <v>0.0</v>
      </c>
      <c r="AD511" s="1">
        <v>38.0</v>
      </c>
      <c r="AE511" s="1" t="s">
        <v>1906</v>
      </c>
      <c r="AF511" s="1" t="s">
        <v>1907</v>
      </c>
      <c r="AG511" s="1" t="s">
        <v>1908</v>
      </c>
      <c r="AH511" s="1" t="s">
        <v>1909</v>
      </c>
      <c r="AI511" s="1" t="s">
        <v>68</v>
      </c>
      <c r="AJ511" s="1" t="s">
        <v>68</v>
      </c>
      <c r="AK511" s="1" t="s">
        <v>1895</v>
      </c>
      <c r="AL511" s="1" t="s">
        <v>1910</v>
      </c>
      <c r="AM511" s="1" t="s">
        <v>1722</v>
      </c>
      <c r="AN511" s="1">
        <v>2015.0</v>
      </c>
      <c r="AO511" s="1">
        <v>10.0</v>
      </c>
      <c r="AP511" s="1">
        <v>6.0</v>
      </c>
      <c r="AQ511" s="1" t="s">
        <v>68</v>
      </c>
      <c r="AR511" s="1" t="s">
        <v>68</v>
      </c>
      <c r="AS511" s="1" t="s">
        <v>68</v>
      </c>
      <c r="AT511" s="1" t="s">
        <v>68</v>
      </c>
      <c r="AU511" s="1" t="s">
        <v>68</v>
      </c>
      <c r="AV511" s="1" t="s">
        <v>68</v>
      </c>
      <c r="AW511" s="1" t="s">
        <v>10284</v>
      </c>
      <c r="AX511" s="1" t="s">
        <v>10285</v>
      </c>
      <c r="AY511" s="3" t="str">
        <f>HYPERLINK("http://dx.doi.org/10.1371/journal.pone.0130159","http://dx.doi.org/10.1371/journal.pone.0130159")</f>
        <v>http://dx.doi.org/10.1371/journal.pone.0130159</v>
      </c>
      <c r="AZ511" s="1" t="s">
        <v>68</v>
      </c>
      <c r="BA511" s="1" t="s">
        <v>68</v>
      </c>
      <c r="BB511" s="1">
        <v>16.0</v>
      </c>
      <c r="BC511" s="1" t="s">
        <v>742</v>
      </c>
      <c r="BD511" s="1" t="s">
        <v>92</v>
      </c>
      <c r="BE511" s="1" t="s">
        <v>743</v>
      </c>
      <c r="BF511" s="1" t="s">
        <v>10286</v>
      </c>
      <c r="BG511" s="1">
        <v>2.6107952E7</v>
      </c>
      <c r="BH511" s="1" t="s">
        <v>94</v>
      </c>
      <c r="BI511" s="1" t="s">
        <v>68</v>
      </c>
      <c r="BJ511" s="1" t="s">
        <v>68</v>
      </c>
      <c r="BK511" s="1" t="s">
        <v>95</v>
      </c>
      <c r="BL511" s="1" t="s">
        <v>10287</v>
      </c>
      <c r="BM511" s="1" t="str">
        <f>HYPERLINK("https%3A%2F%2Fwww.webofscience.com%2Fwos%2Fwoscc%2Ffull-record%2FWOS:000356932500081","View Full Record in Web of Science")</f>
        <v>View Full Record in Web of Science</v>
      </c>
    </row>
    <row r="512" ht="12.75" customHeight="1">
      <c r="A512" s="1" t="s">
        <v>65</v>
      </c>
      <c r="B512" s="1" t="s">
        <v>10288</v>
      </c>
      <c r="C512" s="1" t="s">
        <v>10289</v>
      </c>
      <c r="D512" s="1" t="s">
        <v>68</v>
      </c>
      <c r="E512" s="1" t="s">
        <v>10290</v>
      </c>
      <c r="F512" s="1" t="s">
        <v>10291</v>
      </c>
      <c r="G512" s="1" t="s">
        <v>68</v>
      </c>
      <c r="H512" s="1" t="s">
        <v>71</v>
      </c>
      <c r="I512" s="1" t="s">
        <v>72</v>
      </c>
      <c r="J512" s="1" t="s">
        <v>68</v>
      </c>
      <c r="K512" s="1" t="s">
        <v>68</v>
      </c>
      <c r="L512" s="1" t="s">
        <v>68</v>
      </c>
      <c r="M512" s="1" t="s">
        <v>68</v>
      </c>
      <c r="N512" s="1" t="s">
        <v>10292</v>
      </c>
      <c r="O512" s="1" t="s">
        <v>68</v>
      </c>
      <c r="P512" s="1" t="s">
        <v>10293</v>
      </c>
      <c r="Q512" s="1" t="s">
        <v>10294</v>
      </c>
      <c r="R512" s="1" t="s">
        <v>68</v>
      </c>
      <c r="S512" s="1" t="s">
        <v>10295</v>
      </c>
      <c r="T512" s="1" t="s">
        <v>10296</v>
      </c>
      <c r="U512" s="1" t="s">
        <v>10297</v>
      </c>
      <c r="V512" s="1" t="s">
        <v>10298</v>
      </c>
      <c r="W512" s="1" t="s">
        <v>10299</v>
      </c>
      <c r="X512" s="1" t="s">
        <v>10299</v>
      </c>
      <c r="Y512" s="1" t="s">
        <v>10300</v>
      </c>
      <c r="Z512" s="1">
        <v>18.0</v>
      </c>
      <c r="AA512" s="1">
        <v>0.0</v>
      </c>
      <c r="AB512" s="1">
        <v>0.0</v>
      </c>
      <c r="AC512" s="1">
        <v>5.0</v>
      </c>
      <c r="AD512" s="1">
        <v>12.0</v>
      </c>
      <c r="AE512" s="1" t="s">
        <v>4454</v>
      </c>
      <c r="AF512" s="1" t="s">
        <v>663</v>
      </c>
      <c r="AG512" s="1" t="s">
        <v>4455</v>
      </c>
      <c r="AH512" s="1" t="s">
        <v>10301</v>
      </c>
      <c r="AI512" s="1" t="s">
        <v>10302</v>
      </c>
      <c r="AJ512" s="1" t="s">
        <v>68</v>
      </c>
      <c r="AK512" s="1" t="s">
        <v>10303</v>
      </c>
      <c r="AL512" s="1" t="s">
        <v>10304</v>
      </c>
      <c r="AM512" s="1" t="s">
        <v>2194</v>
      </c>
      <c r="AN512" s="1">
        <v>2024.0</v>
      </c>
      <c r="AO512" s="1">
        <v>107.0</v>
      </c>
      <c r="AP512" s="1">
        <v>2.0</v>
      </c>
      <c r="AQ512" s="1" t="s">
        <v>68</v>
      </c>
      <c r="AR512" s="1" t="s">
        <v>68</v>
      </c>
      <c r="AS512" s="1" t="s">
        <v>68</v>
      </c>
      <c r="AT512" s="1" t="s">
        <v>68</v>
      </c>
      <c r="AU512" s="1" t="s">
        <v>68</v>
      </c>
      <c r="AV512" s="1" t="s">
        <v>68</v>
      </c>
      <c r="AW512" s="1">
        <v>3.6850424125704E14</v>
      </c>
      <c r="AX512" s="1" t="s">
        <v>10305</v>
      </c>
      <c r="AY512" s="3" t="str">
        <f>HYPERLINK("http://dx.doi.org/10.1177/00368504241257040","http://dx.doi.org/10.1177/00368504241257040")</f>
        <v>http://dx.doi.org/10.1177/00368504241257040</v>
      </c>
      <c r="AZ512" s="1" t="s">
        <v>68</v>
      </c>
      <c r="BA512" s="1" t="s">
        <v>68</v>
      </c>
      <c r="BB512" s="1">
        <v>6.0</v>
      </c>
      <c r="BC512" s="1" t="s">
        <v>10306</v>
      </c>
      <c r="BD512" s="1" t="s">
        <v>92</v>
      </c>
      <c r="BE512" s="1" t="s">
        <v>10307</v>
      </c>
      <c r="BF512" s="1" t="s">
        <v>10308</v>
      </c>
      <c r="BG512" s="1">
        <v>3.8794904E7</v>
      </c>
      <c r="BH512" s="1" t="s">
        <v>94</v>
      </c>
      <c r="BI512" s="1" t="s">
        <v>68</v>
      </c>
      <c r="BJ512" s="1" t="s">
        <v>68</v>
      </c>
      <c r="BK512" s="1" t="s">
        <v>95</v>
      </c>
      <c r="BL512" s="1" t="s">
        <v>10309</v>
      </c>
      <c r="BM512" s="1" t="str">
        <f>HYPERLINK("https%3A%2F%2Fwww.webofscience.com%2Fwos%2Fwoscc%2Ffull-record%2FWOS:001230868200001","View Full Record in Web of Science")</f>
        <v>View Full Record in Web of Science</v>
      </c>
    </row>
    <row r="513" ht="12.75" customHeight="1">
      <c r="A513" s="1" t="s">
        <v>65</v>
      </c>
      <c r="B513" s="1" t="s">
        <v>10310</v>
      </c>
      <c r="C513" s="1" t="s">
        <v>10311</v>
      </c>
      <c r="D513" s="1" t="s">
        <v>68</v>
      </c>
      <c r="E513" s="1" t="s">
        <v>10312</v>
      </c>
      <c r="F513" s="1" t="s">
        <v>4131</v>
      </c>
      <c r="G513" s="1" t="s">
        <v>68</v>
      </c>
      <c r="H513" s="1" t="s">
        <v>71</v>
      </c>
      <c r="I513" s="1" t="s">
        <v>72</v>
      </c>
      <c r="J513" s="1" t="s">
        <v>68</v>
      </c>
      <c r="K513" s="1" t="s">
        <v>68</v>
      </c>
      <c r="L513" s="1" t="s">
        <v>68</v>
      </c>
      <c r="M513" s="1" t="s">
        <v>68</v>
      </c>
      <c r="N513" s="1" t="s">
        <v>10313</v>
      </c>
      <c r="O513" s="1" t="s">
        <v>10314</v>
      </c>
      <c r="P513" s="1" t="s">
        <v>10315</v>
      </c>
      <c r="Q513" s="1" t="s">
        <v>10316</v>
      </c>
      <c r="R513" s="1" t="s">
        <v>10317</v>
      </c>
      <c r="S513" s="1" t="s">
        <v>10318</v>
      </c>
      <c r="T513" s="1" t="s">
        <v>10319</v>
      </c>
      <c r="U513" s="1" t="s">
        <v>10320</v>
      </c>
      <c r="V513" s="1" t="s">
        <v>10321</v>
      </c>
      <c r="W513" s="1" t="s">
        <v>10322</v>
      </c>
      <c r="X513" s="1" t="s">
        <v>10323</v>
      </c>
      <c r="Y513" s="1" t="s">
        <v>10324</v>
      </c>
      <c r="Z513" s="1">
        <v>46.0</v>
      </c>
      <c r="AA513" s="1">
        <v>3.0</v>
      </c>
      <c r="AB513" s="1">
        <v>5.0</v>
      </c>
      <c r="AC513" s="1">
        <v>2.0</v>
      </c>
      <c r="AD513" s="1">
        <v>13.0</v>
      </c>
      <c r="AE513" s="1" t="s">
        <v>2125</v>
      </c>
      <c r="AF513" s="1" t="s">
        <v>2126</v>
      </c>
      <c r="AG513" s="1" t="s">
        <v>2127</v>
      </c>
      <c r="AH513" s="1" t="s">
        <v>4142</v>
      </c>
      <c r="AI513" s="1" t="s">
        <v>4143</v>
      </c>
      <c r="AJ513" s="1" t="s">
        <v>68</v>
      </c>
      <c r="AK513" s="1" t="s">
        <v>4144</v>
      </c>
      <c r="AL513" s="1" t="s">
        <v>4145</v>
      </c>
      <c r="AM513" s="1" t="s">
        <v>4146</v>
      </c>
      <c r="AN513" s="1">
        <v>2021.0</v>
      </c>
      <c r="AO513" s="1">
        <v>37.0</v>
      </c>
      <c r="AP513" s="1">
        <v>4.0</v>
      </c>
      <c r="AQ513" s="1" t="s">
        <v>68</v>
      </c>
      <c r="AR513" s="1" t="s">
        <v>68</v>
      </c>
      <c r="AS513" s="1" t="s">
        <v>68</v>
      </c>
      <c r="AT513" s="1" t="s">
        <v>68</v>
      </c>
      <c r="AU513" s="1">
        <v>431.0</v>
      </c>
      <c r="AV513" s="1">
        <v>444.0</v>
      </c>
      <c r="AW513" s="1" t="s">
        <v>68</v>
      </c>
      <c r="AX513" s="1" t="s">
        <v>10325</v>
      </c>
      <c r="AY513" s="3" t="str">
        <f>HYPERLINK("http://dx.doi.org/10.1080/10402381.2021.1989525","http://dx.doi.org/10.1080/10402381.2021.1989525")</f>
        <v>http://dx.doi.org/10.1080/10402381.2021.1989525</v>
      </c>
      <c r="AZ513" s="1" t="s">
        <v>68</v>
      </c>
      <c r="BA513" s="1" t="s">
        <v>2692</v>
      </c>
      <c r="BB513" s="1">
        <v>14.0</v>
      </c>
      <c r="BC513" s="1" t="s">
        <v>4149</v>
      </c>
      <c r="BD513" s="1" t="s">
        <v>92</v>
      </c>
      <c r="BE513" s="1" t="s">
        <v>4150</v>
      </c>
      <c r="BF513" s="1" t="s">
        <v>10326</v>
      </c>
      <c r="BG513" s="1" t="s">
        <v>68</v>
      </c>
      <c r="BH513" s="1" t="s">
        <v>68</v>
      </c>
      <c r="BI513" s="1" t="s">
        <v>68</v>
      </c>
      <c r="BJ513" s="1" t="s">
        <v>68</v>
      </c>
      <c r="BK513" s="1" t="s">
        <v>95</v>
      </c>
      <c r="BL513" s="1" t="s">
        <v>10327</v>
      </c>
      <c r="BM513" s="1" t="str">
        <f>HYPERLINK("https%3A%2F%2Fwww.webofscience.com%2Fwos%2Fwoscc%2Ffull-record%2FWOS:000717455200001","View Full Record in Web of Science")</f>
        <v>View Full Record in Web of Science</v>
      </c>
    </row>
    <row r="514" ht="12.75" customHeight="1">
      <c r="A514" s="1" t="s">
        <v>65</v>
      </c>
      <c r="B514" s="1" t="s">
        <v>10328</v>
      </c>
      <c r="C514" s="1" t="s">
        <v>10329</v>
      </c>
      <c r="D514" s="1" t="s">
        <v>68</v>
      </c>
      <c r="E514" s="1" t="s">
        <v>10330</v>
      </c>
      <c r="F514" s="1" t="s">
        <v>10331</v>
      </c>
      <c r="G514" s="1" t="s">
        <v>68</v>
      </c>
      <c r="H514" s="1" t="s">
        <v>71</v>
      </c>
      <c r="I514" s="1" t="s">
        <v>72</v>
      </c>
      <c r="J514" s="1" t="s">
        <v>68</v>
      </c>
      <c r="K514" s="1" t="s">
        <v>68</v>
      </c>
      <c r="L514" s="1" t="s">
        <v>68</v>
      </c>
      <c r="M514" s="1" t="s">
        <v>68</v>
      </c>
      <c r="N514" s="1" t="s">
        <v>10332</v>
      </c>
      <c r="O514" s="1" t="s">
        <v>10333</v>
      </c>
      <c r="P514" s="1" t="s">
        <v>10334</v>
      </c>
      <c r="Q514" s="1" t="s">
        <v>10335</v>
      </c>
      <c r="R514" s="1" t="s">
        <v>10336</v>
      </c>
      <c r="S514" s="1" t="s">
        <v>10337</v>
      </c>
      <c r="T514" s="1" t="s">
        <v>10338</v>
      </c>
      <c r="U514" s="1" t="s">
        <v>68</v>
      </c>
      <c r="V514" s="1" t="s">
        <v>10339</v>
      </c>
      <c r="W514" s="1" t="s">
        <v>10340</v>
      </c>
      <c r="X514" s="1" t="s">
        <v>10341</v>
      </c>
      <c r="Y514" s="1" t="s">
        <v>10342</v>
      </c>
      <c r="Z514" s="1">
        <v>157.0</v>
      </c>
      <c r="AA514" s="1">
        <v>1.0</v>
      </c>
      <c r="AB514" s="1">
        <v>1.0</v>
      </c>
      <c r="AC514" s="1">
        <v>3.0</v>
      </c>
      <c r="AD514" s="1">
        <v>3.0</v>
      </c>
      <c r="AE514" s="1" t="s">
        <v>247</v>
      </c>
      <c r="AF514" s="1" t="s">
        <v>248</v>
      </c>
      <c r="AG514" s="1" t="s">
        <v>249</v>
      </c>
      <c r="AH514" s="1" t="s">
        <v>68</v>
      </c>
      <c r="AI514" s="1" t="s">
        <v>10343</v>
      </c>
      <c r="AJ514" s="1" t="s">
        <v>68</v>
      </c>
      <c r="AK514" s="1" t="s">
        <v>10344</v>
      </c>
      <c r="AL514" s="1" t="s">
        <v>10345</v>
      </c>
      <c r="AM514" s="1" t="s">
        <v>3672</v>
      </c>
      <c r="AN514" s="1">
        <v>2025.0</v>
      </c>
      <c r="AO514" s="1">
        <v>23.0</v>
      </c>
      <c r="AP514" s="1">
        <v>12.0</v>
      </c>
      <c r="AQ514" s="1" t="s">
        <v>68</v>
      </c>
      <c r="AR514" s="1" t="s">
        <v>68</v>
      </c>
      <c r="AS514" s="1" t="s">
        <v>68</v>
      </c>
      <c r="AT514" s="1" t="s">
        <v>68</v>
      </c>
      <c r="AU514" s="1" t="s">
        <v>68</v>
      </c>
      <c r="AV514" s="1" t="s">
        <v>68</v>
      </c>
      <c r="AW514" s="1">
        <v>478.0</v>
      </c>
      <c r="AX514" s="1" t="s">
        <v>10346</v>
      </c>
      <c r="AY514" s="3" t="str">
        <f>HYPERLINK("http://dx.doi.org/10.3390/md23120478","http://dx.doi.org/10.3390/md23120478")</f>
        <v>http://dx.doi.org/10.3390/md23120478</v>
      </c>
      <c r="AZ514" s="1" t="s">
        <v>68</v>
      </c>
      <c r="BA514" s="1" t="s">
        <v>68</v>
      </c>
      <c r="BB514" s="1">
        <v>42.0</v>
      </c>
      <c r="BC514" s="1" t="s">
        <v>10347</v>
      </c>
      <c r="BD514" s="1" t="s">
        <v>92</v>
      </c>
      <c r="BE514" s="1" t="s">
        <v>10348</v>
      </c>
      <c r="BF514" s="1" t="s">
        <v>10349</v>
      </c>
      <c r="BG514" s="1">
        <v>4.1440914E7</v>
      </c>
      <c r="BH514" s="1" t="s">
        <v>94</v>
      </c>
      <c r="BI514" s="1" t="s">
        <v>68</v>
      </c>
      <c r="BJ514" s="1" t="s">
        <v>68</v>
      </c>
      <c r="BK514" s="1" t="s">
        <v>95</v>
      </c>
      <c r="BL514" s="1" t="s">
        <v>10350</v>
      </c>
      <c r="BM514" s="1" t="str">
        <f>HYPERLINK("https%3A%2F%2Fwww.webofscience.com%2Fwos%2Fwoscc%2Ffull-record%2FWOS:001646948400001","View Full Record in Web of Science")</f>
        <v>View Full Record in Web of Science</v>
      </c>
    </row>
    <row r="515" ht="12.75" customHeight="1">
      <c r="A515" s="1" t="s">
        <v>65</v>
      </c>
      <c r="B515" s="1" t="s">
        <v>10351</v>
      </c>
      <c r="C515" s="1" t="s">
        <v>10351</v>
      </c>
      <c r="D515" s="1" t="s">
        <v>68</v>
      </c>
      <c r="E515" s="1" t="s">
        <v>10352</v>
      </c>
      <c r="F515" s="1" t="s">
        <v>10353</v>
      </c>
      <c r="G515" s="1" t="s">
        <v>68</v>
      </c>
      <c r="H515" s="1" t="s">
        <v>10354</v>
      </c>
      <c r="I515" s="1" t="s">
        <v>597</v>
      </c>
      <c r="J515" s="1" t="s">
        <v>68</v>
      </c>
      <c r="K515" s="1" t="s">
        <v>68</v>
      </c>
      <c r="L515" s="1" t="s">
        <v>68</v>
      </c>
      <c r="M515" s="1" t="s">
        <v>68</v>
      </c>
      <c r="N515" s="1" t="s">
        <v>68</v>
      </c>
      <c r="O515" s="1" t="s">
        <v>68</v>
      </c>
      <c r="P515" s="1" t="s">
        <v>68</v>
      </c>
      <c r="Q515" s="1" t="s">
        <v>68</v>
      </c>
      <c r="R515" s="1" t="s">
        <v>68</v>
      </c>
      <c r="S515" s="1" t="s">
        <v>68</v>
      </c>
      <c r="T515" s="1" t="s">
        <v>68</v>
      </c>
      <c r="U515" s="1" t="s">
        <v>68</v>
      </c>
      <c r="V515" s="1" t="s">
        <v>68</v>
      </c>
      <c r="W515" s="1" t="s">
        <v>68</v>
      </c>
      <c r="X515" s="1" t="s">
        <v>68</v>
      </c>
      <c r="Y515" s="1" t="s">
        <v>68</v>
      </c>
      <c r="Z515" s="1">
        <v>0.0</v>
      </c>
      <c r="AA515" s="1">
        <v>0.0</v>
      </c>
      <c r="AB515" s="1">
        <v>0.0</v>
      </c>
      <c r="AC515" s="1">
        <v>1.0</v>
      </c>
      <c r="AD515" s="1">
        <v>1.0</v>
      </c>
      <c r="AE515" s="1" t="s">
        <v>10355</v>
      </c>
      <c r="AF515" s="1" t="s">
        <v>10356</v>
      </c>
      <c r="AG515" s="1" t="s">
        <v>10357</v>
      </c>
      <c r="AH515" s="1" t="s">
        <v>10358</v>
      </c>
      <c r="AI515" s="1" t="s">
        <v>68</v>
      </c>
      <c r="AJ515" s="1" t="s">
        <v>68</v>
      </c>
      <c r="AK515" s="1" t="s">
        <v>10359</v>
      </c>
      <c r="AL515" s="1" t="s">
        <v>10360</v>
      </c>
      <c r="AM515" s="1" t="s">
        <v>428</v>
      </c>
      <c r="AN515" s="1">
        <v>2021.0</v>
      </c>
      <c r="AO515" s="1">
        <v>65.0</v>
      </c>
      <c r="AP515" s="1">
        <v>5.0</v>
      </c>
      <c r="AQ515" s="1" t="s">
        <v>68</v>
      </c>
      <c r="AR515" s="1" t="s">
        <v>68</v>
      </c>
      <c r="AS515" s="1" t="s">
        <v>68</v>
      </c>
      <c r="AT515" s="1" t="s">
        <v>68</v>
      </c>
      <c r="AU515" s="1">
        <v>228.0</v>
      </c>
      <c r="AV515" s="1">
        <v>229.0</v>
      </c>
      <c r="AW515" s="1" t="s">
        <v>68</v>
      </c>
      <c r="AX515" s="1" t="s">
        <v>68</v>
      </c>
      <c r="AY515" s="1" t="s">
        <v>68</v>
      </c>
      <c r="AZ515" s="1" t="s">
        <v>68</v>
      </c>
      <c r="BA515" s="1" t="s">
        <v>68</v>
      </c>
      <c r="BB515" s="1">
        <v>2.0</v>
      </c>
      <c r="BC515" s="1" t="s">
        <v>2221</v>
      </c>
      <c r="BD515" s="1" t="s">
        <v>92</v>
      </c>
      <c r="BE515" s="1" t="s">
        <v>2221</v>
      </c>
      <c r="BF515" s="1" t="s">
        <v>10361</v>
      </c>
      <c r="BG515" s="1" t="s">
        <v>68</v>
      </c>
      <c r="BH515" s="1" t="s">
        <v>68</v>
      </c>
      <c r="BI515" s="1" t="s">
        <v>68</v>
      </c>
      <c r="BJ515" s="1" t="s">
        <v>68</v>
      </c>
      <c r="BK515" s="1" t="s">
        <v>95</v>
      </c>
      <c r="BL515" s="1" t="s">
        <v>10362</v>
      </c>
      <c r="BM515" s="1" t="str">
        <f>HYPERLINK("https%3A%2F%2Fwww.webofscience.com%2Fwos%2Fwoscc%2Ffull-record%2FWOS:000706222200012","View Full Record in Web of Science")</f>
        <v>View Full Record in Web of Science</v>
      </c>
    </row>
    <row r="516" ht="12.75" customHeight="1">
      <c r="A516" s="1" t="s">
        <v>65</v>
      </c>
      <c r="B516" s="1" t="s">
        <v>10363</v>
      </c>
      <c r="C516" s="1" t="s">
        <v>10364</v>
      </c>
      <c r="D516" s="1" t="s">
        <v>68</v>
      </c>
      <c r="E516" s="1" t="s">
        <v>10365</v>
      </c>
      <c r="F516" s="1" t="s">
        <v>10366</v>
      </c>
      <c r="G516" s="1" t="s">
        <v>68</v>
      </c>
      <c r="H516" s="1" t="s">
        <v>71</v>
      </c>
      <c r="I516" s="1" t="s">
        <v>72</v>
      </c>
      <c r="J516" s="1" t="s">
        <v>68</v>
      </c>
      <c r="K516" s="1" t="s">
        <v>68</v>
      </c>
      <c r="L516" s="1" t="s">
        <v>68</v>
      </c>
      <c r="M516" s="1" t="s">
        <v>68</v>
      </c>
      <c r="N516" s="1" t="s">
        <v>10367</v>
      </c>
      <c r="O516" s="1" t="s">
        <v>68</v>
      </c>
      <c r="P516" s="1" t="s">
        <v>68</v>
      </c>
      <c r="Q516" s="1" t="s">
        <v>10368</v>
      </c>
      <c r="R516" s="1" t="s">
        <v>10369</v>
      </c>
      <c r="S516" s="1" t="s">
        <v>10370</v>
      </c>
      <c r="T516" s="1" t="s">
        <v>10371</v>
      </c>
      <c r="U516" s="1" t="s">
        <v>10372</v>
      </c>
      <c r="V516" s="1" t="s">
        <v>10373</v>
      </c>
      <c r="W516" s="1" t="s">
        <v>10374</v>
      </c>
      <c r="X516" s="1" t="s">
        <v>10374</v>
      </c>
      <c r="Y516" s="1" t="s">
        <v>10375</v>
      </c>
      <c r="Z516" s="1">
        <v>6.0</v>
      </c>
      <c r="AA516" s="1">
        <v>5.0</v>
      </c>
      <c r="AB516" s="1">
        <v>5.0</v>
      </c>
      <c r="AC516" s="1">
        <v>0.0</v>
      </c>
      <c r="AD516" s="1">
        <v>6.0</v>
      </c>
      <c r="AE516" s="1" t="s">
        <v>10376</v>
      </c>
      <c r="AF516" s="1" t="s">
        <v>10377</v>
      </c>
      <c r="AG516" s="1" t="s">
        <v>10378</v>
      </c>
      <c r="AH516" s="1" t="s">
        <v>10379</v>
      </c>
      <c r="AI516" s="1" t="s">
        <v>10380</v>
      </c>
      <c r="AJ516" s="1" t="s">
        <v>68</v>
      </c>
      <c r="AK516" s="1" t="s">
        <v>10366</v>
      </c>
      <c r="AL516" s="1" t="s">
        <v>10381</v>
      </c>
      <c r="AM516" s="1" t="s">
        <v>428</v>
      </c>
      <c r="AN516" s="1">
        <v>2023.0</v>
      </c>
      <c r="AO516" s="1">
        <v>54.0</v>
      </c>
      <c r="AP516" s="1">
        <v>5.0</v>
      </c>
      <c r="AQ516" s="1" t="s">
        <v>68</v>
      </c>
      <c r="AR516" s="1" t="s">
        <v>68</v>
      </c>
      <c r="AS516" s="1" t="s">
        <v>68</v>
      </c>
      <c r="AT516" s="1" t="s">
        <v>68</v>
      </c>
      <c r="AU516" s="1" t="s">
        <v>68</v>
      </c>
      <c r="AV516" s="1" t="s">
        <v>68</v>
      </c>
      <c r="AW516" s="1">
        <v>46.0</v>
      </c>
      <c r="AX516" s="1" t="s">
        <v>10382</v>
      </c>
      <c r="AY516" s="3" t="str">
        <f>HYPERLINK("http://dx.doi.org/10.1007/s13592-023-01025-9","http://dx.doi.org/10.1007/s13592-023-01025-9")</f>
        <v>http://dx.doi.org/10.1007/s13592-023-01025-9</v>
      </c>
      <c r="AZ516" s="1" t="s">
        <v>68</v>
      </c>
      <c r="BA516" s="1" t="s">
        <v>68</v>
      </c>
      <c r="BB516" s="1">
        <v>4.0</v>
      </c>
      <c r="BC516" s="1" t="s">
        <v>309</v>
      </c>
      <c r="BD516" s="1" t="s">
        <v>92</v>
      </c>
      <c r="BE516" s="1" t="s">
        <v>309</v>
      </c>
      <c r="BF516" s="1" t="s">
        <v>10383</v>
      </c>
      <c r="BG516" s="1" t="s">
        <v>68</v>
      </c>
      <c r="BH516" s="1" t="s">
        <v>5315</v>
      </c>
      <c r="BI516" s="1" t="s">
        <v>68</v>
      </c>
      <c r="BJ516" s="1" t="s">
        <v>68</v>
      </c>
      <c r="BK516" s="1" t="s">
        <v>95</v>
      </c>
      <c r="BL516" s="1" t="s">
        <v>10384</v>
      </c>
      <c r="BM516" s="1" t="str">
        <f>HYPERLINK("https%3A%2F%2Fwww.webofscience.com%2Fwos%2Fwoscc%2Ffull-record%2FWOS:001064314800001","View Full Record in Web of Science")</f>
        <v>View Full Record in Web of Science</v>
      </c>
    </row>
    <row r="517" ht="12.75" customHeight="1">
      <c r="A517" s="1" t="s">
        <v>65</v>
      </c>
      <c r="B517" s="1" t="s">
        <v>10385</v>
      </c>
      <c r="C517" s="1" t="s">
        <v>10386</v>
      </c>
      <c r="D517" s="1" t="s">
        <v>68</v>
      </c>
      <c r="E517" s="1" t="s">
        <v>10387</v>
      </c>
      <c r="F517" s="1" t="s">
        <v>178</v>
      </c>
      <c r="G517" s="1" t="s">
        <v>68</v>
      </c>
      <c r="H517" s="1" t="s">
        <v>71</v>
      </c>
      <c r="I517" s="1" t="s">
        <v>72</v>
      </c>
      <c r="J517" s="1" t="s">
        <v>68</v>
      </c>
      <c r="K517" s="1" t="s">
        <v>68</v>
      </c>
      <c r="L517" s="1" t="s">
        <v>68</v>
      </c>
      <c r="M517" s="1" t="s">
        <v>68</v>
      </c>
      <c r="N517" s="1" t="s">
        <v>10388</v>
      </c>
      <c r="O517" s="1" t="s">
        <v>68</v>
      </c>
      <c r="P517" s="1" t="s">
        <v>10389</v>
      </c>
      <c r="Q517" s="1" t="s">
        <v>10390</v>
      </c>
      <c r="R517" s="1" t="s">
        <v>68</v>
      </c>
      <c r="S517" s="1" t="s">
        <v>10391</v>
      </c>
      <c r="T517" s="1" t="s">
        <v>10392</v>
      </c>
      <c r="U517" s="1" t="s">
        <v>10393</v>
      </c>
      <c r="V517" s="1" t="s">
        <v>10394</v>
      </c>
      <c r="W517" s="1" t="s">
        <v>10395</v>
      </c>
      <c r="X517" s="1" t="s">
        <v>10395</v>
      </c>
      <c r="Y517" s="1" t="s">
        <v>10396</v>
      </c>
      <c r="Z517" s="1">
        <v>21.0</v>
      </c>
      <c r="AA517" s="1">
        <v>4.0</v>
      </c>
      <c r="AB517" s="1">
        <v>4.0</v>
      </c>
      <c r="AC517" s="1">
        <v>0.0</v>
      </c>
      <c r="AD517" s="1">
        <v>2.0</v>
      </c>
      <c r="AE517" s="1" t="s">
        <v>188</v>
      </c>
      <c r="AF517" s="1" t="s">
        <v>189</v>
      </c>
      <c r="AG517" s="1" t="s">
        <v>190</v>
      </c>
      <c r="AH517" s="1" t="s">
        <v>68</v>
      </c>
      <c r="AI517" s="1" t="s">
        <v>191</v>
      </c>
      <c r="AJ517" s="1" t="s">
        <v>68</v>
      </c>
      <c r="AK517" s="1" t="s">
        <v>192</v>
      </c>
      <c r="AL517" s="1" t="s">
        <v>193</v>
      </c>
      <c r="AM517" s="1" t="s">
        <v>10397</v>
      </c>
      <c r="AN517" s="1">
        <v>2023.0</v>
      </c>
      <c r="AO517" s="1">
        <v>4.0</v>
      </c>
      <c r="AP517" s="1">
        <v>1.0</v>
      </c>
      <c r="AQ517" s="1" t="s">
        <v>68</v>
      </c>
      <c r="AR517" s="1" t="s">
        <v>68</v>
      </c>
      <c r="AS517" s="1" t="s">
        <v>68</v>
      </c>
      <c r="AT517" s="1" t="s">
        <v>68</v>
      </c>
      <c r="AU517" s="1" t="s">
        <v>68</v>
      </c>
      <c r="AV517" s="1" t="s">
        <v>68</v>
      </c>
      <c r="AW517" s="1">
        <v>25.0</v>
      </c>
      <c r="AX517" s="1" t="s">
        <v>10398</v>
      </c>
      <c r="AY517" s="3" t="str">
        <f>HYPERLINK("http://dx.doi.org/10.1186/s43170-023-00171-5","http://dx.doi.org/10.1186/s43170-023-00171-5")</f>
        <v>http://dx.doi.org/10.1186/s43170-023-00171-5</v>
      </c>
      <c r="AZ517" s="1" t="s">
        <v>68</v>
      </c>
      <c r="BA517" s="1" t="s">
        <v>68</v>
      </c>
      <c r="BB517" s="1">
        <v>6.0</v>
      </c>
      <c r="BC517" s="1" t="s">
        <v>196</v>
      </c>
      <c r="BD517" s="1" t="s">
        <v>197</v>
      </c>
      <c r="BE517" s="1" t="s">
        <v>198</v>
      </c>
      <c r="BF517" s="1" t="s">
        <v>10399</v>
      </c>
      <c r="BG517" s="1" t="s">
        <v>68</v>
      </c>
      <c r="BH517" s="1" t="s">
        <v>94</v>
      </c>
      <c r="BI517" s="1" t="s">
        <v>68</v>
      </c>
      <c r="BJ517" s="1" t="s">
        <v>68</v>
      </c>
      <c r="BK517" s="1" t="s">
        <v>95</v>
      </c>
      <c r="BL517" s="1" t="s">
        <v>10400</v>
      </c>
      <c r="BM517" s="1" t="str">
        <f>HYPERLINK("https%3A%2F%2Fwww.webofscience.com%2Fwos%2Fwoscc%2Ffull-record%2FWOS:001048708600001","View Full Record in Web of Science")</f>
        <v>View Full Record in Web of Science</v>
      </c>
    </row>
    <row r="518" ht="12.75" customHeight="1">
      <c r="A518" s="1" t="s">
        <v>65</v>
      </c>
      <c r="B518" s="1" t="s">
        <v>10401</v>
      </c>
      <c r="C518" s="1" t="s">
        <v>10402</v>
      </c>
      <c r="D518" s="1" t="s">
        <v>68</v>
      </c>
      <c r="E518" s="1" t="s">
        <v>10403</v>
      </c>
      <c r="F518" s="1" t="s">
        <v>6306</v>
      </c>
      <c r="G518" s="1" t="s">
        <v>68</v>
      </c>
      <c r="H518" s="1" t="s">
        <v>71</v>
      </c>
      <c r="I518" s="1" t="s">
        <v>72</v>
      </c>
      <c r="J518" s="1" t="s">
        <v>68</v>
      </c>
      <c r="K518" s="1" t="s">
        <v>68</v>
      </c>
      <c r="L518" s="1" t="s">
        <v>68</v>
      </c>
      <c r="M518" s="1" t="s">
        <v>68</v>
      </c>
      <c r="N518" s="1" t="s">
        <v>10404</v>
      </c>
      <c r="O518" s="1" t="s">
        <v>10405</v>
      </c>
      <c r="P518" s="1" t="s">
        <v>10406</v>
      </c>
      <c r="Q518" s="1" t="s">
        <v>10407</v>
      </c>
      <c r="R518" s="1" t="s">
        <v>10408</v>
      </c>
      <c r="S518" s="1" t="s">
        <v>10409</v>
      </c>
      <c r="T518" s="1" t="s">
        <v>10410</v>
      </c>
      <c r="U518" s="1" t="s">
        <v>10411</v>
      </c>
      <c r="V518" s="1" t="s">
        <v>10412</v>
      </c>
      <c r="W518" s="1" t="s">
        <v>10413</v>
      </c>
      <c r="X518" s="1" t="s">
        <v>10414</v>
      </c>
      <c r="Y518" s="1" t="s">
        <v>10415</v>
      </c>
      <c r="Z518" s="1">
        <v>63.0</v>
      </c>
      <c r="AA518" s="1">
        <v>22.0</v>
      </c>
      <c r="AB518" s="1">
        <v>30.0</v>
      </c>
      <c r="AC518" s="1">
        <v>1.0</v>
      </c>
      <c r="AD518" s="1">
        <v>17.0</v>
      </c>
      <c r="AE518" s="1" t="s">
        <v>4371</v>
      </c>
      <c r="AF518" s="1" t="s">
        <v>6318</v>
      </c>
      <c r="AG518" s="1" t="s">
        <v>6319</v>
      </c>
      <c r="AH518" s="1" t="s">
        <v>6320</v>
      </c>
      <c r="AI518" s="1" t="s">
        <v>68</v>
      </c>
      <c r="AJ518" s="1" t="s">
        <v>68</v>
      </c>
      <c r="AK518" s="1" t="s">
        <v>6321</v>
      </c>
      <c r="AL518" s="1" t="s">
        <v>6322</v>
      </c>
      <c r="AM518" s="1" t="s">
        <v>4591</v>
      </c>
      <c r="AN518" s="1">
        <v>2022.0</v>
      </c>
      <c r="AO518" s="1">
        <v>17.0</v>
      </c>
      <c r="AP518" s="1">
        <v>6.0</v>
      </c>
      <c r="AQ518" s="1" t="s">
        <v>68</v>
      </c>
      <c r="AR518" s="1" t="s">
        <v>68</v>
      </c>
      <c r="AS518" s="1" t="s">
        <v>68</v>
      </c>
      <c r="AT518" s="1" t="s">
        <v>68</v>
      </c>
      <c r="AU518" s="1" t="s">
        <v>68</v>
      </c>
      <c r="AV518" s="1" t="s">
        <v>68</v>
      </c>
      <c r="AW518" s="1">
        <v>65006.0</v>
      </c>
      <c r="AX518" s="1" t="s">
        <v>10416</v>
      </c>
      <c r="AY518" s="3" t="str">
        <f>HYPERLINK("http://dx.doi.org/10.1088/1748-9326/ac6ad6","http://dx.doi.org/10.1088/1748-9326/ac6ad6")</f>
        <v>http://dx.doi.org/10.1088/1748-9326/ac6ad6</v>
      </c>
      <c r="AZ518" s="1" t="s">
        <v>68</v>
      </c>
      <c r="BA518" s="1" t="s">
        <v>68</v>
      </c>
      <c r="BB518" s="1">
        <v>13.0</v>
      </c>
      <c r="BC518" s="1" t="s">
        <v>6324</v>
      </c>
      <c r="BD518" s="1" t="s">
        <v>92</v>
      </c>
      <c r="BE518" s="1" t="s">
        <v>3896</v>
      </c>
      <c r="BF518" s="1" t="s">
        <v>10417</v>
      </c>
      <c r="BG518" s="1" t="s">
        <v>68</v>
      </c>
      <c r="BH518" s="1" t="s">
        <v>94</v>
      </c>
      <c r="BI518" s="1" t="s">
        <v>68</v>
      </c>
      <c r="BJ518" s="1" t="s">
        <v>68</v>
      </c>
      <c r="BK518" s="1" t="s">
        <v>95</v>
      </c>
      <c r="BL518" s="1" t="s">
        <v>10418</v>
      </c>
      <c r="BM518" s="1" t="str">
        <f>HYPERLINK("https%3A%2F%2Fwww.webofscience.com%2Fwos%2Fwoscc%2Ffull-record%2FWOS:000799613500001","View Full Record in Web of Science")</f>
        <v>View Full Record in Web of Science</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